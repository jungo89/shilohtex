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3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4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rawings/drawing5.xml" ContentType="application/vnd.openxmlformats-officedocument.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6.xml" ContentType="application/vnd.openxmlformats-officedocument.drawing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rawings/drawing7.xml" ContentType="application/vnd.openxmlformats-officedocument.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8.xml" ContentType="application/vnd.openxmlformats-officedocument.drawing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rawings/drawing9.xml" ContentType="application/vnd.openxmlformats-officedocument.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59" activeTab="5"/>
  </bookViews>
  <sheets>
    <sheet name="listado campos base" sheetId="3" r:id="rId1"/>
    <sheet name="Notas desarrollo" sheetId="12" r:id="rId2"/>
    <sheet name="frmDatosCotizacion" sheetId="6" r:id="rId3"/>
    <sheet name="frmTransportadores" sheetId="11" r:id="rId4"/>
    <sheet name="frmProducto" sheetId="10" r:id="rId5"/>
    <sheet name="frmEmpleado" sheetId="9" r:id="rId6"/>
    <sheet name="frmDatosCompletosProveedor" sheetId="7" r:id="rId7"/>
    <sheet name="frmContactoProveedor" sheetId="8" r:id="rId8"/>
    <sheet name="frmContactoCliente" sheetId="1" r:id="rId9"/>
    <sheet name="frmDatosCompletosCliente" sheetId="4" r:id="rId10"/>
    <sheet name="Controles formulario original" sheetId="2" r:id="rId11"/>
    <sheet name="Hoja5" sheetId="5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3" l="1"/>
  <c r="B16" i="3" s="1"/>
  <c r="B23" i="3" l="1"/>
  <c r="B30" i="3"/>
  <c r="B31" i="3"/>
  <c r="B36" i="3"/>
  <c r="B37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D2" i="3"/>
  <c r="B2" i="3" s="1"/>
  <c r="D3" i="3"/>
  <c r="B3" i="3" s="1"/>
  <c r="D4" i="3"/>
  <c r="B4" i="3" s="1"/>
  <c r="D5" i="3"/>
  <c r="B5" i="3" s="1"/>
  <c r="D6" i="3"/>
  <c r="B6" i="3" s="1"/>
  <c r="D7" i="3"/>
  <c r="B7" i="3" s="1"/>
  <c r="D8" i="3"/>
  <c r="B8" i="3" s="1"/>
  <c r="D9" i="3"/>
  <c r="B9" i="3" s="1"/>
  <c r="D10" i="3"/>
  <c r="B10" i="3" s="1"/>
  <c r="D11" i="3"/>
  <c r="B11" i="3" s="1"/>
  <c r="D12" i="3"/>
  <c r="B12" i="3" s="1"/>
  <c r="D13" i="3"/>
  <c r="B13" i="3" s="1"/>
  <c r="D14" i="3"/>
  <c r="B14" i="3" s="1"/>
  <c r="D15" i="3"/>
  <c r="B15" i="3" s="1"/>
  <c r="D17" i="3"/>
  <c r="B17" i="3" s="1"/>
  <c r="D18" i="3"/>
  <c r="B18" i="3" s="1"/>
  <c r="D19" i="3"/>
  <c r="B19" i="3" s="1"/>
  <c r="D20" i="3"/>
  <c r="B20" i="3" s="1"/>
  <c r="D21" i="3"/>
  <c r="B21" i="3" s="1"/>
  <c r="D22" i="3"/>
  <c r="B22" i="3" s="1"/>
  <c r="D23" i="3"/>
  <c r="D24" i="3"/>
  <c r="B24" i="3" s="1"/>
  <c r="D25" i="3"/>
  <c r="B25" i="3" s="1"/>
  <c r="D26" i="3"/>
  <c r="B26" i="3" s="1"/>
  <c r="D27" i="3"/>
  <c r="B27" i="3" s="1"/>
  <c r="D28" i="3"/>
  <c r="B28" i="3" s="1"/>
  <c r="D29" i="3"/>
  <c r="B29" i="3" s="1"/>
  <c r="D30" i="3"/>
  <c r="D31" i="3"/>
  <c r="D32" i="3"/>
  <c r="B32" i="3" s="1"/>
  <c r="D33" i="3"/>
  <c r="B33" i="3" s="1"/>
  <c r="D34" i="3"/>
  <c r="B34" i="3" s="1"/>
  <c r="D35" i="3"/>
  <c r="B35" i="3" s="1"/>
  <c r="D36" i="3"/>
  <c r="D37" i="3"/>
  <c r="D38" i="3"/>
  <c r="B38" i="3" s="1"/>
  <c r="D39" i="3"/>
  <c r="B39" i="3" s="1"/>
  <c r="D40" i="3"/>
  <c r="B40" i="3" s="1"/>
  <c r="D41" i="3"/>
  <c r="B41" i="3" s="1"/>
  <c r="D42" i="3"/>
  <c r="B42" i="3" s="1"/>
  <c r="D43" i="3"/>
  <c r="B43" i="3" s="1"/>
  <c r="D44" i="3"/>
  <c r="B44" i="3" s="1"/>
  <c r="D45" i="3"/>
  <c r="B45" i="3" s="1"/>
  <c r="D46" i="3"/>
  <c r="B46" i="3" s="1"/>
  <c r="D47" i="3"/>
  <c r="B47" i="3" s="1"/>
  <c r="D48" i="3"/>
  <c r="B48" i="3" s="1"/>
  <c r="D49" i="3"/>
  <c r="B49" i="3" s="1"/>
  <c r="D50" i="3"/>
  <c r="B50" i="3" s="1"/>
  <c r="D51" i="3"/>
  <c r="B51" i="3" s="1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B71" i="3" s="1"/>
  <c r="D72" i="3"/>
  <c r="B72" i="3" s="1"/>
  <c r="D73" i="3"/>
  <c r="B73" i="3" s="1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B137" i="3" s="1"/>
  <c r="D138" i="3"/>
  <c r="B138" i="3" s="1"/>
  <c r="D139" i="3"/>
  <c r="B139" i="3" s="1"/>
  <c r="D140" i="3"/>
  <c r="B140" i="3" s="1"/>
  <c r="D141" i="3"/>
  <c r="B141" i="3" s="1"/>
  <c r="D142" i="3"/>
  <c r="B142" i="3" s="1"/>
  <c r="D143" i="3"/>
  <c r="B143" i="3" s="1"/>
</calcChain>
</file>

<file path=xl/sharedStrings.xml><?xml version="1.0" encoding="utf-8"?>
<sst xmlns="http://schemas.openxmlformats.org/spreadsheetml/2006/main" count="1264" uniqueCount="576">
  <si>
    <t>Nombre control</t>
  </si>
  <si>
    <t>Tipo</t>
  </si>
  <si>
    <t>Campo tabla</t>
  </si>
  <si>
    <t>Propiedad clase</t>
  </si>
  <si>
    <t>cboNombreContacto</t>
  </si>
  <si>
    <t>nombre_contacto</t>
  </si>
  <si>
    <t>NombreContacto</t>
  </si>
  <si>
    <t>lstResumenCliente1</t>
  </si>
  <si>
    <t>resumencliente1_amarillo ListBox</t>
  </si>
  <si>
    <t>lstNumCotPers</t>
  </si>
  <si>
    <t>numcotpers_amarillo ListBox</t>
  </si>
  <si>
    <t>lstFechaCliente</t>
  </si>
  <si>
    <t>fechacliente_amarillo ListBox</t>
  </si>
  <si>
    <t>fraResumenPedidocliente</t>
  </si>
  <si>
    <t>resumenpedidocliente_amarillo Frame</t>
  </si>
  <si>
    <t>lstResumenPedido</t>
  </si>
  <si>
    <t>resumenpedido_amarillo ListBox</t>
  </si>
  <si>
    <t>lstCodigosPedido</t>
  </si>
  <si>
    <t>codigospedido_amarillo ListBox</t>
  </si>
  <si>
    <t>cboItemPedido1</t>
  </si>
  <si>
    <t>itempedido1_amarillo ComboBox</t>
  </si>
  <si>
    <t>cmdIr</t>
  </si>
  <si>
    <t>ir_amarillo CommandButton</t>
  </si>
  <si>
    <t>cboItemPedido</t>
  </si>
  <si>
    <t>itempedido_amarillo ComboBox</t>
  </si>
  <si>
    <t>fraResumen</t>
  </si>
  <si>
    <t>resumen_amarillo Frame</t>
  </si>
  <si>
    <t>cmdImprimir</t>
  </si>
  <si>
    <t>imprimir_amarillo CommandButton</t>
  </si>
  <si>
    <t>cmdEditacot</t>
  </si>
  <si>
    <t>editacot_amarillo CommandButton</t>
  </si>
  <si>
    <t>cboImpresion</t>
  </si>
  <si>
    <t>impresion_amarillo ComboBox</t>
  </si>
  <si>
    <t>cmdGuardacot</t>
  </si>
  <si>
    <t>guardacot_amarillo CommandButton</t>
  </si>
  <si>
    <t>fraBotones</t>
  </si>
  <si>
    <t>botones_amarillo Frame</t>
  </si>
  <si>
    <t>txtPendienteFactura</t>
  </si>
  <si>
    <t>pendientefactura_amarillo TextBox</t>
  </si>
  <si>
    <t>txtNotas</t>
  </si>
  <si>
    <t>notas_amarillo TextBox</t>
  </si>
  <si>
    <t>txtCruzaConFv</t>
  </si>
  <si>
    <t>cruzaconfv_amarillo TextBox</t>
  </si>
  <si>
    <t>lstFechaElaboracion</t>
  </si>
  <si>
    <t>ListBox1 ListBox</t>
  </si>
  <si>
    <t>txtRevisado</t>
  </si>
  <si>
    <t>revisado_amarillo TextBox</t>
  </si>
  <si>
    <t>txtAuxiliarBodegaResponsable</t>
  </si>
  <si>
    <t>auxiliarbodegaresponsable_amarillo TextBox</t>
  </si>
  <si>
    <t>txtConsecutivoCotizado1</t>
  </si>
  <si>
    <t>consecutivocotizado1_amarillo TextBox</t>
  </si>
  <si>
    <t>lstFecha</t>
  </si>
  <si>
    <t>fecha_amarillo ListBox</t>
  </si>
  <si>
    <t>txtColorAsesora</t>
  </si>
  <si>
    <t>colorasesora_amarillo TextBox</t>
  </si>
  <si>
    <t>txtAsesoraResponsable</t>
  </si>
  <si>
    <t>asesoraresponsable_amarillo TextBox</t>
  </si>
  <si>
    <t>fraInfop</t>
  </si>
  <si>
    <t>infop_amarillo Frame</t>
  </si>
  <si>
    <t>lstCodigosProductos</t>
  </si>
  <si>
    <t>codigosproductos_amarillo ListBox</t>
  </si>
  <si>
    <t>fraListaDeCodigos</t>
  </si>
  <si>
    <t>listadecodigos_amarillo Frame</t>
  </si>
  <si>
    <t>cmdEditaritem</t>
  </si>
  <si>
    <t>editaritem_amarillo CommandButton</t>
  </si>
  <si>
    <t>txtSubtotal</t>
  </si>
  <si>
    <t>subtotal_amarillo TextBox</t>
  </si>
  <si>
    <t>cmdAgregaraPedido</t>
  </si>
  <si>
    <t>agregarapedido_amarillo CommandButton</t>
  </si>
  <si>
    <t>txtSolicitadoMetros1</t>
  </si>
  <si>
    <t>solicitadometros1_amarillo TextBox</t>
  </si>
  <si>
    <t>txtSolicitadoUnidades1</t>
  </si>
  <si>
    <t>solicitadounidades1_amarillo TextBox</t>
  </si>
  <si>
    <t>txtSidecimal</t>
  </si>
  <si>
    <t>sidecimal_amarillo TextBox</t>
  </si>
  <si>
    <t>fraPedido</t>
  </si>
  <si>
    <t>pedido_amarillo Frame</t>
  </si>
  <si>
    <t>txtPedir</t>
  </si>
  <si>
    <t>pedir_amarillo TextBox</t>
  </si>
  <si>
    <t>txtStock</t>
  </si>
  <si>
    <t>stock_amarillo TextBox</t>
  </si>
  <si>
    <t>txtDisponible</t>
  </si>
  <si>
    <t>disponible_amarillo TextBox</t>
  </si>
  <si>
    <t>fraInventario</t>
  </si>
  <si>
    <t>inventario_amarillo Frame</t>
  </si>
  <si>
    <t>txtPrecioUnitario</t>
  </si>
  <si>
    <t>preciounitario_amarillo TextBox</t>
  </si>
  <si>
    <t>cboCantidad</t>
  </si>
  <si>
    <t>cantidad_amarillo ComboBox</t>
  </si>
  <si>
    <t>cboMedida</t>
  </si>
  <si>
    <t>medida_amarillo Combobox</t>
  </si>
  <si>
    <t>cboColor</t>
  </si>
  <si>
    <t>color_amarillo ComboBox</t>
  </si>
  <si>
    <t>cboProducto</t>
  </si>
  <si>
    <t>producto_amarillo ComboBox</t>
  </si>
  <si>
    <t>cboContacto</t>
  </si>
  <si>
    <t>contacto_amarillo ComboBox</t>
  </si>
  <si>
    <t>txtContacto1</t>
  </si>
  <si>
    <t>contacto1_amarillo TextBox</t>
  </si>
  <si>
    <t>cboCodigoProveedor</t>
  </si>
  <si>
    <t>codigoproveedor_amarillo ComboBox</t>
  </si>
  <si>
    <t>cboCodigoProducto1</t>
  </si>
  <si>
    <t>codigoproducto1_amarillo ComboBox</t>
  </si>
  <si>
    <t>cmdBuscaCodigo</t>
  </si>
  <si>
    <t>buscacodigo_amarillo CommandButton</t>
  </si>
  <si>
    <t>cboCodigoProducto</t>
  </si>
  <si>
    <t>codigoproducto_amarillo ComboBox</t>
  </si>
  <si>
    <t>fraSelectorProducto</t>
  </si>
  <si>
    <t>selectorproducto_amarillo Frame</t>
  </si>
  <si>
    <t>txtSaldoCupo</t>
  </si>
  <si>
    <t>saldocupo_amarillo TextBox</t>
  </si>
  <si>
    <t>txtSoloIva</t>
  </si>
  <si>
    <t>soloiva_amarillo TextBox</t>
  </si>
  <si>
    <t>txtCreditoSolicitado</t>
  </si>
  <si>
    <t>creditosolicitado_amarillo TextBox</t>
  </si>
  <si>
    <t>cboInteres</t>
  </si>
  <si>
    <t>interes_amarillo ComboBox</t>
  </si>
  <si>
    <t>txtCupo</t>
  </si>
  <si>
    <t>cupo_amarillo TextBox</t>
  </si>
  <si>
    <t>cboNumeroDeDias</t>
  </si>
  <si>
    <t>numerodedias_amarillo ComboBox</t>
  </si>
  <si>
    <t>cmdSiguienteCondiciones</t>
  </si>
  <si>
    <t>siguientecondiciones_amarillo CommandButton</t>
  </si>
  <si>
    <t>cboPrioridad</t>
  </si>
  <si>
    <t>prioridad_amarillo ComboBox</t>
  </si>
  <si>
    <t>cboPorcentaje</t>
  </si>
  <si>
    <t>porcentaje_amarillo ComboBox</t>
  </si>
  <si>
    <t>chkIva</t>
  </si>
  <si>
    <t>iva_amarillo CheckBox</t>
  </si>
  <si>
    <t>cboCategoria</t>
  </si>
  <si>
    <t>categoria_amarillo ComboBox</t>
  </si>
  <si>
    <t>cboFormadePago</t>
  </si>
  <si>
    <t>formadepago_amarillo ComboBox</t>
  </si>
  <si>
    <t>fraCondiciones</t>
  </si>
  <si>
    <t>condiciones_amarillo Frame</t>
  </si>
  <si>
    <t>cmdAtras</t>
  </si>
  <si>
    <t>atras_amarillo CommandButton</t>
  </si>
  <si>
    <t>txtFiador</t>
  </si>
  <si>
    <t>fiador_amarillo TextBox</t>
  </si>
  <si>
    <t>cboNicho</t>
  </si>
  <si>
    <t>nicho_amarillo ComboBox</t>
  </si>
  <si>
    <t>cboBarrio</t>
  </si>
  <si>
    <t>barrio_amarillo ComboBox</t>
  </si>
  <si>
    <t>cboZona</t>
  </si>
  <si>
    <t>zona_amarillo ComboBox</t>
  </si>
  <si>
    <t>cboCiudad</t>
  </si>
  <si>
    <t>ciudad_amarillo ComboBox</t>
  </si>
  <si>
    <t>txtCodigoCliente</t>
  </si>
  <si>
    <t>codigocliente_amarillo TextBox</t>
  </si>
  <si>
    <t>txtWhatsapp</t>
  </si>
  <si>
    <t>WhatsApp_amarillo TextBox</t>
  </si>
  <si>
    <t>txtNitRut</t>
  </si>
  <si>
    <t>nitrut_amarillo TextBox</t>
  </si>
  <si>
    <t>txtCc</t>
  </si>
  <si>
    <t>CC_amarillo TextBox</t>
  </si>
  <si>
    <t>txtRazonSocial</t>
  </si>
  <si>
    <t>razonsocial_amarillo TextBox</t>
  </si>
  <si>
    <t>txtDireccionEnvio</t>
  </si>
  <si>
    <t xml:space="preserve">direccionenvio_amarillo TextBox </t>
  </si>
  <si>
    <t>txtNombre</t>
  </si>
  <si>
    <t>nombre_amarillo TextBox</t>
  </si>
  <si>
    <t>fraCliente</t>
  </si>
  <si>
    <t>cliente_amarillo Frame</t>
  </si>
  <si>
    <t>lstAmarilloResumen</t>
  </si>
  <si>
    <t>amarillo_resumen ListBox</t>
  </si>
  <si>
    <t>cmdSiguienteBuscador</t>
  </si>
  <si>
    <t>siguientebuscador_amarillo CommandButton</t>
  </si>
  <si>
    <t>cmdSiguienteBuscador1</t>
  </si>
  <si>
    <t>siguientebuscador1_amarillo CommandButton</t>
  </si>
  <si>
    <t>cboComodinResumen</t>
  </si>
  <si>
    <t>comodinresumen_amarillo Combobox</t>
  </si>
  <si>
    <t>cboUsuario1</t>
  </si>
  <si>
    <t>usuario1_amarillo ComboBox</t>
  </si>
  <si>
    <t>cboBuscaCotizacion</t>
  </si>
  <si>
    <t>buscacotizacion_amarillo ComboBox</t>
  </si>
  <si>
    <t>cboBuscaCliente</t>
  </si>
  <si>
    <t>buscacliente_amarillo ComboBox</t>
  </si>
  <si>
    <t>fraBuscador</t>
  </si>
  <si>
    <t>buscador_amarillo Frame</t>
  </si>
  <si>
    <t>razon_social</t>
  </si>
  <si>
    <t>RazonSocial</t>
  </si>
  <si>
    <t>telefono</t>
  </si>
  <si>
    <t>direccion</t>
  </si>
  <si>
    <t>barrio</t>
  </si>
  <si>
    <t>ciudad</t>
  </si>
  <si>
    <t>Telefono</t>
  </si>
  <si>
    <t>Direccion</t>
  </si>
  <si>
    <t>Barrio</t>
  </si>
  <si>
    <t>Ciudad</t>
  </si>
  <si>
    <t>Tabla</t>
  </si>
  <si>
    <t>id</t>
  </si>
  <si>
    <t>tipo_documento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</si>
  <si>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</si>
  <si>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</si>
  <si>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</si>
  <si>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</si>
  <si>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</si>
  <si>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</si>
  <si>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</si>
  <si>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</si>
  <si>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</si>
  <si>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</si>
  <si>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private pId as integer</t>
  </si>
  <si>
    <t>private pTipoDocumento as string</t>
  </si>
  <si>
    <t>private pDocumento as string</t>
  </si>
  <si>
    <t>private pNombreContacto as string</t>
  </si>
  <si>
    <t>private pNit as string</t>
  </si>
  <si>
    <t>private pRazonSocial as string</t>
  </si>
  <si>
    <t>private pComercio as string</t>
  </si>
  <si>
    <t>private pNicho as string</t>
  </si>
  <si>
    <t>private pSegmentacion as string</t>
  </si>
  <si>
    <t>private pProducto as string</t>
  </si>
  <si>
    <t>private pDistribucion as string</t>
  </si>
  <si>
    <t>private pCupo as currency</t>
  </si>
  <si>
    <t>private pCredito as currency</t>
  </si>
  <si>
    <t>private pSaldo as currency</t>
  </si>
  <si>
    <t>clientes</t>
  </si>
  <si>
    <t>contacto_cliente</t>
  </si>
  <si>
    <t>id_cliente</t>
  </si>
  <si>
    <t>private pIdCliente as integer</t>
  </si>
  <si>
    <t>private pTelefono as string</t>
  </si>
  <si>
    <t>private pDireccion as string</t>
  </si>
  <si>
    <t>private pBarrio as string</t>
  </si>
  <si>
    <t>private pCiudad as string</t>
  </si>
  <si>
    <t>nombre</t>
  </si>
  <si>
    <t>forma_pago</t>
  </si>
  <si>
    <t>proveedores</t>
  </si>
  <si>
    <t>private pNombre as string</t>
  </si>
  <si>
    <t>private pFormaPago as string</t>
  </si>
  <si>
    <t>id_proveedor</t>
  </si>
  <si>
    <t>contacto_proveedor</t>
  </si>
  <si>
    <t>private pIdproveedor as integer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</si>
  <si>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</si>
  <si>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</si>
  <si>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</si>
  <si>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</si>
  <si>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</si>
  <si>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</si>
  <si>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</si>
  <si>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</si>
  <si>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venta_iva</t>
  </si>
  <si>
    <t>categoria</t>
  </si>
  <si>
    <t>disponible</t>
  </si>
  <si>
    <t>stock</t>
  </si>
  <si>
    <t>pedir</t>
  </si>
  <si>
    <t>productos</t>
  </si>
  <si>
    <t>private pIdProveedor as integer</t>
  </si>
  <si>
    <t>private pColor as string</t>
  </si>
  <si>
    <t>private pMedida as string</t>
  </si>
  <si>
    <t>private pCantidad as double</t>
  </si>
  <si>
    <t>private pPresentacion as string</t>
  </si>
  <si>
    <t>private pCosto as currency</t>
  </si>
  <si>
    <t>private pUtilidad as double</t>
  </si>
  <si>
    <t>private pVenta as currency</t>
  </si>
  <si>
    <t>private pIva as double</t>
  </si>
  <si>
    <t>private pVentaIva as currency</t>
  </si>
  <si>
    <t>private pCategoria as string</t>
  </si>
  <si>
    <t>private pDisponible as double</t>
  </si>
  <si>
    <t>private pStock as double</t>
  </si>
  <si>
    <t>private pPedir as double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</si>
  <si>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</si>
  <si>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</si>
  <si>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</si>
  <si>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</si>
  <si>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</si>
  <si>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</si>
  <si>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</si>
  <si>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</si>
  <si>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detalles_pedido</t>
  </si>
  <si>
    <t>private pIdPedido as integer</t>
  </si>
  <si>
    <t>private pIdProducto as integer</t>
  </si>
  <si>
    <t>private pPrecio as currency</t>
  </si>
  <si>
    <t>private pDescuento as currency</t>
  </si>
  <si>
    <t>private pIdSituacion as integer</t>
  </si>
  <si>
    <t>private pFechaAsignacion as date</t>
  </si>
  <si>
    <t>private pIdPedidoCompra as integer</t>
  </si>
  <si>
    <t>private pIdDeInventario as integer</t>
  </si>
  <si>
    <t>id_pedido_de_compra</t>
  </si>
  <si>
    <t>costo_unitario</t>
  </si>
  <si>
    <t>fecha_recepcion</t>
  </si>
  <si>
    <t>publicado_en _inventario</t>
  </si>
  <si>
    <t>id_inventario</t>
  </si>
  <si>
    <t>detalles_pedido_compra</t>
  </si>
  <si>
    <t>private pIdPedidoDeCompra as integer</t>
  </si>
  <si>
    <t>private pIdproducto as integer</t>
  </si>
  <si>
    <t>private pCostoUnitario as currency</t>
  </si>
  <si>
    <t>private pFechaRecepcion as date</t>
  </si>
  <si>
    <t>private pPublicadoEnInventario as boolean</t>
  </si>
  <si>
    <t>private pIdInventario as integer</t>
  </si>
  <si>
    <t>cargo</t>
  </si>
  <si>
    <t>telefono_empresa</t>
  </si>
  <si>
    <t>empleados</t>
  </si>
  <si>
    <t>private pNombre as String</t>
  </si>
  <si>
    <t>private pCargo as String</t>
  </si>
  <si>
    <t>private pTelefonoEmpresa as string</t>
  </si>
  <si>
    <t>id_de_situacion</t>
  </si>
  <si>
    <t>nombre_del_estado</t>
  </si>
  <si>
    <t>estado_de_detalles_de_pedidos</t>
  </si>
  <si>
    <t>private pIdDeSituacion as integer</t>
  </si>
  <si>
    <t>private pNombreDelEstado as string</t>
  </si>
  <si>
    <t>nombre_estado_impuestos</t>
  </si>
  <si>
    <t>estado_de_impuestos_de_pedidos</t>
  </si>
  <si>
    <t>private pNombreEstadoImpuestos as string</t>
  </si>
  <si>
    <t>nombre_de_estado</t>
  </si>
  <si>
    <t>estado_de_pedidos</t>
  </si>
  <si>
    <t>private pNombreDeEstado as string</t>
  </si>
  <si>
    <t>estado</t>
  </si>
  <si>
    <t>estado_de_pedidos_de_compra</t>
  </si>
  <si>
    <t>private pEstado as string</t>
  </si>
  <si>
    <t>fecha</t>
  </si>
  <si>
    <t>fecha_vencimiento</t>
  </si>
  <si>
    <t>impuestos</t>
  </si>
  <si>
    <t>envio</t>
  </si>
  <si>
    <t>importe_debido</t>
  </si>
  <si>
    <t>factura</t>
  </si>
  <si>
    <t>private pFecha as date</t>
  </si>
  <si>
    <t>private pFechaVencimiento as date</t>
  </si>
  <si>
    <t>private pImpuestos as currency</t>
  </si>
  <si>
    <t>private pEnvio as currency</t>
  </si>
  <si>
    <t>private pImporteDebido as currency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</si>
  <si>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</si>
  <si>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</si>
  <si>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</si>
  <si>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</si>
  <si>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</si>
  <si>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</si>
  <si>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</si>
  <si>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</si>
  <si>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</si>
  <si>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</si>
  <si>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</si>
  <si>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</si>
  <si>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prioridad</t>
  </si>
  <si>
    <t>notas</t>
  </si>
  <si>
    <t>estado_de_impuestos</t>
  </si>
  <si>
    <t>pedidos</t>
  </si>
  <si>
    <t>private pIdDePedido as integer</t>
  </si>
  <si>
    <t>private pIdDeEmpleado as integer</t>
  </si>
  <si>
    <t>private pIdDeCliente as integer</t>
  </si>
  <si>
    <t>private pIdDeTransportista as integer</t>
  </si>
  <si>
    <t>private pFechaDePedido as date</t>
  </si>
  <si>
    <t>private pFechaDeEnvio as date</t>
  </si>
  <si>
    <t>private pNombreDeEnvio as string</t>
  </si>
  <si>
    <t>private pDireccionDeEnvio as string</t>
  </si>
  <si>
    <t>private pCiudadDestino as string</t>
  </si>
  <si>
    <t>private pGastosDeEnvio as currency</t>
  </si>
  <si>
    <t>private pTipoDePago as integer</t>
  </si>
  <si>
    <t>private pFechaDePago as date</t>
  </si>
  <si>
    <t>private pPrioridad as string</t>
  </si>
  <si>
    <t>private pNotas as string</t>
  </si>
  <si>
    <t>private pEstadoDeImpuestos as integer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</si>
  <si>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</si>
  <si>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</si>
  <si>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</si>
  <si>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</si>
  <si>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</si>
  <si>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</si>
  <si>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</si>
  <si>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</si>
  <si>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</si>
  <si>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pedidos_de_compra</t>
  </si>
  <si>
    <t>private pCreadoPor as integer</t>
  </si>
  <si>
    <t>private pFechaDeCreacion as date</t>
  </si>
  <si>
    <t>private pFechaPrevista as date</t>
  </si>
  <si>
    <t>private pGastosEnvio as currency</t>
  </si>
  <si>
    <t>private pImporteDePago as currency</t>
  </si>
  <si>
    <t>private pModoDePago as string</t>
  </si>
  <si>
    <t>private pAprobadoPor as integer</t>
  </si>
  <si>
    <t>private pFechaDeAprobacion as date</t>
  </si>
  <si>
    <t>private pEnviadoPor as intege</t>
  </si>
  <si>
    <t>nombre_del_tipo</t>
  </si>
  <si>
    <t>tipo_de_transacciones_de_invent</t>
  </si>
  <si>
    <t>private pNombreDelTipo as string</t>
  </si>
  <si>
    <t>empresa</t>
  </si>
  <si>
    <t>ubicacion_producto</t>
  </si>
  <si>
    <t>private pUbicacion as string</t>
  </si>
  <si>
    <t>id_transacciones_de_inventario</t>
  </si>
  <si>
    <t>id_pedido_cliente</t>
  </si>
  <si>
    <t>tipo_de_transaccion</t>
  </si>
  <si>
    <t>fecha_de_creacion_de_transaccion</t>
  </si>
  <si>
    <t>fecha_de_modificacion_de_transaccion</t>
  </si>
  <si>
    <t>comentarios</t>
  </si>
  <si>
    <t>id_ubicacion</t>
  </si>
  <si>
    <t>transacciones_de_inventario</t>
  </si>
  <si>
    <t>private pIdTransaccionesDeInventario as integer</t>
  </si>
  <si>
    <t>private pIdPedidoCliente as integer</t>
  </si>
  <si>
    <t>private pTipoDeTransaccion as integer</t>
  </si>
  <si>
    <t>private pFechaDeCreacionDeTransaccion as date</t>
  </si>
  <si>
    <t>private pFechaDeModificacionDeInventrio as date</t>
  </si>
  <si>
    <t>private pComentarios as string</t>
  </si>
  <si>
    <t>private pIdUbicacion as integer</t>
  </si>
  <si>
    <t>correo</t>
  </si>
  <si>
    <t>transportadores</t>
  </si>
  <si>
    <t>private pEmpresa as string</t>
  </si>
  <si>
    <t>private pCargo as string</t>
  </si>
  <si>
    <t>private pCorreo as string</t>
  </si>
  <si>
    <t>Nombre</t>
  </si>
  <si>
    <t>Id</t>
  </si>
  <si>
    <t>TipoDocumento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</si>
  <si>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</si>
  <si>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</si>
  <si>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</si>
  <si>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</si>
  <si>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</si>
  <si>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</si>
  <si>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</si>
  <si>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</si>
  <si>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</si>
  <si>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</si>
  <si>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IdCliente</t>
  </si>
  <si>
    <t>FormaPago</t>
  </si>
  <si>
    <t>Idproveedor</t>
  </si>
  <si>
    <t>IdProveedor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</si>
  <si>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</si>
  <si>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</si>
  <si>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</si>
  <si>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</si>
  <si>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</si>
  <si>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</si>
  <si>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</si>
  <si>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</si>
  <si>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VentaIva</t>
  </si>
  <si>
    <t>Categoria</t>
  </si>
  <si>
    <t>Disponible</t>
  </si>
  <si>
    <t>Stock</t>
  </si>
  <si>
    <t>Pedir</t>
  </si>
  <si>
    <t>IdPedido</t>
  </si>
  <si>
    <t>IdProducto</t>
  </si>
  <si>
    <t>Precio</t>
  </si>
  <si>
    <t>Descuento</t>
  </si>
  <si>
    <t>IdSituacion</t>
  </si>
  <si>
    <t>FechaAsignacion</t>
  </si>
  <si>
    <t>IdPedidoCompra</t>
  </si>
  <si>
    <t>IdDeInventario</t>
  </si>
  <si>
    <t>IdPedidoDeCompra</t>
  </si>
  <si>
    <t>Idproducto</t>
  </si>
  <si>
    <t>CostoUnitario</t>
  </si>
  <si>
    <t>FechaRecepcion</t>
  </si>
  <si>
    <t>PublicadoEnInventario</t>
  </si>
  <si>
    <t>IdInventario</t>
  </si>
  <si>
    <t>Cargo</t>
  </si>
  <si>
    <t>TelefonoEmpresa</t>
  </si>
  <si>
    <t>IdDeSituacion</t>
  </si>
  <si>
    <t>NombreDelEstado</t>
  </si>
  <si>
    <t>NombreEstadoImpuestos</t>
  </si>
  <si>
    <t>NombreDeEstado</t>
  </si>
  <si>
    <t>Estado</t>
  </si>
  <si>
    <t>Fecha</t>
  </si>
  <si>
    <t>FechaVencimiento</t>
  </si>
  <si>
    <t>Impuestos</t>
  </si>
  <si>
    <t>Envio</t>
  </si>
  <si>
    <t>ImporteDebido</t>
  </si>
  <si>
    <t>IdDePedido</t>
  </si>
  <si>
    <t>IdDeEmpleado</t>
  </si>
  <si>
    <t>IdDeCliente</t>
  </si>
  <si>
    <t>IdDeTransportista</t>
  </si>
  <si>
    <t>FechaDePedido</t>
  </si>
  <si>
    <t>FechaDeEnvio</t>
  </si>
  <si>
    <t>NombreDeEnvio</t>
  </si>
  <si>
    <t>DireccionDeEnvio</t>
  </si>
  <si>
    <t>CiudadDestino</t>
  </si>
  <si>
    <t>GastosDeEnvio</t>
  </si>
  <si>
    <t>TipoDePago</t>
  </si>
  <si>
    <t>FechaDePago</t>
  </si>
  <si>
    <t>Prioridad</t>
  </si>
  <si>
    <t>Notas</t>
  </si>
  <si>
    <t>EstadoDeImpuestos</t>
  </si>
  <si>
    <t>CreadoPor</t>
  </si>
  <si>
    <t>FechaDeCreacion</t>
  </si>
  <si>
    <t>FechaPrevista</t>
  </si>
  <si>
    <t>GastosEnvio</t>
  </si>
  <si>
    <t>ImporteDePago</t>
  </si>
  <si>
    <t>ModoDePago</t>
  </si>
  <si>
    <t>AprobadoPor</t>
  </si>
  <si>
    <t>FechaDeAprobacion</t>
  </si>
  <si>
    <t>EnviadoPor</t>
  </si>
  <si>
    <t>NombreDelTipo</t>
  </si>
  <si>
    <t>Ubicacion</t>
  </si>
  <si>
    <t>IdTransaccionesDeInventario</t>
  </si>
  <si>
    <t>IdPedidoCliente</t>
  </si>
  <si>
    <t>TipoDeTransaccion</t>
  </si>
  <si>
    <t>FechaDeCreacionDeTransaccion</t>
  </si>
  <si>
    <t>FechaDeModificacionDeInventrio</t>
  </si>
  <si>
    <t>Comentarios</t>
  </si>
  <si>
    <t>IdUbicacion</t>
  </si>
  <si>
    <t>Empresa</t>
  </si>
  <si>
    <t>Correo</t>
  </si>
  <si>
    <t>CheckBox</t>
  </si>
  <si>
    <t>CommandButton</t>
  </si>
  <si>
    <t>DriveListBox</t>
  </si>
  <si>
    <t>Form</t>
  </si>
  <si>
    <t>HorizontalScrollBar</t>
  </si>
  <si>
    <t>Label</t>
  </si>
  <si>
    <t>List</t>
  </si>
  <si>
    <t>OptionButton</t>
  </si>
  <si>
    <t>Shape</t>
  </si>
  <si>
    <t>Timer</t>
  </si>
  <si>
    <t>Combo y DropListBox</t>
  </si>
  <si>
    <t>DirListBox</t>
  </si>
  <si>
    <t>Frame</t>
  </si>
  <si>
    <t>Image</t>
  </si>
  <si>
    <t>Line</t>
  </si>
  <si>
    <t>Menu</t>
  </si>
  <si>
    <t>PictureBox</t>
  </si>
  <si>
    <t>TextEditBox</t>
  </si>
  <si>
    <t>VerticalScrollBar</t>
  </si>
  <si>
    <t>chk</t>
  </si>
  <si>
    <t>cmd</t>
  </si>
  <si>
    <t>drv</t>
  </si>
  <si>
    <t>frm</t>
  </si>
  <si>
    <t>hsb</t>
  </si>
  <si>
    <t>lbl</t>
  </si>
  <si>
    <t>lst</t>
  </si>
  <si>
    <t>opt</t>
  </si>
  <si>
    <t>shp</t>
  </si>
  <si>
    <t>tmr</t>
  </si>
  <si>
    <t>cbo</t>
  </si>
  <si>
    <t>dir</t>
  </si>
  <si>
    <t>fil</t>
  </si>
  <si>
    <t>fra</t>
  </si>
  <si>
    <t>img</t>
  </si>
  <si>
    <t>lin</t>
  </si>
  <si>
    <t>mnu</t>
  </si>
  <si>
    <t>pct</t>
  </si>
  <si>
    <t>FileListBox</t>
  </si>
  <si>
    <t>txt</t>
  </si>
  <si>
    <t>vsb</t>
  </si>
  <si>
    <t>Control</t>
  </si>
  <si>
    <t>Abreviatura</t>
  </si>
  <si>
    <t>txtTipoDocumento</t>
  </si>
  <si>
    <t>txtDocumento</t>
  </si>
  <si>
    <t>txtNombreContacto</t>
  </si>
  <si>
    <t>txtNit</t>
  </si>
  <si>
    <t>txtComercio</t>
  </si>
  <si>
    <t>txtNicho</t>
  </si>
  <si>
    <t>txtSegmentacion</t>
  </si>
  <si>
    <t>txtProducto</t>
  </si>
  <si>
    <t>txtDistribucion</t>
  </si>
  <si>
    <t>txtCredito</t>
  </si>
  <si>
    <t>txtSaldo</t>
  </si>
  <si>
    <t>txtIdCliente</t>
  </si>
  <si>
    <t>txtTelefono</t>
  </si>
  <si>
    <t>txtDireccion</t>
  </si>
  <si>
    <t>txtBarrio</t>
  </si>
  <si>
    <t>txtCiudad</t>
  </si>
  <si>
    <t>Peleteria</t>
  </si>
  <si>
    <t>Proveedor</t>
  </si>
  <si>
    <t>Detal</t>
  </si>
  <si>
    <t>Segmento</t>
  </si>
  <si>
    <t>Marroquinería</t>
  </si>
  <si>
    <t>Vestuario</t>
  </si>
  <si>
    <t>Hogar</t>
  </si>
  <si>
    <t>Calzado</t>
  </si>
  <si>
    <t>Construcción</t>
  </si>
  <si>
    <t>Tenis, Zapatos, Botas Industriales, Botas Militares,Calzado Infantil</t>
  </si>
  <si>
    <t>Animales</t>
  </si>
  <si>
    <t>Belleza</t>
  </si>
  <si>
    <t>Autos</t>
  </si>
  <si>
    <t>Aseo</t>
  </si>
  <si>
    <t>Museo</t>
  </si>
  <si>
    <t>Música</t>
  </si>
  <si>
    <t>cboNombre</t>
  </si>
  <si>
    <t>txtFormaPago</t>
  </si>
  <si>
    <t>Formapago</t>
  </si>
  <si>
    <t>txtCargo</t>
  </si>
  <si>
    <t>txtTelefonoEmpresa</t>
  </si>
  <si>
    <t>txtMedida</t>
  </si>
  <si>
    <t>txtCantidad</t>
  </si>
  <si>
    <t>cboPresentacion</t>
  </si>
  <si>
    <t>txtCosto</t>
  </si>
  <si>
    <t>txtUtilidad</t>
  </si>
  <si>
    <t>txtVenta</t>
  </si>
  <si>
    <t>txtIva</t>
  </si>
  <si>
    <t>txtVentaIva</t>
  </si>
  <si>
    <t>txtEmpresa</t>
  </si>
  <si>
    <t>txtCorreo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</si>
</sst>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</cellXfs>
  <cellStyles count="1">
    <cellStyle name="Normal" xfId="0" builtinId="0"/>
  </cellStyles>
  <dxfs count="4"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3">
  <dgm:title val=""/>
  <dgm:desc val=""/>
  <dgm:catLst>
    <dgm:cat type="accent1" pri="11300"/>
  </dgm:catLst>
  <dgm:styleLbl name="node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1">
        <a:shade val="80000"/>
      </a:schemeClr>
      <a:schemeClr val="accent1">
        <a:tint val="7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/>
    <dgm:txEffectClrLst/>
  </dgm:styleLbl>
  <dgm:styleLbl name="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ln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1">
        <a:shade val="80000"/>
        <a:alpha val="50000"/>
      </a:schemeClr>
      <a:schemeClr val="accent1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/>
    <dgm:txEffectClrLst/>
  </dgm:styleLbl>
  <dgm:styleLbl name="f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>
        <a:shade val="8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>
        <a:tint val="99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>
        <a:tint val="8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433DC04B-F9F7-413C-8534-9943FEE4FCB6}" type="doc">
      <dgm:prSet loTypeId="urn:microsoft.com/office/officeart/2008/layout/LinedList" loCatId="list" qsTypeId="urn:microsoft.com/office/officeart/2005/8/quickstyle/simple1" qsCatId="simple" csTypeId="urn:microsoft.com/office/officeart/2005/8/colors/accent1_3" csCatId="accent1" phldr="1"/>
      <dgm:spPr/>
      <dgm:t>
        <a:bodyPr/>
        <a:lstStyle/>
        <a:p>
          <a:endParaRPr lang="es-ES"/>
        </a:p>
      </dgm:t>
    </dgm:pt>
    <dgm:pt modelId="{BEB966A9-6D0F-436E-BDCC-197708333347}">
      <dgm:prSet phldrT="[Texto]" custT="1"/>
      <dgm:spPr/>
      <dgm:t>
        <a:bodyPr/>
        <a:lstStyle/>
        <a:p>
          <a:r>
            <a:rPr lang="es-ES" sz="1200"/>
            <a:t>Ajustes pendiente</a:t>
          </a:r>
        </a:p>
      </dgm:t>
    </dgm:pt>
    <dgm:pt modelId="{83D9DA32-F795-42B5-B9D2-A504AD8F9274}" type="parTrans" cxnId="{A5F8CD4A-18AC-46A8-AE62-C6F96DF180B6}">
      <dgm:prSet/>
      <dgm:spPr/>
      <dgm:t>
        <a:bodyPr/>
        <a:lstStyle/>
        <a:p>
          <a:endParaRPr lang="es-ES" sz="1200"/>
        </a:p>
      </dgm:t>
    </dgm:pt>
    <dgm:pt modelId="{81AA28D6-FD7C-48AA-A13D-C1FA5A81E205}" type="sibTrans" cxnId="{A5F8CD4A-18AC-46A8-AE62-C6F96DF180B6}">
      <dgm:prSet/>
      <dgm:spPr/>
      <dgm:t>
        <a:bodyPr/>
        <a:lstStyle/>
        <a:p>
          <a:endParaRPr lang="es-ES" sz="1200"/>
        </a:p>
      </dgm:t>
    </dgm:pt>
    <dgm:pt modelId="{B0AE1747-0CB7-4D79-8664-24DC55E136D1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Agregar el campo email a tablas contacto_cliente y contacto proveedor. NO olvidar ajustar las clases definidas</a:t>
          </a:r>
        </a:p>
      </dgm:t>
    </dgm:pt>
    <dgm:pt modelId="{363D36CA-0601-41FA-819E-CED7BCD04006}" type="parTrans" cxnId="{7155991F-950C-4430-8D90-E5CA54EA5395}">
      <dgm:prSet/>
      <dgm:spPr/>
      <dgm:t>
        <a:bodyPr/>
        <a:lstStyle/>
        <a:p>
          <a:endParaRPr lang="es-ES" sz="1200"/>
        </a:p>
      </dgm:t>
    </dgm:pt>
    <dgm:pt modelId="{FB00AB65-CD46-495B-B18C-36BC3ED191BD}" type="sibTrans" cxnId="{7155991F-950C-4430-8D90-E5CA54EA5395}">
      <dgm:prSet/>
      <dgm:spPr/>
      <dgm:t>
        <a:bodyPr/>
        <a:lstStyle/>
        <a:p>
          <a:endParaRPr lang="es-ES" sz="1200"/>
        </a:p>
      </dgm:t>
    </dgm:pt>
    <dgm:pt modelId="{6F8AEF44-6C93-424F-B6ED-9F7F74E88FEB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Modificar tabla pedidos, factura y detalles_de_pedido en excel y access. (Se modificaron y agregaron campos)</a:t>
          </a:r>
        </a:p>
      </dgm:t>
    </dgm:pt>
    <dgm:pt modelId="{2D355F59-ADE5-47FD-84F3-716610985AED}" type="parTrans" cxnId="{C22AF5E0-1A43-4A13-9591-332F42C51E64}">
      <dgm:prSet/>
      <dgm:spPr/>
      <dgm:t>
        <a:bodyPr/>
        <a:lstStyle/>
        <a:p>
          <a:endParaRPr lang="es-ES" sz="1200"/>
        </a:p>
      </dgm:t>
    </dgm:pt>
    <dgm:pt modelId="{83EA90C9-2711-47B2-8604-AC5555FE54A6}" type="sibTrans" cxnId="{C22AF5E0-1A43-4A13-9591-332F42C51E64}">
      <dgm:prSet/>
      <dgm:spPr/>
      <dgm:t>
        <a:bodyPr/>
        <a:lstStyle/>
        <a:p>
          <a:endParaRPr lang="es-ES" sz="1200"/>
        </a:p>
      </dgm:t>
    </dgm:pt>
    <dgm:pt modelId="{421C3D6F-479A-4FA9-93FD-4C01276CEBEF}">
      <dgm:prSet phldrT="[Texto]" custT="1"/>
      <dgm:spPr/>
      <dgm:t>
        <a:bodyPr/>
        <a:lstStyle/>
        <a:p>
          <a:r>
            <a:rPr lang="es-ES" sz="1200"/>
            <a:t>Implementar la lógica de liquidación de impuestos en la cotización</a:t>
          </a:r>
        </a:p>
      </dgm:t>
    </dgm:pt>
    <dgm:pt modelId="{1A6C299E-44C6-4E94-BAB0-29E80B2BFCEC}" type="parTrans" cxnId="{7D541EF1-7FC8-45D2-9B1C-C3A99D8B387F}">
      <dgm:prSet/>
      <dgm:spPr/>
      <dgm:t>
        <a:bodyPr/>
        <a:lstStyle/>
        <a:p>
          <a:endParaRPr lang="es-ES" sz="1200"/>
        </a:p>
      </dgm:t>
    </dgm:pt>
    <dgm:pt modelId="{7A6B2BAB-6E6C-41D7-956B-F466D61F4D41}" type="sibTrans" cxnId="{7D541EF1-7FC8-45D2-9B1C-C3A99D8B387F}">
      <dgm:prSet/>
      <dgm:spPr/>
      <dgm:t>
        <a:bodyPr/>
        <a:lstStyle/>
        <a:p>
          <a:endParaRPr lang="es-ES" sz="1200"/>
        </a:p>
      </dgm:t>
    </dgm:pt>
    <dgm:pt modelId="{4BA5C4D7-C0B0-49DE-959B-3BDD37FAD81A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Definir la ubicación de los campos retefuente, reteica, iva e interes</a:t>
          </a:r>
        </a:p>
      </dgm:t>
    </dgm:pt>
    <dgm:pt modelId="{17F2D9C9-C0F8-4D31-8C8E-45A03A09192C}" type="parTrans" cxnId="{23E65F80-16E6-410D-A5A8-C454DBB71AED}">
      <dgm:prSet/>
      <dgm:spPr/>
      <dgm:t>
        <a:bodyPr/>
        <a:lstStyle/>
        <a:p>
          <a:endParaRPr lang="es-ES" sz="1200"/>
        </a:p>
      </dgm:t>
    </dgm:pt>
    <dgm:pt modelId="{35E0CF41-2D30-4190-9D97-9CB0AA5EE61B}" type="sibTrans" cxnId="{23E65F80-16E6-410D-A5A8-C454DBB71AED}">
      <dgm:prSet/>
      <dgm:spPr/>
      <dgm:t>
        <a:bodyPr/>
        <a:lstStyle/>
        <a:p>
          <a:endParaRPr lang="es-ES" sz="1200"/>
        </a:p>
      </dgm:t>
    </dgm:pt>
    <dgm:pt modelId="{0066335C-71BC-4511-A0F9-9CABE1DE52DA}">
      <dgm:prSet phldrT="[Texto]" custT="1"/>
      <dgm:spPr/>
      <dgm:t>
        <a:bodyPr/>
        <a:lstStyle/>
        <a:p>
          <a:r>
            <a:rPr lang="es-ES" sz="1200"/>
            <a:t>Definir estados de pedidos (Apartado, Revisado, Entregado, Devuelto, Anulado)</a:t>
          </a:r>
        </a:p>
      </dgm:t>
    </dgm:pt>
    <dgm:pt modelId="{D9B6CFAD-1F29-41C0-AF01-DA16A3811248}" type="parTrans" cxnId="{4C32B45E-2281-4772-B94D-2116FF04D287}">
      <dgm:prSet/>
      <dgm:spPr/>
      <dgm:t>
        <a:bodyPr/>
        <a:lstStyle/>
        <a:p>
          <a:endParaRPr lang="es-ES" sz="1200"/>
        </a:p>
      </dgm:t>
    </dgm:pt>
    <dgm:pt modelId="{60756311-125C-455B-BBFA-D2F09D9B6E5F}" type="sibTrans" cxnId="{4C32B45E-2281-4772-B94D-2116FF04D287}">
      <dgm:prSet/>
      <dgm:spPr/>
      <dgm:t>
        <a:bodyPr/>
        <a:lstStyle/>
        <a:p>
          <a:endParaRPr lang="es-ES" sz="1200"/>
        </a:p>
      </dgm:t>
    </dgm:pt>
    <dgm:pt modelId="{6C66F971-2A46-497B-93FB-1A4A15805CD1}">
      <dgm:prSet phldrT="[Texto]" custT="1"/>
      <dgm:spPr/>
      <dgm:t>
        <a:bodyPr/>
        <a:lstStyle/>
        <a:p>
          <a:r>
            <a:rPr lang="es-ES" sz="1200"/>
            <a:t>Definir estado de detalles de pedidos. (Aclarar qué estado puede tener un producto dentro de un pedido: (Apartado, Retenido, faltante, etc)</a:t>
          </a:r>
        </a:p>
      </dgm:t>
    </dgm:pt>
    <dgm:pt modelId="{B6CFF994-8964-4953-9442-98E4F5920CE7}" type="parTrans" cxnId="{07537C30-B5B1-473D-8860-C967AB53793A}">
      <dgm:prSet/>
      <dgm:spPr/>
      <dgm:t>
        <a:bodyPr/>
        <a:lstStyle/>
        <a:p>
          <a:endParaRPr lang="es-ES" sz="1200"/>
        </a:p>
      </dgm:t>
    </dgm:pt>
    <dgm:pt modelId="{4CB397FA-15FB-47F7-B741-BEC2AAF7C04C}" type="sibTrans" cxnId="{07537C30-B5B1-473D-8860-C967AB53793A}">
      <dgm:prSet/>
      <dgm:spPr/>
      <dgm:t>
        <a:bodyPr/>
        <a:lstStyle/>
        <a:p>
          <a:endParaRPr lang="es-ES" sz="1200"/>
        </a:p>
      </dgm:t>
    </dgm:pt>
    <dgm:pt modelId="{CB332FDE-FE61-4E0F-B3E3-79E92A73C777}">
      <dgm:prSet phldrT="[Texto]" custT="1"/>
      <dgm:spPr/>
      <dgm:t>
        <a:bodyPr/>
        <a:lstStyle/>
        <a:p>
          <a:r>
            <a:rPr lang="es-ES" sz="1200"/>
            <a:t>Definir ubicación de productos. (Bodegas)</a:t>
          </a:r>
        </a:p>
      </dgm:t>
    </dgm:pt>
    <dgm:pt modelId="{11F80FF8-DF34-4F97-BD1F-B2F1F1FF8CED}" type="parTrans" cxnId="{4EDB04C4-36E8-4FF6-AF29-EDB2EAE31313}">
      <dgm:prSet/>
      <dgm:spPr/>
      <dgm:t>
        <a:bodyPr/>
        <a:lstStyle/>
        <a:p>
          <a:endParaRPr lang="es-ES" sz="1200"/>
        </a:p>
      </dgm:t>
    </dgm:pt>
    <dgm:pt modelId="{F3FABDEA-8889-46C7-8F89-B4F823D2A59E}" type="sibTrans" cxnId="{4EDB04C4-36E8-4FF6-AF29-EDB2EAE31313}">
      <dgm:prSet/>
      <dgm:spPr/>
      <dgm:t>
        <a:bodyPr/>
        <a:lstStyle/>
        <a:p>
          <a:endParaRPr lang="es-ES" sz="1200"/>
        </a:p>
      </dgm:t>
    </dgm:pt>
    <dgm:pt modelId="{DC18EAD9-F7BB-4FD2-AFB0-971D1FCBCBAE}">
      <dgm:prSet phldrT="[Texto]" custT="1"/>
      <dgm:spPr/>
      <dgm:t>
        <a:bodyPr/>
        <a:lstStyle/>
        <a:p>
          <a:r>
            <a:rPr lang="es-ES" sz="1200"/>
            <a:t>Definir tipos de transacciones de inventarios. (Comprado, vendido, retenido, apartado)</a:t>
          </a:r>
        </a:p>
      </dgm:t>
    </dgm:pt>
    <dgm:pt modelId="{6AA21A91-E3F4-477B-A8D5-F4948B26FDB4}" type="parTrans" cxnId="{4FAEF689-C1BF-4244-A6C2-690D75E47975}">
      <dgm:prSet/>
      <dgm:spPr/>
      <dgm:t>
        <a:bodyPr/>
        <a:lstStyle/>
        <a:p>
          <a:endParaRPr lang="es-ES" sz="1200"/>
        </a:p>
      </dgm:t>
    </dgm:pt>
    <dgm:pt modelId="{4905FFB4-EB9A-4C09-B3AB-109FD44B6303}" type="sibTrans" cxnId="{4FAEF689-C1BF-4244-A6C2-690D75E47975}">
      <dgm:prSet/>
      <dgm:spPr/>
      <dgm:t>
        <a:bodyPr/>
        <a:lstStyle/>
        <a:p>
          <a:endParaRPr lang="es-ES" sz="1200"/>
        </a:p>
      </dgm:t>
    </dgm:pt>
    <dgm:pt modelId="{B65FE43D-6766-4F77-93C2-BCEA6B4FBED1}">
      <dgm:prSet phldrT="[Texto]" custT="1"/>
      <dgm:spPr/>
      <dgm:t>
        <a:bodyPr/>
        <a:lstStyle/>
        <a:p>
          <a:r>
            <a:rPr lang="es-ES" sz="1200"/>
            <a:t>Crear lista de los campos que se van a enviar a cada tabla desde los formularios creados. (Id para mantener la integridad referencial)</a:t>
          </a:r>
        </a:p>
      </dgm:t>
    </dgm:pt>
    <dgm:pt modelId="{98D9F93E-DD8F-439D-959C-18BF4C2E62ED}" type="parTrans" cxnId="{E68A4031-84FD-4788-BF80-850AFE09DE48}">
      <dgm:prSet/>
      <dgm:spPr/>
      <dgm:t>
        <a:bodyPr/>
        <a:lstStyle/>
        <a:p>
          <a:endParaRPr lang="es-ES" sz="1200"/>
        </a:p>
      </dgm:t>
    </dgm:pt>
    <dgm:pt modelId="{C89D3BB1-5B9D-46FF-B32D-27CDF03E7531}" type="sibTrans" cxnId="{E68A4031-84FD-4788-BF80-850AFE09DE48}">
      <dgm:prSet/>
      <dgm:spPr/>
      <dgm:t>
        <a:bodyPr/>
        <a:lstStyle/>
        <a:p>
          <a:endParaRPr lang="es-ES" sz="1200"/>
        </a:p>
      </dgm:t>
    </dgm:pt>
    <dgm:pt modelId="{2B6925C0-4A2C-4014-8EC8-BBC905473A5D}">
      <dgm:prSet phldrT="[Texto]" custT="1"/>
      <dgm:spPr/>
      <dgm:t>
        <a:bodyPr/>
        <a:lstStyle/>
        <a:p>
          <a:r>
            <a:rPr lang="es-ES" sz="1200"/>
            <a:t>Incluir campos para determinar tipo de contribuyente y poder liquidar impuestos. (Incuir en tabla clientes y actualizar en formularios cotización y clientes</a:t>
          </a:r>
        </a:p>
      </dgm:t>
    </dgm:pt>
    <dgm:pt modelId="{6674378D-2AA6-420E-A107-10B1FB1B5E8E}" type="parTrans" cxnId="{DDC9C0EE-D3D6-459F-9FD9-D36D4C4948B1}">
      <dgm:prSet/>
      <dgm:spPr/>
      <dgm:t>
        <a:bodyPr/>
        <a:lstStyle/>
        <a:p>
          <a:endParaRPr lang="es-ES" sz="1200"/>
        </a:p>
      </dgm:t>
    </dgm:pt>
    <dgm:pt modelId="{CDFD04C9-87F0-4455-847C-96841F0138B2}" type="sibTrans" cxnId="{DDC9C0EE-D3D6-459F-9FD9-D36D4C4948B1}">
      <dgm:prSet/>
      <dgm:spPr/>
      <dgm:t>
        <a:bodyPr/>
        <a:lstStyle/>
        <a:p>
          <a:endParaRPr lang="es-ES" sz="1200"/>
        </a:p>
      </dgm:t>
    </dgm:pt>
    <dgm:pt modelId="{B580BF7D-2DF2-4220-8848-AA2C9FA671E1}">
      <dgm:prSet phldrT="[Texto]" custT="1"/>
      <dgm:spPr/>
      <dgm:t>
        <a:bodyPr/>
        <a:lstStyle/>
        <a:p>
          <a:r>
            <a:rPr lang="es-ES" sz="1200"/>
            <a:t>Definir si se va a establecer  conexión a access desde el archivo como conexión de datos o se hará mediante ADODB. Analizar las ventajas y desventajas de las conexiones.</a:t>
          </a:r>
        </a:p>
      </dgm:t>
    </dgm:pt>
    <dgm:pt modelId="{D9050EEE-2BB8-4FCF-9AFC-56B66F257074}" type="parTrans" cxnId="{539B1465-E8C1-455B-A182-628B8A8507C1}">
      <dgm:prSet/>
      <dgm:spPr/>
      <dgm:t>
        <a:bodyPr/>
        <a:lstStyle/>
        <a:p>
          <a:endParaRPr lang="es-ES"/>
        </a:p>
      </dgm:t>
    </dgm:pt>
    <dgm:pt modelId="{483F7499-C7F3-42F9-90C3-28C6D090C80C}" type="sibTrans" cxnId="{539B1465-E8C1-455B-A182-628B8A8507C1}">
      <dgm:prSet/>
      <dgm:spPr/>
      <dgm:t>
        <a:bodyPr/>
        <a:lstStyle/>
        <a:p>
          <a:endParaRPr lang="es-ES"/>
        </a:p>
      </dgm:t>
    </dgm:pt>
    <dgm:pt modelId="{7069DFDC-5B1E-4B38-9946-53E9497D7E71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Adicionar campos nicho, tipo de documento y documento al formulario cotización</a:t>
          </a:r>
        </a:p>
      </dgm:t>
    </dgm:pt>
    <dgm:pt modelId="{733960CE-587F-45B7-BEBF-DEE5FECAFB0D}" type="parTrans" cxnId="{74D15711-A62E-4B28-89C8-262580370FB4}">
      <dgm:prSet/>
      <dgm:spPr/>
      <dgm:t>
        <a:bodyPr/>
        <a:lstStyle/>
        <a:p>
          <a:endParaRPr lang="es-ES"/>
        </a:p>
      </dgm:t>
    </dgm:pt>
    <dgm:pt modelId="{C249F5BE-48A4-456D-AC4D-FF3A1634C88E}" type="sibTrans" cxnId="{74D15711-A62E-4B28-89C8-262580370FB4}">
      <dgm:prSet/>
      <dgm:spPr/>
      <dgm:t>
        <a:bodyPr/>
        <a:lstStyle/>
        <a:p>
          <a:endParaRPr lang="es-ES"/>
        </a:p>
      </dgm:t>
    </dgm:pt>
    <dgm:pt modelId="{AFD275E4-0815-46C9-A6FE-EEE65A5E9994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Agregar campo tipo de contribuyente en clientes</a:t>
          </a:r>
        </a:p>
      </dgm:t>
    </dgm:pt>
    <dgm:pt modelId="{5B8B1A0B-B54E-47D0-8F27-18F377FB07FE}" type="parTrans" cxnId="{BB52217D-77D1-44F9-96BD-0DAAD0E9F83C}">
      <dgm:prSet/>
      <dgm:spPr/>
      <dgm:t>
        <a:bodyPr/>
        <a:lstStyle/>
        <a:p>
          <a:endParaRPr lang="es-ES"/>
        </a:p>
      </dgm:t>
    </dgm:pt>
    <dgm:pt modelId="{59616623-65B9-4481-9BAF-26EFBD7E8962}" type="sibTrans" cxnId="{BB52217D-77D1-44F9-96BD-0DAAD0E9F83C}">
      <dgm:prSet/>
      <dgm:spPr/>
      <dgm:t>
        <a:bodyPr/>
        <a:lstStyle/>
        <a:p>
          <a:endParaRPr lang="es-ES"/>
        </a:p>
      </dgm:t>
    </dgm:pt>
    <dgm:pt modelId="{16AA04DE-7767-4148-8B2E-6CE2114C5E00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Generar código para eliminar, editar y agregar productos a los listbox de detalles de productos</a:t>
          </a:r>
        </a:p>
      </dgm:t>
    </dgm:pt>
    <dgm:pt modelId="{B6B3BF0F-EFBA-457D-AFDD-3C3F4DBFBA17}" type="parTrans" cxnId="{E5D1375F-124B-4F02-B72A-D2EF172A50CB}">
      <dgm:prSet/>
      <dgm:spPr/>
      <dgm:t>
        <a:bodyPr/>
        <a:lstStyle/>
        <a:p>
          <a:endParaRPr lang="es-ES"/>
        </a:p>
      </dgm:t>
    </dgm:pt>
    <dgm:pt modelId="{0AAFAAC5-7A5B-41D5-A0CF-4FB30C8A80FA}" type="sibTrans" cxnId="{E5D1375F-124B-4F02-B72A-D2EF172A50CB}">
      <dgm:prSet/>
      <dgm:spPr/>
      <dgm:t>
        <a:bodyPr/>
        <a:lstStyle/>
        <a:p>
          <a:endParaRPr lang="es-ES"/>
        </a:p>
      </dgm:t>
    </dgm:pt>
    <dgm:pt modelId="{E43EB520-D4B1-44D0-BC01-A1CDE6AA0FFA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Solicitar tabla de fletes para incluir en el fomulario de cotización</a:t>
          </a:r>
        </a:p>
      </dgm:t>
    </dgm:pt>
    <dgm:pt modelId="{9BD3B033-3595-4147-8425-394A11B40971}" type="parTrans" cxnId="{72E1CC3C-0F63-459E-B6B7-C1E30DFFDFCE}">
      <dgm:prSet/>
      <dgm:spPr/>
      <dgm:t>
        <a:bodyPr/>
        <a:lstStyle/>
        <a:p>
          <a:endParaRPr lang="es-ES"/>
        </a:p>
      </dgm:t>
    </dgm:pt>
    <dgm:pt modelId="{9278692E-7C00-439B-B052-F23575472B1F}" type="sibTrans" cxnId="{72E1CC3C-0F63-459E-B6B7-C1E30DFFDFCE}">
      <dgm:prSet/>
      <dgm:spPr/>
      <dgm:t>
        <a:bodyPr/>
        <a:lstStyle/>
        <a:p>
          <a:endParaRPr lang="es-ES"/>
        </a:p>
      </dgm:t>
    </dgm:pt>
    <dgm:pt modelId="{B56F6A43-2116-4344-BC90-35CB1A57B563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Crear un arrreglo para alamacenar los valor de detalles de metrajes y enviarlo al listbox junto con el valor total</a:t>
          </a:r>
        </a:p>
      </dgm:t>
    </dgm:pt>
    <dgm:pt modelId="{3651DF23-88C6-45E6-9BA7-A35CC390B8C4}" type="parTrans" cxnId="{E21CE6E0-A316-4128-902F-58165535B0FA}">
      <dgm:prSet/>
      <dgm:spPr/>
      <dgm:t>
        <a:bodyPr/>
        <a:lstStyle/>
        <a:p>
          <a:endParaRPr lang="es-ES"/>
        </a:p>
      </dgm:t>
    </dgm:pt>
    <dgm:pt modelId="{426E190B-22A9-48A0-871C-3F730949B8EE}" type="sibTrans" cxnId="{E21CE6E0-A316-4128-902F-58165535B0FA}">
      <dgm:prSet/>
      <dgm:spPr/>
      <dgm:t>
        <a:bodyPr/>
        <a:lstStyle/>
        <a:p>
          <a:endParaRPr lang="es-ES"/>
        </a:p>
      </dgm:t>
    </dgm:pt>
    <dgm:pt modelId="{DAEE8E74-7D19-4F98-A746-D1B018CDC90B}" type="pres">
      <dgm:prSet presAssocID="{433DC04B-F9F7-413C-8534-9943FEE4FCB6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15EA9F54-86A8-4703-A7B0-346E21089D1D}" type="pres">
      <dgm:prSet presAssocID="{BEB966A9-6D0F-436E-BDCC-197708333347}" presName="thickLine" presStyleLbl="alignNode1" presStyleIdx="0" presStyleCnt="1"/>
      <dgm:spPr/>
    </dgm:pt>
    <dgm:pt modelId="{1C8DBD86-A4B5-4766-A334-5BC89B206A79}" type="pres">
      <dgm:prSet presAssocID="{BEB966A9-6D0F-436E-BDCC-197708333347}" presName="horz1" presStyleCnt="0"/>
      <dgm:spPr/>
    </dgm:pt>
    <dgm:pt modelId="{5F2DD070-0E12-494F-9403-329641313964}" type="pres">
      <dgm:prSet presAssocID="{BEB966A9-6D0F-436E-BDCC-197708333347}" presName="tx1" presStyleLbl="revTx" presStyleIdx="0" presStyleCnt="17"/>
      <dgm:spPr/>
      <dgm:t>
        <a:bodyPr/>
        <a:lstStyle/>
        <a:p>
          <a:endParaRPr lang="es-ES"/>
        </a:p>
      </dgm:t>
    </dgm:pt>
    <dgm:pt modelId="{9C46A951-1973-4797-A6B5-C6F9205AF730}" type="pres">
      <dgm:prSet presAssocID="{BEB966A9-6D0F-436E-BDCC-197708333347}" presName="vert1" presStyleCnt="0"/>
      <dgm:spPr/>
    </dgm:pt>
    <dgm:pt modelId="{B8FE9D32-5D78-4404-84BD-56D00602B346}" type="pres">
      <dgm:prSet presAssocID="{B0AE1747-0CB7-4D79-8664-24DC55E136D1}" presName="vertSpace2a" presStyleCnt="0"/>
      <dgm:spPr/>
    </dgm:pt>
    <dgm:pt modelId="{3471A75E-C654-42DC-B3E8-4849C25C8638}" type="pres">
      <dgm:prSet presAssocID="{B0AE1747-0CB7-4D79-8664-24DC55E136D1}" presName="horz2" presStyleCnt="0"/>
      <dgm:spPr/>
    </dgm:pt>
    <dgm:pt modelId="{9B357398-97EE-42B4-93E3-CC03712BD931}" type="pres">
      <dgm:prSet presAssocID="{B0AE1747-0CB7-4D79-8664-24DC55E136D1}" presName="horzSpace2" presStyleCnt="0"/>
      <dgm:spPr/>
    </dgm:pt>
    <dgm:pt modelId="{DD31B207-E7F9-47B8-8CB3-1610819424E7}" type="pres">
      <dgm:prSet presAssocID="{B0AE1747-0CB7-4D79-8664-24DC55E136D1}" presName="tx2" presStyleLbl="revTx" presStyleIdx="1" presStyleCnt="17"/>
      <dgm:spPr/>
      <dgm:t>
        <a:bodyPr/>
        <a:lstStyle/>
        <a:p>
          <a:endParaRPr lang="es-ES"/>
        </a:p>
      </dgm:t>
    </dgm:pt>
    <dgm:pt modelId="{556CD178-5142-4324-9066-F958DF9BB8DB}" type="pres">
      <dgm:prSet presAssocID="{B0AE1747-0CB7-4D79-8664-24DC55E136D1}" presName="vert2" presStyleCnt="0"/>
      <dgm:spPr/>
    </dgm:pt>
    <dgm:pt modelId="{71D278EC-F037-40BC-9454-EBB39935DE77}" type="pres">
      <dgm:prSet presAssocID="{B0AE1747-0CB7-4D79-8664-24DC55E136D1}" presName="thinLine2b" presStyleLbl="callout" presStyleIdx="0" presStyleCnt="16"/>
      <dgm:spPr/>
    </dgm:pt>
    <dgm:pt modelId="{BA0D7CD0-768E-43A9-9895-50F7BBBD25BA}" type="pres">
      <dgm:prSet presAssocID="{B0AE1747-0CB7-4D79-8664-24DC55E136D1}" presName="vertSpace2b" presStyleCnt="0"/>
      <dgm:spPr/>
    </dgm:pt>
    <dgm:pt modelId="{6073E681-4196-4044-90BB-C8721A00A7A1}" type="pres">
      <dgm:prSet presAssocID="{6F8AEF44-6C93-424F-B6ED-9F7F74E88FEB}" presName="horz2" presStyleCnt="0"/>
      <dgm:spPr/>
    </dgm:pt>
    <dgm:pt modelId="{E718F8DD-58C4-48C6-8736-5B7444B9A2AB}" type="pres">
      <dgm:prSet presAssocID="{6F8AEF44-6C93-424F-B6ED-9F7F74E88FEB}" presName="horzSpace2" presStyleCnt="0"/>
      <dgm:spPr/>
    </dgm:pt>
    <dgm:pt modelId="{3AC6090F-6BD6-45D6-92C4-F1900106CD38}" type="pres">
      <dgm:prSet presAssocID="{6F8AEF44-6C93-424F-B6ED-9F7F74E88FEB}" presName="tx2" presStyleLbl="revTx" presStyleIdx="2" presStyleCnt="17"/>
      <dgm:spPr/>
      <dgm:t>
        <a:bodyPr/>
        <a:lstStyle/>
        <a:p>
          <a:endParaRPr lang="es-ES"/>
        </a:p>
      </dgm:t>
    </dgm:pt>
    <dgm:pt modelId="{94EBEA51-A127-491A-9C60-E29157F4E1A8}" type="pres">
      <dgm:prSet presAssocID="{6F8AEF44-6C93-424F-B6ED-9F7F74E88FEB}" presName="vert2" presStyleCnt="0"/>
      <dgm:spPr/>
    </dgm:pt>
    <dgm:pt modelId="{A5793638-11E0-488B-A115-EF209833AE60}" type="pres">
      <dgm:prSet presAssocID="{6F8AEF44-6C93-424F-B6ED-9F7F74E88FEB}" presName="thinLine2b" presStyleLbl="callout" presStyleIdx="1" presStyleCnt="16"/>
      <dgm:spPr/>
    </dgm:pt>
    <dgm:pt modelId="{3BD4B173-5CA6-41FD-9783-A666B0B81CA0}" type="pres">
      <dgm:prSet presAssocID="{6F8AEF44-6C93-424F-B6ED-9F7F74E88FEB}" presName="vertSpace2b" presStyleCnt="0"/>
      <dgm:spPr/>
    </dgm:pt>
    <dgm:pt modelId="{99E6CCBE-EFDD-4305-B20D-AAEAC1B00E70}" type="pres">
      <dgm:prSet presAssocID="{421C3D6F-479A-4FA9-93FD-4C01276CEBEF}" presName="horz2" presStyleCnt="0"/>
      <dgm:spPr/>
    </dgm:pt>
    <dgm:pt modelId="{0789ED67-973A-4B15-95A8-493DFAA3AE2F}" type="pres">
      <dgm:prSet presAssocID="{421C3D6F-479A-4FA9-93FD-4C01276CEBEF}" presName="horzSpace2" presStyleCnt="0"/>
      <dgm:spPr/>
    </dgm:pt>
    <dgm:pt modelId="{6A7299A9-1A42-45A0-9D57-8DF3B50A801E}" type="pres">
      <dgm:prSet presAssocID="{421C3D6F-479A-4FA9-93FD-4C01276CEBEF}" presName="tx2" presStyleLbl="revTx" presStyleIdx="3" presStyleCnt="17"/>
      <dgm:spPr/>
      <dgm:t>
        <a:bodyPr/>
        <a:lstStyle/>
        <a:p>
          <a:endParaRPr lang="es-ES"/>
        </a:p>
      </dgm:t>
    </dgm:pt>
    <dgm:pt modelId="{440F89C9-DEAD-4D8F-88DC-15BB387AF9C0}" type="pres">
      <dgm:prSet presAssocID="{421C3D6F-479A-4FA9-93FD-4C01276CEBEF}" presName="vert2" presStyleCnt="0"/>
      <dgm:spPr/>
    </dgm:pt>
    <dgm:pt modelId="{99D96288-0C7B-47B3-A958-A79572DD0251}" type="pres">
      <dgm:prSet presAssocID="{421C3D6F-479A-4FA9-93FD-4C01276CEBEF}" presName="thinLine2b" presStyleLbl="callout" presStyleIdx="2" presStyleCnt="16"/>
      <dgm:spPr/>
    </dgm:pt>
    <dgm:pt modelId="{1A27CB4B-A7B1-4EF4-93E2-447BEECFD5FE}" type="pres">
      <dgm:prSet presAssocID="{421C3D6F-479A-4FA9-93FD-4C01276CEBEF}" presName="vertSpace2b" presStyleCnt="0"/>
      <dgm:spPr/>
    </dgm:pt>
    <dgm:pt modelId="{8C8E908D-50AC-43D0-9D0D-9B2535B2843E}" type="pres">
      <dgm:prSet presAssocID="{4BA5C4D7-C0B0-49DE-959B-3BDD37FAD81A}" presName="horz2" presStyleCnt="0"/>
      <dgm:spPr/>
    </dgm:pt>
    <dgm:pt modelId="{AFAB47A8-5E85-44C3-B50F-A7FCAC156632}" type="pres">
      <dgm:prSet presAssocID="{4BA5C4D7-C0B0-49DE-959B-3BDD37FAD81A}" presName="horzSpace2" presStyleCnt="0"/>
      <dgm:spPr/>
    </dgm:pt>
    <dgm:pt modelId="{970E2884-785A-49BE-BA15-EB1840529DC1}" type="pres">
      <dgm:prSet presAssocID="{4BA5C4D7-C0B0-49DE-959B-3BDD37FAD81A}" presName="tx2" presStyleLbl="revTx" presStyleIdx="4" presStyleCnt="17"/>
      <dgm:spPr/>
      <dgm:t>
        <a:bodyPr/>
        <a:lstStyle/>
        <a:p>
          <a:endParaRPr lang="es-ES"/>
        </a:p>
      </dgm:t>
    </dgm:pt>
    <dgm:pt modelId="{EB7BE009-E420-44BA-89A1-822691A413E7}" type="pres">
      <dgm:prSet presAssocID="{4BA5C4D7-C0B0-49DE-959B-3BDD37FAD81A}" presName="vert2" presStyleCnt="0"/>
      <dgm:spPr/>
    </dgm:pt>
    <dgm:pt modelId="{EBDCD195-6DBB-47DB-B30C-A1F9C7FD32F1}" type="pres">
      <dgm:prSet presAssocID="{4BA5C4D7-C0B0-49DE-959B-3BDD37FAD81A}" presName="thinLine2b" presStyleLbl="callout" presStyleIdx="3" presStyleCnt="16"/>
      <dgm:spPr/>
    </dgm:pt>
    <dgm:pt modelId="{80806812-785A-4C01-84A3-0674EB8B88C8}" type="pres">
      <dgm:prSet presAssocID="{4BA5C4D7-C0B0-49DE-959B-3BDD37FAD81A}" presName="vertSpace2b" presStyleCnt="0"/>
      <dgm:spPr/>
    </dgm:pt>
    <dgm:pt modelId="{6BFA3736-70C8-4C5D-AB6B-AC9E6D0358B8}" type="pres">
      <dgm:prSet presAssocID="{0066335C-71BC-4511-A0F9-9CABE1DE52DA}" presName="horz2" presStyleCnt="0"/>
      <dgm:spPr/>
    </dgm:pt>
    <dgm:pt modelId="{A46AE84C-1A6F-4C8F-B22F-49FCDFCCDAF0}" type="pres">
      <dgm:prSet presAssocID="{0066335C-71BC-4511-A0F9-9CABE1DE52DA}" presName="horzSpace2" presStyleCnt="0"/>
      <dgm:spPr/>
    </dgm:pt>
    <dgm:pt modelId="{7DE186B4-A3C7-4B2C-B328-171F71C96AC1}" type="pres">
      <dgm:prSet presAssocID="{0066335C-71BC-4511-A0F9-9CABE1DE52DA}" presName="tx2" presStyleLbl="revTx" presStyleIdx="5" presStyleCnt="17"/>
      <dgm:spPr/>
      <dgm:t>
        <a:bodyPr/>
        <a:lstStyle/>
        <a:p>
          <a:endParaRPr lang="es-ES"/>
        </a:p>
      </dgm:t>
    </dgm:pt>
    <dgm:pt modelId="{431F9010-ED31-4128-A139-1B57517126D9}" type="pres">
      <dgm:prSet presAssocID="{0066335C-71BC-4511-A0F9-9CABE1DE52DA}" presName="vert2" presStyleCnt="0"/>
      <dgm:spPr/>
    </dgm:pt>
    <dgm:pt modelId="{611E286F-AD51-486E-9F08-893C9A40A6E9}" type="pres">
      <dgm:prSet presAssocID="{0066335C-71BC-4511-A0F9-9CABE1DE52DA}" presName="thinLine2b" presStyleLbl="callout" presStyleIdx="4" presStyleCnt="16"/>
      <dgm:spPr/>
    </dgm:pt>
    <dgm:pt modelId="{FC70FBC0-2FFB-42AE-B474-DCC641E93008}" type="pres">
      <dgm:prSet presAssocID="{0066335C-71BC-4511-A0F9-9CABE1DE52DA}" presName="vertSpace2b" presStyleCnt="0"/>
      <dgm:spPr/>
    </dgm:pt>
    <dgm:pt modelId="{A41F1718-2D9A-461C-ADFC-D3032C15A186}" type="pres">
      <dgm:prSet presAssocID="{6C66F971-2A46-497B-93FB-1A4A15805CD1}" presName="horz2" presStyleCnt="0"/>
      <dgm:spPr/>
    </dgm:pt>
    <dgm:pt modelId="{469E50B0-DCF1-4C16-89ED-0DEAF669671C}" type="pres">
      <dgm:prSet presAssocID="{6C66F971-2A46-497B-93FB-1A4A15805CD1}" presName="horzSpace2" presStyleCnt="0"/>
      <dgm:spPr/>
    </dgm:pt>
    <dgm:pt modelId="{7D8A9098-624D-4E1D-A3E0-D8A9C648D02E}" type="pres">
      <dgm:prSet presAssocID="{6C66F971-2A46-497B-93FB-1A4A15805CD1}" presName="tx2" presStyleLbl="revTx" presStyleIdx="6" presStyleCnt="17"/>
      <dgm:spPr/>
      <dgm:t>
        <a:bodyPr/>
        <a:lstStyle/>
        <a:p>
          <a:endParaRPr lang="es-ES"/>
        </a:p>
      </dgm:t>
    </dgm:pt>
    <dgm:pt modelId="{34D04F5D-835D-433A-B6BD-8283840B33F1}" type="pres">
      <dgm:prSet presAssocID="{6C66F971-2A46-497B-93FB-1A4A15805CD1}" presName="vert2" presStyleCnt="0"/>
      <dgm:spPr/>
    </dgm:pt>
    <dgm:pt modelId="{3989DF3B-003C-4E30-B12A-6DACE6EA3C23}" type="pres">
      <dgm:prSet presAssocID="{6C66F971-2A46-497B-93FB-1A4A15805CD1}" presName="thinLine2b" presStyleLbl="callout" presStyleIdx="5" presStyleCnt="16"/>
      <dgm:spPr/>
    </dgm:pt>
    <dgm:pt modelId="{DFDA9C21-C1EA-4195-8CAE-04CA393DF4F9}" type="pres">
      <dgm:prSet presAssocID="{6C66F971-2A46-497B-93FB-1A4A15805CD1}" presName="vertSpace2b" presStyleCnt="0"/>
      <dgm:spPr/>
    </dgm:pt>
    <dgm:pt modelId="{E7398F45-D861-42F3-8378-4CC0D0335019}" type="pres">
      <dgm:prSet presAssocID="{CB332FDE-FE61-4E0F-B3E3-79E92A73C777}" presName="horz2" presStyleCnt="0"/>
      <dgm:spPr/>
    </dgm:pt>
    <dgm:pt modelId="{D6251B54-E870-4E9E-BC51-89DD59102049}" type="pres">
      <dgm:prSet presAssocID="{CB332FDE-FE61-4E0F-B3E3-79E92A73C777}" presName="horzSpace2" presStyleCnt="0"/>
      <dgm:spPr/>
    </dgm:pt>
    <dgm:pt modelId="{500AEC8C-C91A-44FA-8CFB-0E1E957D0A53}" type="pres">
      <dgm:prSet presAssocID="{CB332FDE-FE61-4E0F-B3E3-79E92A73C777}" presName="tx2" presStyleLbl="revTx" presStyleIdx="7" presStyleCnt="17"/>
      <dgm:spPr/>
      <dgm:t>
        <a:bodyPr/>
        <a:lstStyle/>
        <a:p>
          <a:endParaRPr lang="es-ES"/>
        </a:p>
      </dgm:t>
    </dgm:pt>
    <dgm:pt modelId="{5B26450A-B045-4AEB-85A5-C2DBF9CEF94D}" type="pres">
      <dgm:prSet presAssocID="{CB332FDE-FE61-4E0F-B3E3-79E92A73C777}" presName="vert2" presStyleCnt="0"/>
      <dgm:spPr/>
    </dgm:pt>
    <dgm:pt modelId="{D583CA53-B7F8-479F-B8D1-7649F6EAA192}" type="pres">
      <dgm:prSet presAssocID="{CB332FDE-FE61-4E0F-B3E3-79E92A73C777}" presName="thinLine2b" presStyleLbl="callout" presStyleIdx="6" presStyleCnt="16"/>
      <dgm:spPr/>
    </dgm:pt>
    <dgm:pt modelId="{47861EFA-16DF-4E74-BC8A-54C4E412E81D}" type="pres">
      <dgm:prSet presAssocID="{CB332FDE-FE61-4E0F-B3E3-79E92A73C777}" presName="vertSpace2b" presStyleCnt="0"/>
      <dgm:spPr/>
    </dgm:pt>
    <dgm:pt modelId="{92BBC4CB-3426-4DBF-8083-A8C934669621}" type="pres">
      <dgm:prSet presAssocID="{DC18EAD9-F7BB-4FD2-AFB0-971D1FCBCBAE}" presName="horz2" presStyleCnt="0"/>
      <dgm:spPr/>
    </dgm:pt>
    <dgm:pt modelId="{C4A9AFA0-F848-4106-9D21-F7C7DF41A738}" type="pres">
      <dgm:prSet presAssocID="{DC18EAD9-F7BB-4FD2-AFB0-971D1FCBCBAE}" presName="horzSpace2" presStyleCnt="0"/>
      <dgm:spPr/>
    </dgm:pt>
    <dgm:pt modelId="{498DEBCE-64EA-4328-8C58-98CCB392CE57}" type="pres">
      <dgm:prSet presAssocID="{DC18EAD9-F7BB-4FD2-AFB0-971D1FCBCBAE}" presName="tx2" presStyleLbl="revTx" presStyleIdx="8" presStyleCnt="17"/>
      <dgm:spPr/>
      <dgm:t>
        <a:bodyPr/>
        <a:lstStyle/>
        <a:p>
          <a:endParaRPr lang="es-ES"/>
        </a:p>
      </dgm:t>
    </dgm:pt>
    <dgm:pt modelId="{9C0E7948-60B6-4FFC-A36B-ED0DC21B5F26}" type="pres">
      <dgm:prSet presAssocID="{DC18EAD9-F7BB-4FD2-AFB0-971D1FCBCBAE}" presName="vert2" presStyleCnt="0"/>
      <dgm:spPr/>
    </dgm:pt>
    <dgm:pt modelId="{53EBE85C-7CA5-493E-A843-6E1077224A9E}" type="pres">
      <dgm:prSet presAssocID="{DC18EAD9-F7BB-4FD2-AFB0-971D1FCBCBAE}" presName="thinLine2b" presStyleLbl="callout" presStyleIdx="7" presStyleCnt="16"/>
      <dgm:spPr/>
    </dgm:pt>
    <dgm:pt modelId="{46E14781-D29F-4F02-BBD5-F38876F4DE2D}" type="pres">
      <dgm:prSet presAssocID="{DC18EAD9-F7BB-4FD2-AFB0-971D1FCBCBAE}" presName="vertSpace2b" presStyleCnt="0"/>
      <dgm:spPr/>
    </dgm:pt>
    <dgm:pt modelId="{9C9E6864-0B64-4137-98C3-8C040E2A995B}" type="pres">
      <dgm:prSet presAssocID="{B65FE43D-6766-4F77-93C2-BCEA6B4FBED1}" presName="horz2" presStyleCnt="0"/>
      <dgm:spPr/>
    </dgm:pt>
    <dgm:pt modelId="{6DB925D7-04D0-48AE-A944-D71CE09F8DEF}" type="pres">
      <dgm:prSet presAssocID="{B65FE43D-6766-4F77-93C2-BCEA6B4FBED1}" presName="horzSpace2" presStyleCnt="0"/>
      <dgm:spPr/>
    </dgm:pt>
    <dgm:pt modelId="{74CC2382-7F45-4ACC-B28E-28D51FA13F40}" type="pres">
      <dgm:prSet presAssocID="{B65FE43D-6766-4F77-93C2-BCEA6B4FBED1}" presName="tx2" presStyleLbl="revTx" presStyleIdx="9" presStyleCnt="17"/>
      <dgm:spPr/>
      <dgm:t>
        <a:bodyPr/>
        <a:lstStyle/>
        <a:p>
          <a:endParaRPr lang="es-ES"/>
        </a:p>
      </dgm:t>
    </dgm:pt>
    <dgm:pt modelId="{21A43AE6-16A3-4152-A0CB-3BD5795B528F}" type="pres">
      <dgm:prSet presAssocID="{B65FE43D-6766-4F77-93C2-BCEA6B4FBED1}" presName="vert2" presStyleCnt="0"/>
      <dgm:spPr/>
    </dgm:pt>
    <dgm:pt modelId="{E8A6AB40-5365-4CEE-A0DD-9AF25E862B4F}" type="pres">
      <dgm:prSet presAssocID="{B65FE43D-6766-4F77-93C2-BCEA6B4FBED1}" presName="thinLine2b" presStyleLbl="callout" presStyleIdx="8" presStyleCnt="16"/>
      <dgm:spPr/>
    </dgm:pt>
    <dgm:pt modelId="{EA172BA8-1380-4177-A502-DC85C0C6A541}" type="pres">
      <dgm:prSet presAssocID="{B65FE43D-6766-4F77-93C2-BCEA6B4FBED1}" presName="vertSpace2b" presStyleCnt="0"/>
      <dgm:spPr/>
    </dgm:pt>
    <dgm:pt modelId="{446F5C31-A5CC-41C5-8490-8FE38749DE7A}" type="pres">
      <dgm:prSet presAssocID="{2B6925C0-4A2C-4014-8EC8-BBC905473A5D}" presName="horz2" presStyleCnt="0"/>
      <dgm:spPr/>
    </dgm:pt>
    <dgm:pt modelId="{DF6738DD-A0C1-4349-B2D8-71DB8468A9D3}" type="pres">
      <dgm:prSet presAssocID="{2B6925C0-4A2C-4014-8EC8-BBC905473A5D}" presName="horzSpace2" presStyleCnt="0"/>
      <dgm:spPr/>
    </dgm:pt>
    <dgm:pt modelId="{8D932341-7CC2-436A-901A-0C1E0EB30101}" type="pres">
      <dgm:prSet presAssocID="{2B6925C0-4A2C-4014-8EC8-BBC905473A5D}" presName="tx2" presStyleLbl="revTx" presStyleIdx="10" presStyleCnt="17"/>
      <dgm:spPr/>
      <dgm:t>
        <a:bodyPr/>
        <a:lstStyle/>
        <a:p>
          <a:endParaRPr lang="es-ES"/>
        </a:p>
      </dgm:t>
    </dgm:pt>
    <dgm:pt modelId="{A8240B8F-E523-4309-9777-1B4285D2A7FF}" type="pres">
      <dgm:prSet presAssocID="{2B6925C0-4A2C-4014-8EC8-BBC905473A5D}" presName="vert2" presStyleCnt="0"/>
      <dgm:spPr/>
    </dgm:pt>
    <dgm:pt modelId="{B6C4AFD4-303B-48E4-B444-2DC4D5076F3F}" type="pres">
      <dgm:prSet presAssocID="{2B6925C0-4A2C-4014-8EC8-BBC905473A5D}" presName="thinLine2b" presStyleLbl="callout" presStyleIdx="9" presStyleCnt="16"/>
      <dgm:spPr/>
    </dgm:pt>
    <dgm:pt modelId="{102E8887-BD08-4642-A68D-90D87A137286}" type="pres">
      <dgm:prSet presAssocID="{2B6925C0-4A2C-4014-8EC8-BBC905473A5D}" presName="vertSpace2b" presStyleCnt="0"/>
      <dgm:spPr/>
    </dgm:pt>
    <dgm:pt modelId="{2531FE49-23C1-4D24-B12B-8E385EE5A41F}" type="pres">
      <dgm:prSet presAssocID="{B580BF7D-2DF2-4220-8848-AA2C9FA671E1}" presName="horz2" presStyleCnt="0"/>
      <dgm:spPr/>
    </dgm:pt>
    <dgm:pt modelId="{0C569578-3F6F-456A-B36E-245F3834C033}" type="pres">
      <dgm:prSet presAssocID="{B580BF7D-2DF2-4220-8848-AA2C9FA671E1}" presName="horzSpace2" presStyleCnt="0"/>
      <dgm:spPr/>
    </dgm:pt>
    <dgm:pt modelId="{BE4298EE-700F-41A7-860D-D4C61B533A38}" type="pres">
      <dgm:prSet presAssocID="{B580BF7D-2DF2-4220-8848-AA2C9FA671E1}" presName="tx2" presStyleLbl="revTx" presStyleIdx="11" presStyleCnt="17"/>
      <dgm:spPr/>
      <dgm:t>
        <a:bodyPr/>
        <a:lstStyle/>
        <a:p>
          <a:endParaRPr lang="es-ES"/>
        </a:p>
      </dgm:t>
    </dgm:pt>
    <dgm:pt modelId="{19B75403-0E6C-4D47-BE35-5C1FF54D4442}" type="pres">
      <dgm:prSet presAssocID="{B580BF7D-2DF2-4220-8848-AA2C9FA671E1}" presName="vert2" presStyleCnt="0"/>
      <dgm:spPr/>
    </dgm:pt>
    <dgm:pt modelId="{91677E77-C253-4188-A19A-8D3448A3C149}" type="pres">
      <dgm:prSet presAssocID="{B580BF7D-2DF2-4220-8848-AA2C9FA671E1}" presName="thinLine2b" presStyleLbl="callout" presStyleIdx="10" presStyleCnt="16"/>
      <dgm:spPr/>
    </dgm:pt>
    <dgm:pt modelId="{EBEF5575-CB13-4FC4-9235-F5E9077267FB}" type="pres">
      <dgm:prSet presAssocID="{B580BF7D-2DF2-4220-8848-AA2C9FA671E1}" presName="vertSpace2b" presStyleCnt="0"/>
      <dgm:spPr/>
    </dgm:pt>
    <dgm:pt modelId="{FCF8433A-C154-4D29-9554-012CCC44D53A}" type="pres">
      <dgm:prSet presAssocID="{7069DFDC-5B1E-4B38-9946-53E9497D7E71}" presName="horz2" presStyleCnt="0"/>
      <dgm:spPr/>
    </dgm:pt>
    <dgm:pt modelId="{873EE106-C5A1-4579-8883-5BBE70756A24}" type="pres">
      <dgm:prSet presAssocID="{7069DFDC-5B1E-4B38-9946-53E9497D7E71}" presName="horzSpace2" presStyleCnt="0"/>
      <dgm:spPr/>
    </dgm:pt>
    <dgm:pt modelId="{50FAE105-4155-440E-8DD5-90190759DDDC}" type="pres">
      <dgm:prSet presAssocID="{7069DFDC-5B1E-4B38-9946-53E9497D7E71}" presName="tx2" presStyleLbl="revTx" presStyleIdx="12" presStyleCnt="17"/>
      <dgm:spPr/>
      <dgm:t>
        <a:bodyPr/>
        <a:lstStyle/>
        <a:p>
          <a:endParaRPr lang="es-ES"/>
        </a:p>
      </dgm:t>
    </dgm:pt>
    <dgm:pt modelId="{DD5399CA-E83D-442A-8B0E-72F5F8DA42B3}" type="pres">
      <dgm:prSet presAssocID="{7069DFDC-5B1E-4B38-9946-53E9497D7E71}" presName="vert2" presStyleCnt="0"/>
      <dgm:spPr/>
    </dgm:pt>
    <dgm:pt modelId="{EE11E852-88AD-4B45-820C-5795003EC4A9}" type="pres">
      <dgm:prSet presAssocID="{7069DFDC-5B1E-4B38-9946-53E9497D7E71}" presName="thinLine2b" presStyleLbl="callout" presStyleIdx="11" presStyleCnt="16"/>
      <dgm:spPr/>
    </dgm:pt>
    <dgm:pt modelId="{DBA7D63B-1942-4CF3-A52F-18B3671056B4}" type="pres">
      <dgm:prSet presAssocID="{7069DFDC-5B1E-4B38-9946-53E9497D7E71}" presName="vertSpace2b" presStyleCnt="0"/>
      <dgm:spPr/>
    </dgm:pt>
    <dgm:pt modelId="{F08AEB7B-3975-45C2-A967-150C6CAF379B}" type="pres">
      <dgm:prSet presAssocID="{AFD275E4-0815-46C9-A6FE-EEE65A5E9994}" presName="horz2" presStyleCnt="0"/>
      <dgm:spPr/>
    </dgm:pt>
    <dgm:pt modelId="{399CE0D1-2C25-4C7A-85E9-1B33096DDEFC}" type="pres">
      <dgm:prSet presAssocID="{AFD275E4-0815-46C9-A6FE-EEE65A5E9994}" presName="horzSpace2" presStyleCnt="0"/>
      <dgm:spPr/>
    </dgm:pt>
    <dgm:pt modelId="{B2ADC893-C46C-4386-817D-61CBCB351051}" type="pres">
      <dgm:prSet presAssocID="{AFD275E4-0815-46C9-A6FE-EEE65A5E9994}" presName="tx2" presStyleLbl="revTx" presStyleIdx="13" presStyleCnt="17"/>
      <dgm:spPr/>
      <dgm:t>
        <a:bodyPr/>
        <a:lstStyle/>
        <a:p>
          <a:endParaRPr lang="es-ES"/>
        </a:p>
      </dgm:t>
    </dgm:pt>
    <dgm:pt modelId="{16704BFB-4A56-48D7-B0D2-3A5C4AC84DA1}" type="pres">
      <dgm:prSet presAssocID="{AFD275E4-0815-46C9-A6FE-EEE65A5E9994}" presName="vert2" presStyleCnt="0"/>
      <dgm:spPr/>
    </dgm:pt>
    <dgm:pt modelId="{7D3E8C55-B15C-43E9-BF07-1ABFD9D51EF7}" type="pres">
      <dgm:prSet presAssocID="{AFD275E4-0815-46C9-A6FE-EEE65A5E9994}" presName="thinLine2b" presStyleLbl="callout" presStyleIdx="12" presStyleCnt="16"/>
      <dgm:spPr/>
    </dgm:pt>
    <dgm:pt modelId="{00958A2F-6C5B-401E-8969-5902C09102AA}" type="pres">
      <dgm:prSet presAssocID="{AFD275E4-0815-46C9-A6FE-EEE65A5E9994}" presName="vertSpace2b" presStyleCnt="0"/>
      <dgm:spPr/>
    </dgm:pt>
    <dgm:pt modelId="{338223DF-02F3-43F1-B845-B6C86DDFFD4A}" type="pres">
      <dgm:prSet presAssocID="{16AA04DE-7767-4148-8B2E-6CE2114C5E00}" presName="horz2" presStyleCnt="0"/>
      <dgm:spPr/>
    </dgm:pt>
    <dgm:pt modelId="{2CA2CD5D-2334-4A5C-8BD6-FA2D7EACB961}" type="pres">
      <dgm:prSet presAssocID="{16AA04DE-7767-4148-8B2E-6CE2114C5E00}" presName="horzSpace2" presStyleCnt="0"/>
      <dgm:spPr/>
    </dgm:pt>
    <dgm:pt modelId="{DD70BC83-1072-4EAB-B9AF-F2AEB50F6C4F}" type="pres">
      <dgm:prSet presAssocID="{16AA04DE-7767-4148-8B2E-6CE2114C5E00}" presName="tx2" presStyleLbl="revTx" presStyleIdx="14" presStyleCnt="17"/>
      <dgm:spPr/>
      <dgm:t>
        <a:bodyPr/>
        <a:lstStyle/>
        <a:p>
          <a:endParaRPr lang="es-ES"/>
        </a:p>
      </dgm:t>
    </dgm:pt>
    <dgm:pt modelId="{EA4F9E3C-BD23-4ADB-85DD-CE5EC78ED861}" type="pres">
      <dgm:prSet presAssocID="{16AA04DE-7767-4148-8B2E-6CE2114C5E00}" presName="vert2" presStyleCnt="0"/>
      <dgm:spPr/>
    </dgm:pt>
    <dgm:pt modelId="{643A8AAD-D319-4521-B4CF-8614E7E4BE2A}" type="pres">
      <dgm:prSet presAssocID="{16AA04DE-7767-4148-8B2E-6CE2114C5E00}" presName="thinLine2b" presStyleLbl="callout" presStyleIdx="13" presStyleCnt="16"/>
      <dgm:spPr/>
    </dgm:pt>
    <dgm:pt modelId="{4DA27902-2F12-49AB-B540-0A0A52CE8DF2}" type="pres">
      <dgm:prSet presAssocID="{16AA04DE-7767-4148-8B2E-6CE2114C5E00}" presName="vertSpace2b" presStyleCnt="0"/>
      <dgm:spPr/>
    </dgm:pt>
    <dgm:pt modelId="{1C7CDF55-4672-4E8D-B169-5BE32A3FE506}" type="pres">
      <dgm:prSet presAssocID="{E43EB520-D4B1-44D0-BC01-A1CDE6AA0FFA}" presName="horz2" presStyleCnt="0"/>
      <dgm:spPr/>
    </dgm:pt>
    <dgm:pt modelId="{F08DFCFA-8BEA-4BF6-8597-E76A19801A6E}" type="pres">
      <dgm:prSet presAssocID="{E43EB520-D4B1-44D0-BC01-A1CDE6AA0FFA}" presName="horzSpace2" presStyleCnt="0"/>
      <dgm:spPr/>
    </dgm:pt>
    <dgm:pt modelId="{2F38B687-A67E-427A-AC2B-DFB8FA8919E9}" type="pres">
      <dgm:prSet presAssocID="{E43EB520-D4B1-44D0-BC01-A1CDE6AA0FFA}" presName="tx2" presStyleLbl="revTx" presStyleIdx="15" presStyleCnt="17"/>
      <dgm:spPr/>
      <dgm:t>
        <a:bodyPr/>
        <a:lstStyle/>
        <a:p>
          <a:endParaRPr lang="es-ES"/>
        </a:p>
      </dgm:t>
    </dgm:pt>
    <dgm:pt modelId="{3A32BF71-33EC-48C8-BD16-91AE5794E89F}" type="pres">
      <dgm:prSet presAssocID="{E43EB520-D4B1-44D0-BC01-A1CDE6AA0FFA}" presName="vert2" presStyleCnt="0"/>
      <dgm:spPr/>
    </dgm:pt>
    <dgm:pt modelId="{EC88BAD7-DB9F-4487-9522-E924CA71E4FA}" type="pres">
      <dgm:prSet presAssocID="{E43EB520-D4B1-44D0-BC01-A1CDE6AA0FFA}" presName="thinLine2b" presStyleLbl="callout" presStyleIdx="14" presStyleCnt="16"/>
      <dgm:spPr/>
    </dgm:pt>
    <dgm:pt modelId="{C75B52A4-9539-4646-9C0A-2C877F132F1E}" type="pres">
      <dgm:prSet presAssocID="{E43EB520-D4B1-44D0-BC01-A1CDE6AA0FFA}" presName="vertSpace2b" presStyleCnt="0"/>
      <dgm:spPr/>
    </dgm:pt>
    <dgm:pt modelId="{78A3C68C-E093-4443-A46D-7A08FB0AD6DE}" type="pres">
      <dgm:prSet presAssocID="{B56F6A43-2116-4344-BC90-35CB1A57B563}" presName="horz2" presStyleCnt="0"/>
      <dgm:spPr/>
    </dgm:pt>
    <dgm:pt modelId="{398EA7AE-05A1-44F0-8EC6-4774C9C75213}" type="pres">
      <dgm:prSet presAssocID="{B56F6A43-2116-4344-BC90-35CB1A57B563}" presName="horzSpace2" presStyleCnt="0"/>
      <dgm:spPr/>
    </dgm:pt>
    <dgm:pt modelId="{CC54F101-24E1-408C-B48E-8C8D34E4CC59}" type="pres">
      <dgm:prSet presAssocID="{B56F6A43-2116-4344-BC90-35CB1A57B563}" presName="tx2" presStyleLbl="revTx" presStyleIdx="16" presStyleCnt="17"/>
      <dgm:spPr/>
      <dgm:t>
        <a:bodyPr/>
        <a:lstStyle/>
        <a:p>
          <a:endParaRPr lang="es-ES"/>
        </a:p>
      </dgm:t>
    </dgm:pt>
    <dgm:pt modelId="{82752A0A-FBE9-4320-B5FC-1B85588BA044}" type="pres">
      <dgm:prSet presAssocID="{B56F6A43-2116-4344-BC90-35CB1A57B563}" presName="vert2" presStyleCnt="0"/>
      <dgm:spPr/>
    </dgm:pt>
    <dgm:pt modelId="{9DE7A904-7E1A-4529-9A0B-DD24854C62B3}" type="pres">
      <dgm:prSet presAssocID="{B56F6A43-2116-4344-BC90-35CB1A57B563}" presName="thinLine2b" presStyleLbl="callout" presStyleIdx="15" presStyleCnt="16"/>
      <dgm:spPr/>
    </dgm:pt>
    <dgm:pt modelId="{FD5F7475-598A-4403-AC73-7EEBFA93AC79}" type="pres">
      <dgm:prSet presAssocID="{B56F6A43-2116-4344-BC90-35CB1A57B563}" presName="vertSpace2b" presStyleCnt="0"/>
      <dgm:spPr/>
    </dgm:pt>
  </dgm:ptLst>
  <dgm:cxnLst>
    <dgm:cxn modelId="{A5F8CD4A-18AC-46A8-AE62-C6F96DF180B6}" srcId="{433DC04B-F9F7-413C-8534-9943FEE4FCB6}" destId="{BEB966A9-6D0F-436E-BDCC-197708333347}" srcOrd="0" destOrd="0" parTransId="{83D9DA32-F795-42B5-B9D2-A504AD8F9274}" sibTransId="{81AA28D6-FD7C-48AA-A13D-C1FA5A81E205}"/>
    <dgm:cxn modelId="{07537C30-B5B1-473D-8860-C967AB53793A}" srcId="{BEB966A9-6D0F-436E-BDCC-197708333347}" destId="{6C66F971-2A46-497B-93FB-1A4A15805CD1}" srcOrd="5" destOrd="0" parTransId="{B6CFF994-8964-4953-9442-98E4F5920CE7}" sibTransId="{4CB397FA-15FB-47F7-B741-BEC2AAF7C04C}"/>
    <dgm:cxn modelId="{539B1465-E8C1-455B-A182-628B8A8507C1}" srcId="{BEB966A9-6D0F-436E-BDCC-197708333347}" destId="{B580BF7D-2DF2-4220-8848-AA2C9FA671E1}" srcOrd="10" destOrd="0" parTransId="{D9050EEE-2BB8-4FCF-9AFC-56B66F257074}" sibTransId="{483F7499-C7F3-42F9-90C3-28C6D090C80C}"/>
    <dgm:cxn modelId="{CB27EA0D-A7D1-47E3-9815-94B3C791982F}" type="presOf" srcId="{0066335C-71BC-4511-A0F9-9CABE1DE52DA}" destId="{7DE186B4-A3C7-4B2C-B328-171F71C96AC1}" srcOrd="0" destOrd="0" presId="urn:microsoft.com/office/officeart/2008/layout/LinedList"/>
    <dgm:cxn modelId="{563733AD-89F1-4B91-818B-D980FE057E9B}" type="presOf" srcId="{6F8AEF44-6C93-424F-B6ED-9F7F74E88FEB}" destId="{3AC6090F-6BD6-45D6-92C4-F1900106CD38}" srcOrd="0" destOrd="0" presId="urn:microsoft.com/office/officeart/2008/layout/LinedList"/>
    <dgm:cxn modelId="{DDC9C0EE-D3D6-459F-9FD9-D36D4C4948B1}" srcId="{BEB966A9-6D0F-436E-BDCC-197708333347}" destId="{2B6925C0-4A2C-4014-8EC8-BBC905473A5D}" srcOrd="9" destOrd="0" parTransId="{6674378D-2AA6-420E-A107-10B1FB1B5E8E}" sibTransId="{CDFD04C9-87F0-4455-847C-96841F0138B2}"/>
    <dgm:cxn modelId="{E5D1375F-124B-4F02-B72A-D2EF172A50CB}" srcId="{BEB966A9-6D0F-436E-BDCC-197708333347}" destId="{16AA04DE-7767-4148-8B2E-6CE2114C5E00}" srcOrd="13" destOrd="0" parTransId="{B6B3BF0F-EFBA-457D-AFDD-3C3F4DBFBA17}" sibTransId="{0AAFAAC5-7A5B-41D5-A0CF-4FB30C8A80FA}"/>
    <dgm:cxn modelId="{74D15711-A62E-4B28-89C8-262580370FB4}" srcId="{BEB966A9-6D0F-436E-BDCC-197708333347}" destId="{7069DFDC-5B1E-4B38-9946-53E9497D7E71}" srcOrd="11" destOrd="0" parTransId="{733960CE-587F-45B7-BEBF-DEE5FECAFB0D}" sibTransId="{C249F5BE-48A4-456D-AC4D-FF3A1634C88E}"/>
    <dgm:cxn modelId="{9CB95B0D-A029-4DDC-8C11-089CDA588B4C}" type="presOf" srcId="{AFD275E4-0815-46C9-A6FE-EEE65A5E9994}" destId="{B2ADC893-C46C-4386-817D-61CBCB351051}" srcOrd="0" destOrd="0" presId="urn:microsoft.com/office/officeart/2008/layout/LinedList"/>
    <dgm:cxn modelId="{7155991F-950C-4430-8D90-E5CA54EA5395}" srcId="{BEB966A9-6D0F-436E-BDCC-197708333347}" destId="{B0AE1747-0CB7-4D79-8664-24DC55E136D1}" srcOrd="0" destOrd="0" parTransId="{363D36CA-0601-41FA-819E-CED7BCD04006}" sibTransId="{FB00AB65-CD46-495B-B18C-36BC3ED191BD}"/>
    <dgm:cxn modelId="{FAE413C8-8A6E-4E3E-A46B-A23CBA44BCF1}" type="presOf" srcId="{B65FE43D-6766-4F77-93C2-BCEA6B4FBED1}" destId="{74CC2382-7F45-4ACC-B28E-28D51FA13F40}" srcOrd="0" destOrd="0" presId="urn:microsoft.com/office/officeart/2008/layout/LinedList"/>
    <dgm:cxn modelId="{592FB696-F6CD-4580-B787-7CC6A2DA5C70}" type="presOf" srcId="{E43EB520-D4B1-44D0-BC01-A1CDE6AA0FFA}" destId="{2F38B687-A67E-427A-AC2B-DFB8FA8919E9}" srcOrd="0" destOrd="0" presId="urn:microsoft.com/office/officeart/2008/layout/LinedList"/>
    <dgm:cxn modelId="{D6798D69-E00C-46D9-B54C-F856A4C213A9}" type="presOf" srcId="{421C3D6F-479A-4FA9-93FD-4C01276CEBEF}" destId="{6A7299A9-1A42-45A0-9D57-8DF3B50A801E}" srcOrd="0" destOrd="0" presId="urn:microsoft.com/office/officeart/2008/layout/LinedList"/>
    <dgm:cxn modelId="{77E35E03-6558-46B0-BBB2-2EF4A6125981}" type="presOf" srcId="{B0AE1747-0CB7-4D79-8664-24DC55E136D1}" destId="{DD31B207-E7F9-47B8-8CB3-1610819424E7}" srcOrd="0" destOrd="0" presId="urn:microsoft.com/office/officeart/2008/layout/LinedList"/>
    <dgm:cxn modelId="{E68A4031-84FD-4788-BF80-850AFE09DE48}" srcId="{BEB966A9-6D0F-436E-BDCC-197708333347}" destId="{B65FE43D-6766-4F77-93C2-BCEA6B4FBED1}" srcOrd="8" destOrd="0" parTransId="{98D9F93E-DD8F-439D-959C-18BF4C2E62ED}" sibTransId="{C89D3BB1-5B9D-46FF-B32D-27CDF03E7531}"/>
    <dgm:cxn modelId="{BB52217D-77D1-44F9-96BD-0DAAD0E9F83C}" srcId="{BEB966A9-6D0F-436E-BDCC-197708333347}" destId="{AFD275E4-0815-46C9-A6FE-EEE65A5E9994}" srcOrd="12" destOrd="0" parTransId="{5B8B1A0B-B54E-47D0-8F27-18F377FB07FE}" sibTransId="{59616623-65B9-4481-9BAF-26EFBD7E8962}"/>
    <dgm:cxn modelId="{71B9E06F-CFDF-4E0E-A33B-34ED80824BBA}" type="presOf" srcId="{B580BF7D-2DF2-4220-8848-AA2C9FA671E1}" destId="{BE4298EE-700F-41A7-860D-D4C61B533A38}" srcOrd="0" destOrd="0" presId="urn:microsoft.com/office/officeart/2008/layout/LinedList"/>
    <dgm:cxn modelId="{EEA19BE0-A741-4208-A610-B234BF8CEB65}" type="presOf" srcId="{16AA04DE-7767-4148-8B2E-6CE2114C5E00}" destId="{DD70BC83-1072-4EAB-B9AF-F2AEB50F6C4F}" srcOrd="0" destOrd="0" presId="urn:microsoft.com/office/officeart/2008/layout/LinedList"/>
    <dgm:cxn modelId="{4FAEF689-C1BF-4244-A6C2-690D75E47975}" srcId="{BEB966A9-6D0F-436E-BDCC-197708333347}" destId="{DC18EAD9-F7BB-4FD2-AFB0-971D1FCBCBAE}" srcOrd="7" destOrd="0" parTransId="{6AA21A91-E3F4-477B-A8D5-F4948B26FDB4}" sibTransId="{4905FFB4-EB9A-4C09-B3AB-109FD44B6303}"/>
    <dgm:cxn modelId="{C22AF5E0-1A43-4A13-9591-332F42C51E64}" srcId="{BEB966A9-6D0F-436E-BDCC-197708333347}" destId="{6F8AEF44-6C93-424F-B6ED-9F7F74E88FEB}" srcOrd="1" destOrd="0" parTransId="{2D355F59-ADE5-47FD-84F3-716610985AED}" sibTransId="{83EA90C9-2711-47B2-8604-AC5555FE54A6}"/>
    <dgm:cxn modelId="{FCB555CB-6D12-4E6F-9C1C-897182766D64}" type="presOf" srcId="{4BA5C4D7-C0B0-49DE-959B-3BDD37FAD81A}" destId="{970E2884-785A-49BE-BA15-EB1840529DC1}" srcOrd="0" destOrd="0" presId="urn:microsoft.com/office/officeart/2008/layout/LinedList"/>
    <dgm:cxn modelId="{F4AAB445-6D96-4C15-9CCC-6F45EB20C6D5}" type="presOf" srcId="{CB332FDE-FE61-4E0F-B3E3-79E92A73C777}" destId="{500AEC8C-C91A-44FA-8CFB-0E1E957D0A53}" srcOrd="0" destOrd="0" presId="urn:microsoft.com/office/officeart/2008/layout/LinedList"/>
    <dgm:cxn modelId="{6369DF1E-8D42-4997-9D52-98C470A9BCE1}" type="presOf" srcId="{433DC04B-F9F7-413C-8534-9943FEE4FCB6}" destId="{DAEE8E74-7D19-4F98-A746-D1B018CDC90B}" srcOrd="0" destOrd="0" presId="urn:microsoft.com/office/officeart/2008/layout/LinedList"/>
    <dgm:cxn modelId="{9D553D97-E7A7-45A1-97FF-39401C31CDD5}" type="presOf" srcId="{7069DFDC-5B1E-4B38-9946-53E9497D7E71}" destId="{50FAE105-4155-440E-8DD5-90190759DDDC}" srcOrd="0" destOrd="0" presId="urn:microsoft.com/office/officeart/2008/layout/LinedList"/>
    <dgm:cxn modelId="{024C876A-FB6A-4108-9CDE-46EED31CA229}" type="presOf" srcId="{BEB966A9-6D0F-436E-BDCC-197708333347}" destId="{5F2DD070-0E12-494F-9403-329641313964}" srcOrd="0" destOrd="0" presId="urn:microsoft.com/office/officeart/2008/layout/LinedList"/>
    <dgm:cxn modelId="{E21CE6E0-A316-4128-902F-58165535B0FA}" srcId="{BEB966A9-6D0F-436E-BDCC-197708333347}" destId="{B56F6A43-2116-4344-BC90-35CB1A57B563}" srcOrd="15" destOrd="0" parTransId="{3651DF23-88C6-45E6-9BA7-A35CC390B8C4}" sibTransId="{426E190B-22A9-48A0-871C-3F730949B8EE}"/>
    <dgm:cxn modelId="{23E65F80-16E6-410D-A5A8-C454DBB71AED}" srcId="{BEB966A9-6D0F-436E-BDCC-197708333347}" destId="{4BA5C4D7-C0B0-49DE-959B-3BDD37FAD81A}" srcOrd="3" destOrd="0" parTransId="{17F2D9C9-C0F8-4D31-8C8E-45A03A09192C}" sibTransId="{35E0CF41-2D30-4190-9D97-9CB0AA5EE61B}"/>
    <dgm:cxn modelId="{A07B3292-50EA-4C79-ABBD-0D980CF00D02}" type="presOf" srcId="{2B6925C0-4A2C-4014-8EC8-BBC905473A5D}" destId="{8D932341-7CC2-436A-901A-0C1E0EB30101}" srcOrd="0" destOrd="0" presId="urn:microsoft.com/office/officeart/2008/layout/LinedList"/>
    <dgm:cxn modelId="{47DF0F59-ACE1-4435-AC4F-C3BD89D1B943}" type="presOf" srcId="{DC18EAD9-F7BB-4FD2-AFB0-971D1FCBCBAE}" destId="{498DEBCE-64EA-4328-8C58-98CCB392CE57}" srcOrd="0" destOrd="0" presId="urn:microsoft.com/office/officeart/2008/layout/LinedList"/>
    <dgm:cxn modelId="{ACCB7E23-063E-4426-B580-251D161656CE}" type="presOf" srcId="{B56F6A43-2116-4344-BC90-35CB1A57B563}" destId="{CC54F101-24E1-408C-B48E-8C8D34E4CC59}" srcOrd="0" destOrd="0" presId="urn:microsoft.com/office/officeart/2008/layout/LinedList"/>
    <dgm:cxn modelId="{7D541EF1-7FC8-45D2-9B1C-C3A99D8B387F}" srcId="{BEB966A9-6D0F-436E-BDCC-197708333347}" destId="{421C3D6F-479A-4FA9-93FD-4C01276CEBEF}" srcOrd="2" destOrd="0" parTransId="{1A6C299E-44C6-4E94-BAB0-29E80B2BFCEC}" sibTransId="{7A6B2BAB-6E6C-41D7-956B-F466D61F4D41}"/>
    <dgm:cxn modelId="{4EDB04C4-36E8-4FF6-AF29-EDB2EAE31313}" srcId="{BEB966A9-6D0F-436E-BDCC-197708333347}" destId="{CB332FDE-FE61-4E0F-B3E3-79E92A73C777}" srcOrd="6" destOrd="0" parTransId="{11F80FF8-DF34-4F97-BD1F-B2F1F1FF8CED}" sibTransId="{F3FABDEA-8889-46C7-8F89-B4F823D2A59E}"/>
    <dgm:cxn modelId="{C365768B-A5AA-420C-AC1F-36EA80F63D99}" type="presOf" srcId="{6C66F971-2A46-497B-93FB-1A4A15805CD1}" destId="{7D8A9098-624D-4E1D-A3E0-D8A9C648D02E}" srcOrd="0" destOrd="0" presId="urn:microsoft.com/office/officeart/2008/layout/LinedList"/>
    <dgm:cxn modelId="{4C32B45E-2281-4772-B94D-2116FF04D287}" srcId="{BEB966A9-6D0F-436E-BDCC-197708333347}" destId="{0066335C-71BC-4511-A0F9-9CABE1DE52DA}" srcOrd="4" destOrd="0" parTransId="{D9B6CFAD-1F29-41C0-AF01-DA16A3811248}" sibTransId="{60756311-125C-455B-BBFA-D2F09D9B6E5F}"/>
    <dgm:cxn modelId="{72E1CC3C-0F63-459E-B6B7-C1E30DFFDFCE}" srcId="{BEB966A9-6D0F-436E-BDCC-197708333347}" destId="{E43EB520-D4B1-44D0-BC01-A1CDE6AA0FFA}" srcOrd="14" destOrd="0" parTransId="{9BD3B033-3595-4147-8425-394A11B40971}" sibTransId="{9278692E-7C00-439B-B052-F23575472B1F}"/>
    <dgm:cxn modelId="{F6736F8D-0A1A-4264-9CAF-E4CE2C2F4275}" type="presParOf" srcId="{DAEE8E74-7D19-4F98-A746-D1B018CDC90B}" destId="{15EA9F54-86A8-4703-A7B0-346E21089D1D}" srcOrd="0" destOrd="0" presId="urn:microsoft.com/office/officeart/2008/layout/LinedList"/>
    <dgm:cxn modelId="{B1640C4C-AFF9-494E-BD5F-175902CBCE86}" type="presParOf" srcId="{DAEE8E74-7D19-4F98-A746-D1B018CDC90B}" destId="{1C8DBD86-A4B5-4766-A334-5BC89B206A79}" srcOrd="1" destOrd="0" presId="urn:microsoft.com/office/officeart/2008/layout/LinedList"/>
    <dgm:cxn modelId="{B2A6C441-5234-407A-B255-D3EB403A1815}" type="presParOf" srcId="{1C8DBD86-A4B5-4766-A334-5BC89B206A79}" destId="{5F2DD070-0E12-494F-9403-329641313964}" srcOrd="0" destOrd="0" presId="urn:microsoft.com/office/officeart/2008/layout/LinedList"/>
    <dgm:cxn modelId="{E128437F-759F-4B25-B7DC-C834E703A5BA}" type="presParOf" srcId="{1C8DBD86-A4B5-4766-A334-5BC89B206A79}" destId="{9C46A951-1973-4797-A6B5-C6F9205AF730}" srcOrd="1" destOrd="0" presId="urn:microsoft.com/office/officeart/2008/layout/LinedList"/>
    <dgm:cxn modelId="{FADCAE6E-F6C4-4C9C-BC60-BB905A457B11}" type="presParOf" srcId="{9C46A951-1973-4797-A6B5-C6F9205AF730}" destId="{B8FE9D32-5D78-4404-84BD-56D00602B346}" srcOrd="0" destOrd="0" presId="urn:microsoft.com/office/officeart/2008/layout/LinedList"/>
    <dgm:cxn modelId="{59F8F6B6-9B5E-4CD1-BE5C-606D1541EA1D}" type="presParOf" srcId="{9C46A951-1973-4797-A6B5-C6F9205AF730}" destId="{3471A75E-C654-42DC-B3E8-4849C25C8638}" srcOrd="1" destOrd="0" presId="urn:microsoft.com/office/officeart/2008/layout/LinedList"/>
    <dgm:cxn modelId="{69CDF9EB-424C-4F96-BE4D-F4B3D9FFF91B}" type="presParOf" srcId="{3471A75E-C654-42DC-B3E8-4849C25C8638}" destId="{9B357398-97EE-42B4-93E3-CC03712BD931}" srcOrd="0" destOrd="0" presId="urn:microsoft.com/office/officeart/2008/layout/LinedList"/>
    <dgm:cxn modelId="{0111AE07-5FCC-4009-A6E1-76BE8E86A7E2}" type="presParOf" srcId="{3471A75E-C654-42DC-B3E8-4849C25C8638}" destId="{DD31B207-E7F9-47B8-8CB3-1610819424E7}" srcOrd="1" destOrd="0" presId="urn:microsoft.com/office/officeart/2008/layout/LinedList"/>
    <dgm:cxn modelId="{6A8BA9DD-ACC6-44B3-A53E-E6CC9E62F880}" type="presParOf" srcId="{3471A75E-C654-42DC-B3E8-4849C25C8638}" destId="{556CD178-5142-4324-9066-F958DF9BB8DB}" srcOrd="2" destOrd="0" presId="urn:microsoft.com/office/officeart/2008/layout/LinedList"/>
    <dgm:cxn modelId="{D27AECBB-F181-43C0-9320-DB513D9DB076}" type="presParOf" srcId="{9C46A951-1973-4797-A6B5-C6F9205AF730}" destId="{71D278EC-F037-40BC-9454-EBB39935DE77}" srcOrd="2" destOrd="0" presId="urn:microsoft.com/office/officeart/2008/layout/LinedList"/>
    <dgm:cxn modelId="{B3DA8953-9B00-475F-BBC7-68A59D881D97}" type="presParOf" srcId="{9C46A951-1973-4797-A6B5-C6F9205AF730}" destId="{BA0D7CD0-768E-43A9-9895-50F7BBBD25BA}" srcOrd="3" destOrd="0" presId="urn:microsoft.com/office/officeart/2008/layout/LinedList"/>
    <dgm:cxn modelId="{F96D716D-153E-415A-8575-E758D965A2AC}" type="presParOf" srcId="{9C46A951-1973-4797-A6B5-C6F9205AF730}" destId="{6073E681-4196-4044-90BB-C8721A00A7A1}" srcOrd="4" destOrd="0" presId="urn:microsoft.com/office/officeart/2008/layout/LinedList"/>
    <dgm:cxn modelId="{E04A3582-CE29-4DC2-8D05-72778BA9EC08}" type="presParOf" srcId="{6073E681-4196-4044-90BB-C8721A00A7A1}" destId="{E718F8DD-58C4-48C6-8736-5B7444B9A2AB}" srcOrd="0" destOrd="0" presId="urn:microsoft.com/office/officeart/2008/layout/LinedList"/>
    <dgm:cxn modelId="{1311B263-5E2C-4373-9256-2AA01A9A97A0}" type="presParOf" srcId="{6073E681-4196-4044-90BB-C8721A00A7A1}" destId="{3AC6090F-6BD6-45D6-92C4-F1900106CD38}" srcOrd="1" destOrd="0" presId="urn:microsoft.com/office/officeart/2008/layout/LinedList"/>
    <dgm:cxn modelId="{2D53FF6B-BEFC-4991-B8F4-6807EFB8DD56}" type="presParOf" srcId="{6073E681-4196-4044-90BB-C8721A00A7A1}" destId="{94EBEA51-A127-491A-9C60-E29157F4E1A8}" srcOrd="2" destOrd="0" presId="urn:microsoft.com/office/officeart/2008/layout/LinedList"/>
    <dgm:cxn modelId="{C2BE0B82-119D-45F7-AEE8-696A36FC88AB}" type="presParOf" srcId="{9C46A951-1973-4797-A6B5-C6F9205AF730}" destId="{A5793638-11E0-488B-A115-EF209833AE60}" srcOrd="5" destOrd="0" presId="urn:microsoft.com/office/officeart/2008/layout/LinedList"/>
    <dgm:cxn modelId="{AC0FCCCB-7D5A-4865-8CAC-7CC1C2F4D113}" type="presParOf" srcId="{9C46A951-1973-4797-A6B5-C6F9205AF730}" destId="{3BD4B173-5CA6-41FD-9783-A666B0B81CA0}" srcOrd="6" destOrd="0" presId="urn:microsoft.com/office/officeart/2008/layout/LinedList"/>
    <dgm:cxn modelId="{9A347987-3404-4003-9746-90CEA94667A0}" type="presParOf" srcId="{9C46A951-1973-4797-A6B5-C6F9205AF730}" destId="{99E6CCBE-EFDD-4305-B20D-AAEAC1B00E70}" srcOrd="7" destOrd="0" presId="urn:microsoft.com/office/officeart/2008/layout/LinedList"/>
    <dgm:cxn modelId="{2E9A5A8F-AA52-42C0-AAF9-29D1A1F4CD6F}" type="presParOf" srcId="{99E6CCBE-EFDD-4305-B20D-AAEAC1B00E70}" destId="{0789ED67-973A-4B15-95A8-493DFAA3AE2F}" srcOrd="0" destOrd="0" presId="urn:microsoft.com/office/officeart/2008/layout/LinedList"/>
    <dgm:cxn modelId="{96C4C525-1B79-4363-A1BD-4002D6E78DD2}" type="presParOf" srcId="{99E6CCBE-EFDD-4305-B20D-AAEAC1B00E70}" destId="{6A7299A9-1A42-45A0-9D57-8DF3B50A801E}" srcOrd="1" destOrd="0" presId="urn:microsoft.com/office/officeart/2008/layout/LinedList"/>
    <dgm:cxn modelId="{4565013F-AD29-4E00-BCEA-594416D4E4F4}" type="presParOf" srcId="{99E6CCBE-EFDD-4305-B20D-AAEAC1B00E70}" destId="{440F89C9-DEAD-4D8F-88DC-15BB387AF9C0}" srcOrd="2" destOrd="0" presId="urn:microsoft.com/office/officeart/2008/layout/LinedList"/>
    <dgm:cxn modelId="{03C13AF8-1592-469C-92F3-EBBB3C528DA7}" type="presParOf" srcId="{9C46A951-1973-4797-A6B5-C6F9205AF730}" destId="{99D96288-0C7B-47B3-A958-A79572DD0251}" srcOrd="8" destOrd="0" presId="urn:microsoft.com/office/officeart/2008/layout/LinedList"/>
    <dgm:cxn modelId="{F4BE903C-7A05-4999-877B-DCAC2551CBE7}" type="presParOf" srcId="{9C46A951-1973-4797-A6B5-C6F9205AF730}" destId="{1A27CB4B-A7B1-4EF4-93E2-447BEECFD5FE}" srcOrd="9" destOrd="0" presId="urn:microsoft.com/office/officeart/2008/layout/LinedList"/>
    <dgm:cxn modelId="{CF8E5FD3-EEE1-47AB-95F5-C7068BEE48C4}" type="presParOf" srcId="{9C46A951-1973-4797-A6B5-C6F9205AF730}" destId="{8C8E908D-50AC-43D0-9D0D-9B2535B2843E}" srcOrd="10" destOrd="0" presId="urn:microsoft.com/office/officeart/2008/layout/LinedList"/>
    <dgm:cxn modelId="{883CE6AC-4231-4E93-98BE-DB7CCF49D7B2}" type="presParOf" srcId="{8C8E908D-50AC-43D0-9D0D-9B2535B2843E}" destId="{AFAB47A8-5E85-44C3-B50F-A7FCAC156632}" srcOrd="0" destOrd="0" presId="urn:microsoft.com/office/officeart/2008/layout/LinedList"/>
    <dgm:cxn modelId="{333715D2-B626-4E0E-B8C8-123DED2845C4}" type="presParOf" srcId="{8C8E908D-50AC-43D0-9D0D-9B2535B2843E}" destId="{970E2884-785A-49BE-BA15-EB1840529DC1}" srcOrd="1" destOrd="0" presId="urn:microsoft.com/office/officeart/2008/layout/LinedList"/>
    <dgm:cxn modelId="{A084AF99-C4C1-444F-A479-CCD8BC8AB0C2}" type="presParOf" srcId="{8C8E908D-50AC-43D0-9D0D-9B2535B2843E}" destId="{EB7BE009-E420-44BA-89A1-822691A413E7}" srcOrd="2" destOrd="0" presId="urn:microsoft.com/office/officeart/2008/layout/LinedList"/>
    <dgm:cxn modelId="{57621765-F088-4316-BA90-E1B819154CC2}" type="presParOf" srcId="{9C46A951-1973-4797-A6B5-C6F9205AF730}" destId="{EBDCD195-6DBB-47DB-B30C-A1F9C7FD32F1}" srcOrd="11" destOrd="0" presId="urn:microsoft.com/office/officeart/2008/layout/LinedList"/>
    <dgm:cxn modelId="{1F1E5510-4316-444E-A244-E0D291C6A4A4}" type="presParOf" srcId="{9C46A951-1973-4797-A6B5-C6F9205AF730}" destId="{80806812-785A-4C01-84A3-0674EB8B88C8}" srcOrd="12" destOrd="0" presId="urn:microsoft.com/office/officeart/2008/layout/LinedList"/>
    <dgm:cxn modelId="{E5B7DDB4-1D90-4036-AC32-0D5EA2454ADA}" type="presParOf" srcId="{9C46A951-1973-4797-A6B5-C6F9205AF730}" destId="{6BFA3736-70C8-4C5D-AB6B-AC9E6D0358B8}" srcOrd="13" destOrd="0" presId="urn:microsoft.com/office/officeart/2008/layout/LinedList"/>
    <dgm:cxn modelId="{418AFDED-2C7C-44F4-8DDE-FD78FC0ADB94}" type="presParOf" srcId="{6BFA3736-70C8-4C5D-AB6B-AC9E6D0358B8}" destId="{A46AE84C-1A6F-4C8F-B22F-49FCDFCCDAF0}" srcOrd="0" destOrd="0" presId="urn:microsoft.com/office/officeart/2008/layout/LinedList"/>
    <dgm:cxn modelId="{51F54D3F-3BE5-4B3C-BD9E-692286F8C6A3}" type="presParOf" srcId="{6BFA3736-70C8-4C5D-AB6B-AC9E6D0358B8}" destId="{7DE186B4-A3C7-4B2C-B328-171F71C96AC1}" srcOrd="1" destOrd="0" presId="urn:microsoft.com/office/officeart/2008/layout/LinedList"/>
    <dgm:cxn modelId="{26115639-62E3-4782-9087-50084682B491}" type="presParOf" srcId="{6BFA3736-70C8-4C5D-AB6B-AC9E6D0358B8}" destId="{431F9010-ED31-4128-A139-1B57517126D9}" srcOrd="2" destOrd="0" presId="urn:microsoft.com/office/officeart/2008/layout/LinedList"/>
    <dgm:cxn modelId="{741AF07E-E692-47DF-9A98-18FC24B1FEF5}" type="presParOf" srcId="{9C46A951-1973-4797-A6B5-C6F9205AF730}" destId="{611E286F-AD51-486E-9F08-893C9A40A6E9}" srcOrd="14" destOrd="0" presId="urn:microsoft.com/office/officeart/2008/layout/LinedList"/>
    <dgm:cxn modelId="{4B1A0EC7-8A12-4491-950A-B74337F6172A}" type="presParOf" srcId="{9C46A951-1973-4797-A6B5-C6F9205AF730}" destId="{FC70FBC0-2FFB-42AE-B474-DCC641E93008}" srcOrd="15" destOrd="0" presId="urn:microsoft.com/office/officeart/2008/layout/LinedList"/>
    <dgm:cxn modelId="{9387C771-7489-4C3D-A92A-A12A95A38AE5}" type="presParOf" srcId="{9C46A951-1973-4797-A6B5-C6F9205AF730}" destId="{A41F1718-2D9A-461C-ADFC-D3032C15A186}" srcOrd="16" destOrd="0" presId="urn:microsoft.com/office/officeart/2008/layout/LinedList"/>
    <dgm:cxn modelId="{2D75612D-EFA4-4F82-983B-2D937FC7FEA9}" type="presParOf" srcId="{A41F1718-2D9A-461C-ADFC-D3032C15A186}" destId="{469E50B0-DCF1-4C16-89ED-0DEAF669671C}" srcOrd="0" destOrd="0" presId="urn:microsoft.com/office/officeart/2008/layout/LinedList"/>
    <dgm:cxn modelId="{2D535B5A-0E16-4963-BC70-DC97678605C5}" type="presParOf" srcId="{A41F1718-2D9A-461C-ADFC-D3032C15A186}" destId="{7D8A9098-624D-4E1D-A3E0-D8A9C648D02E}" srcOrd="1" destOrd="0" presId="urn:microsoft.com/office/officeart/2008/layout/LinedList"/>
    <dgm:cxn modelId="{F9833212-629F-451F-AEE9-EE18CFBC8569}" type="presParOf" srcId="{A41F1718-2D9A-461C-ADFC-D3032C15A186}" destId="{34D04F5D-835D-433A-B6BD-8283840B33F1}" srcOrd="2" destOrd="0" presId="urn:microsoft.com/office/officeart/2008/layout/LinedList"/>
    <dgm:cxn modelId="{57C8A39D-F7AA-42A2-9B28-151DC783A4E6}" type="presParOf" srcId="{9C46A951-1973-4797-A6B5-C6F9205AF730}" destId="{3989DF3B-003C-4E30-B12A-6DACE6EA3C23}" srcOrd="17" destOrd="0" presId="urn:microsoft.com/office/officeart/2008/layout/LinedList"/>
    <dgm:cxn modelId="{CDD43AE2-3385-446A-8D0A-06EAEF9121C1}" type="presParOf" srcId="{9C46A951-1973-4797-A6B5-C6F9205AF730}" destId="{DFDA9C21-C1EA-4195-8CAE-04CA393DF4F9}" srcOrd="18" destOrd="0" presId="urn:microsoft.com/office/officeart/2008/layout/LinedList"/>
    <dgm:cxn modelId="{7AF9192A-6EC7-4D84-9015-64D60146D3B6}" type="presParOf" srcId="{9C46A951-1973-4797-A6B5-C6F9205AF730}" destId="{E7398F45-D861-42F3-8378-4CC0D0335019}" srcOrd="19" destOrd="0" presId="urn:microsoft.com/office/officeart/2008/layout/LinedList"/>
    <dgm:cxn modelId="{1277D0CB-9759-4F5F-93C0-D313B2493F12}" type="presParOf" srcId="{E7398F45-D861-42F3-8378-4CC0D0335019}" destId="{D6251B54-E870-4E9E-BC51-89DD59102049}" srcOrd="0" destOrd="0" presId="urn:microsoft.com/office/officeart/2008/layout/LinedList"/>
    <dgm:cxn modelId="{6B63E483-2B3D-4DF9-8544-48E42FB66759}" type="presParOf" srcId="{E7398F45-D861-42F3-8378-4CC0D0335019}" destId="{500AEC8C-C91A-44FA-8CFB-0E1E957D0A53}" srcOrd="1" destOrd="0" presId="urn:microsoft.com/office/officeart/2008/layout/LinedList"/>
    <dgm:cxn modelId="{B0FCFDE8-42CE-42E8-AB43-279005E154DE}" type="presParOf" srcId="{E7398F45-D861-42F3-8378-4CC0D0335019}" destId="{5B26450A-B045-4AEB-85A5-C2DBF9CEF94D}" srcOrd="2" destOrd="0" presId="urn:microsoft.com/office/officeart/2008/layout/LinedList"/>
    <dgm:cxn modelId="{EAB024E1-85FD-4C29-AF89-B0F7334F62F8}" type="presParOf" srcId="{9C46A951-1973-4797-A6B5-C6F9205AF730}" destId="{D583CA53-B7F8-479F-B8D1-7649F6EAA192}" srcOrd="20" destOrd="0" presId="urn:microsoft.com/office/officeart/2008/layout/LinedList"/>
    <dgm:cxn modelId="{D4E53C7F-E7CE-4D43-966D-8079DC9A803F}" type="presParOf" srcId="{9C46A951-1973-4797-A6B5-C6F9205AF730}" destId="{47861EFA-16DF-4E74-BC8A-54C4E412E81D}" srcOrd="21" destOrd="0" presId="urn:microsoft.com/office/officeart/2008/layout/LinedList"/>
    <dgm:cxn modelId="{DC73A80B-69FB-4CAA-99CC-090A4DEA2DCD}" type="presParOf" srcId="{9C46A951-1973-4797-A6B5-C6F9205AF730}" destId="{92BBC4CB-3426-4DBF-8083-A8C934669621}" srcOrd="22" destOrd="0" presId="urn:microsoft.com/office/officeart/2008/layout/LinedList"/>
    <dgm:cxn modelId="{B3835C23-BAC7-48BB-BFD9-52A3EFE05873}" type="presParOf" srcId="{92BBC4CB-3426-4DBF-8083-A8C934669621}" destId="{C4A9AFA0-F848-4106-9D21-F7C7DF41A738}" srcOrd="0" destOrd="0" presId="urn:microsoft.com/office/officeart/2008/layout/LinedList"/>
    <dgm:cxn modelId="{02D05DF0-DE33-4022-B1A0-272F90E2283C}" type="presParOf" srcId="{92BBC4CB-3426-4DBF-8083-A8C934669621}" destId="{498DEBCE-64EA-4328-8C58-98CCB392CE57}" srcOrd="1" destOrd="0" presId="urn:microsoft.com/office/officeart/2008/layout/LinedList"/>
    <dgm:cxn modelId="{2C8E304B-C906-421F-A3B4-1B7FB0CB66FF}" type="presParOf" srcId="{92BBC4CB-3426-4DBF-8083-A8C934669621}" destId="{9C0E7948-60B6-4FFC-A36B-ED0DC21B5F26}" srcOrd="2" destOrd="0" presId="urn:microsoft.com/office/officeart/2008/layout/LinedList"/>
    <dgm:cxn modelId="{16F272FD-9882-42FD-9253-272E2C385E47}" type="presParOf" srcId="{9C46A951-1973-4797-A6B5-C6F9205AF730}" destId="{53EBE85C-7CA5-493E-A843-6E1077224A9E}" srcOrd="23" destOrd="0" presId="urn:microsoft.com/office/officeart/2008/layout/LinedList"/>
    <dgm:cxn modelId="{8F388BEA-3ABD-495A-83F6-E218488CD527}" type="presParOf" srcId="{9C46A951-1973-4797-A6B5-C6F9205AF730}" destId="{46E14781-D29F-4F02-BBD5-F38876F4DE2D}" srcOrd="24" destOrd="0" presId="urn:microsoft.com/office/officeart/2008/layout/LinedList"/>
    <dgm:cxn modelId="{933656F1-921C-4B09-B426-9C203DAD2A12}" type="presParOf" srcId="{9C46A951-1973-4797-A6B5-C6F9205AF730}" destId="{9C9E6864-0B64-4137-98C3-8C040E2A995B}" srcOrd="25" destOrd="0" presId="urn:microsoft.com/office/officeart/2008/layout/LinedList"/>
    <dgm:cxn modelId="{1303C4F2-0CB7-4F8F-8BE0-781D12292034}" type="presParOf" srcId="{9C9E6864-0B64-4137-98C3-8C040E2A995B}" destId="{6DB925D7-04D0-48AE-A944-D71CE09F8DEF}" srcOrd="0" destOrd="0" presId="urn:microsoft.com/office/officeart/2008/layout/LinedList"/>
    <dgm:cxn modelId="{7D499D0D-744D-4729-BB28-24EDCB0520F4}" type="presParOf" srcId="{9C9E6864-0B64-4137-98C3-8C040E2A995B}" destId="{74CC2382-7F45-4ACC-B28E-28D51FA13F40}" srcOrd="1" destOrd="0" presId="urn:microsoft.com/office/officeart/2008/layout/LinedList"/>
    <dgm:cxn modelId="{65306B63-7A89-4651-B6A8-D3FD8BECB726}" type="presParOf" srcId="{9C9E6864-0B64-4137-98C3-8C040E2A995B}" destId="{21A43AE6-16A3-4152-A0CB-3BD5795B528F}" srcOrd="2" destOrd="0" presId="urn:microsoft.com/office/officeart/2008/layout/LinedList"/>
    <dgm:cxn modelId="{DA09F2C2-FC5E-4D75-AC96-6AF6924DEBD3}" type="presParOf" srcId="{9C46A951-1973-4797-A6B5-C6F9205AF730}" destId="{E8A6AB40-5365-4CEE-A0DD-9AF25E862B4F}" srcOrd="26" destOrd="0" presId="urn:microsoft.com/office/officeart/2008/layout/LinedList"/>
    <dgm:cxn modelId="{DA82D5C8-A9D3-4777-B376-C225A9D6316D}" type="presParOf" srcId="{9C46A951-1973-4797-A6B5-C6F9205AF730}" destId="{EA172BA8-1380-4177-A502-DC85C0C6A541}" srcOrd="27" destOrd="0" presId="urn:microsoft.com/office/officeart/2008/layout/LinedList"/>
    <dgm:cxn modelId="{979CDD69-BCB8-4C7C-9C37-B3EB00889A3D}" type="presParOf" srcId="{9C46A951-1973-4797-A6B5-C6F9205AF730}" destId="{446F5C31-A5CC-41C5-8490-8FE38749DE7A}" srcOrd="28" destOrd="0" presId="urn:microsoft.com/office/officeart/2008/layout/LinedList"/>
    <dgm:cxn modelId="{B4522832-7B44-40AE-BDFA-6DDE018468BC}" type="presParOf" srcId="{446F5C31-A5CC-41C5-8490-8FE38749DE7A}" destId="{DF6738DD-A0C1-4349-B2D8-71DB8468A9D3}" srcOrd="0" destOrd="0" presId="urn:microsoft.com/office/officeart/2008/layout/LinedList"/>
    <dgm:cxn modelId="{CB98F64F-86B8-4889-B0F6-7D7F8DAD3564}" type="presParOf" srcId="{446F5C31-A5CC-41C5-8490-8FE38749DE7A}" destId="{8D932341-7CC2-436A-901A-0C1E0EB30101}" srcOrd="1" destOrd="0" presId="urn:microsoft.com/office/officeart/2008/layout/LinedList"/>
    <dgm:cxn modelId="{72CCA6FD-0C01-4B34-8360-66F34168F926}" type="presParOf" srcId="{446F5C31-A5CC-41C5-8490-8FE38749DE7A}" destId="{A8240B8F-E523-4309-9777-1B4285D2A7FF}" srcOrd="2" destOrd="0" presId="urn:microsoft.com/office/officeart/2008/layout/LinedList"/>
    <dgm:cxn modelId="{75B569FC-6259-44C7-BDF6-22F20B2DEA73}" type="presParOf" srcId="{9C46A951-1973-4797-A6B5-C6F9205AF730}" destId="{B6C4AFD4-303B-48E4-B444-2DC4D5076F3F}" srcOrd="29" destOrd="0" presId="urn:microsoft.com/office/officeart/2008/layout/LinedList"/>
    <dgm:cxn modelId="{2CB35BF6-E06C-4BB6-9E34-192B92C6F65A}" type="presParOf" srcId="{9C46A951-1973-4797-A6B5-C6F9205AF730}" destId="{102E8887-BD08-4642-A68D-90D87A137286}" srcOrd="30" destOrd="0" presId="urn:microsoft.com/office/officeart/2008/layout/LinedList"/>
    <dgm:cxn modelId="{E99C8E77-2E9C-4B98-B7B7-906FABFF1B90}" type="presParOf" srcId="{9C46A951-1973-4797-A6B5-C6F9205AF730}" destId="{2531FE49-23C1-4D24-B12B-8E385EE5A41F}" srcOrd="31" destOrd="0" presId="urn:microsoft.com/office/officeart/2008/layout/LinedList"/>
    <dgm:cxn modelId="{06183B50-2B07-4387-A47B-AD0AE48301AD}" type="presParOf" srcId="{2531FE49-23C1-4D24-B12B-8E385EE5A41F}" destId="{0C569578-3F6F-456A-B36E-245F3834C033}" srcOrd="0" destOrd="0" presId="urn:microsoft.com/office/officeart/2008/layout/LinedList"/>
    <dgm:cxn modelId="{39B5AD1C-9368-4436-B298-D313BBA6A1AF}" type="presParOf" srcId="{2531FE49-23C1-4D24-B12B-8E385EE5A41F}" destId="{BE4298EE-700F-41A7-860D-D4C61B533A38}" srcOrd="1" destOrd="0" presId="urn:microsoft.com/office/officeart/2008/layout/LinedList"/>
    <dgm:cxn modelId="{221AACDC-FB56-4578-A274-262E139E2BC1}" type="presParOf" srcId="{2531FE49-23C1-4D24-B12B-8E385EE5A41F}" destId="{19B75403-0E6C-4D47-BE35-5C1FF54D4442}" srcOrd="2" destOrd="0" presId="urn:microsoft.com/office/officeart/2008/layout/LinedList"/>
    <dgm:cxn modelId="{B1714A15-8842-42DB-ADE0-87EB678FA960}" type="presParOf" srcId="{9C46A951-1973-4797-A6B5-C6F9205AF730}" destId="{91677E77-C253-4188-A19A-8D3448A3C149}" srcOrd="32" destOrd="0" presId="urn:microsoft.com/office/officeart/2008/layout/LinedList"/>
    <dgm:cxn modelId="{CE9A7FE6-E376-4F71-B59D-75B772FB4208}" type="presParOf" srcId="{9C46A951-1973-4797-A6B5-C6F9205AF730}" destId="{EBEF5575-CB13-4FC4-9235-F5E9077267FB}" srcOrd="33" destOrd="0" presId="urn:microsoft.com/office/officeart/2008/layout/LinedList"/>
    <dgm:cxn modelId="{0260A9F8-2F83-4CBB-A194-73E8CBBE94C8}" type="presParOf" srcId="{9C46A951-1973-4797-A6B5-C6F9205AF730}" destId="{FCF8433A-C154-4D29-9554-012CCC44D53A}" srcOrd="34" destOrd="0" presId="urn:microsoft.com/office/officeart/2008/layout/LinedList"/>
    <dgm:cxn modelId="{D2163663-5F4F-49DB-8A6B-514B90BDCCFC}" type="presParOf" srcId="{FCF8433A-C154-4D29-9554-012CCC44D53A}" destId="{873EE106-C5A1-4579-8883-5BBE70756A24}" srcOrd="0" destOrd="0" presId="urn:microsoft.com/office/officeart/2008/layout/LinedList"/>
    <dgm:cxn modelId="{775D6C9B-7652-451D-A92B-8E918B4F43F3}" type="presParOf" srcId="{FCF8433A-C154-4D29-9554-012CCC44D53A}" destId="{50FAE105-4155-440E-8DD5-90190759DDDC}" srcOrd="1" destOrd="0" presId="urn:microsoft.com/office/officeart/2008/layout/LinedList"/>
    <dgm:cxn modelId="{41AF5300-EED2-463E-80FE-AAF07411DAAF}" type="presParOf" srcId="{FCF8433A-C154-4D29-9554-012CCC44D53A}" destId="{DD5399CA-E83D-442A-8B0E-72F5F8DA42B3}" srcOrd="2" destOrd="0" presId="urn:microsoft.com/office/officeart/2008/layout/LinedList"/>
    <dgm:cxn modelId="{38DEE095-6DE7-4C57-849A-B290E4AD7783}" type="presParOf" srcId="{9C46A951-1973-4797-A6B5-C6F9205AF730}" destId="{EE11E852-88AD-4B45-820C-5795003EC4A9}" srcOrd="35" destOrd="0" presId="urn:microsoft.com/office/officeart/2008/layout/LinedList"/>
    <dgm:cxn modelId="{1C3744E9-3885-4793-A9DE-11022C03D3C9}" type="presParOf" srcId="{9C46A951-1973-4797-A6B5-C6F9205AF730}" destId="{DBA7D63B-1942-4CF3-A52F-18B3671056B4}" srcOrd="36" destOrd="0" presId="urn:microsoft.com/office/officeart/2008/layout/LinedList"/>
    <dgm:cxn modelId="{2BC254B7-C4AC-411C-9CB8-D341B2CD8C9B}" type="presParOf" srcId="{9C46A951-1973-4797-A6B5-C6F9205AF730}" destId="{F08AEB7B-3975-45C2-A967-150C6CAF379B}" srcOrd="37" destOrd="0" presId="urn:microsoft.com/office/officeart/2008/layout/LinedList"/>
    <dgm:cxn modelId="{568F929B-F266-409C-87EC-A5F75E93AFF3}" type="presParOf" srcId="{F08AEB7B-3975-45C2-A967-150C6CAF379B}" destId="{399CE0D1-2C25-4C7A-85E9-1B33096DDEFC}" srcOrd="0" destOrd="0" presId="urn:microsoft.com/office/officeart/2008/layout/LinedList"/>
    <dgm:cxn modelId="{03479FCE-AC2A-47DB-A879-262732396391}" type="presParOf" srcId="{F08AEB7B-3975-45C2-A967-150C6CAF379B}" destId="{B2ADC893-C46C-4386-817D-61CBCB351051}" srcOrd="1" destOrd="0" presId="urn:microsoft.com/office/officeart/2008/layout/LinedList"/>
    <dgm:cxn modelId="{6497853A-DAB3-4F3B-8404-2C3DFD764496}" type="presParOf" srcId="{F08AEB7B-3975-45C2-A967-150C6CAF379B}" destId="{16704BFB-4A56-48D7-B0D2-3A5C4AC84DA1}" srcOrd="2" destOrd="0" presId="urn:microsoft.com/office/officeart/2008/layout/LinedList"/>
    <dgm:cxn modelId="{77DD25CA-9481-474D-AE39-04693DAAD390}" type="presParOf" srcId="{9C46A951-1973-4797-A6B5-C6F9205AF730}" destId="{7D3E8C55-B15C-43E9-BF07-1ABFD9D51EF7}" srcOrd="38" destOrd="0" presId="urn:microsoft.com/office/officeart/2008/layout/LinedList"/>
    <dgm:cxn modelId="{7CF6B840-EFDF-4A81-907E-E5D017F490B4}" type="presParOf" srcId="{9C46A951-1973-4797-A6B5-C6F9205AF730}" destId="{00958A2F-6C5B-401E-8969-5902C09102AA}" srcOrd="39" destOrd="0" presId="urn:microsoft.com/office/officeart/2008/layout/LinedList"/>
    <dgm:cxn modelId="{CD30FB0B-6FAA-4902-9F82-70AFBBDB0C1A}" type="presParOf" srcId="{9C46A951-1973-4797-A6B5-C6F9205AF730}" destId="{338223DF-02F3-43F1-B845-B6C86DDFFD4A}" srcOrd="40" destOrd="0" presId="urn:microsoft.com/office/officeart/2008/layout/LinedList"/>
    <dgm:cxn modelId="{528F3F28-AC89-450B-9EF8-DEF0C99C1E30}" type="presParOf" srcId="{338223DF-02F3-43F1-B845-B6C86DDFFD4A}" destId="{2CA2CD5D-2334-4A5C-8BD6-FA2D7EACB961}" srcOrd="0" destOrd="0" presId="urn:microsoft.com/office/officeart/2008/layout/LinedList"/>
    <dgm:cxn modelId="{4F2E2FD9-6C4A-4EB8-85AF-B61CAE49758E}" type="presParOf" srcId="{338223DF-02F3-43F1-B845-B6C86DDFFD4A}" destId="{DD70BC83-1072-4EAB-B9AF-F2AEB50F6C4F}" srcOrd="1" destOrd="0" presId="urn:microsoft.com/office/officeart/2008/layout/LinedList"/>
    <dgm:cxn modelId="{4538AA0C-3553-4641-BF5A-7BBD5798F1E9}" type="presParOf" srcId="{338223DF-02F3-43F1-B845-B6C86DDFFD4A}" destId="{EA4F9E3C-BD23-4ADB-85DD-CE5EC78ED861}" srcOrd="2" destOrd="0" presId="urn:microsoft.com/office/officeart/2008/layout/LinedList"/>
    <dgm:cxn modelId="{22A3B32A-03C6-4FFD-9918-0B2225B889A4}" type="presParOf" srcId="{9C46A951-1973-4797-A6B5-C6F9205AF730}" destId="{643A8AAD-D319-4521-B4CF-8614E7E4BE2A}" srcOrd="41" destOrd="0" presId="urn:microsoft.com/office/officeart/2008/layout/LinedList"/>
    <dgm:cxn modelId="{AD0D8FE9-A5BF-4AD6-9E3B-0E3404307CA0}" type="presParOf" srcId="{9C46A951-1973-4797-A6B5-C6F9205AF730}" destId="{4DA27902-2F12-49AB-B540-0A0A52CE8DF2}" srcOrd="42" destOrd="0" presId="urn:microsoft.com/office/officeart/2008/layout/LinedList"/>
    <dgm:cxn modelId="{3C53A5D8-CC99-44C1-9901-45E392BE5EE6}" type="presParOf" srcId="{9C46A951-1973-4797-A6B5-C6F9205AF730}" destId="{1C7CDF55-4672-4E8D-B169-5BE32A3FE506}" srcOrd="43" destOrd="0" presId="urn:microsoft.com/office/officeart/2008/layout/LinedList"/>
    <dgm:cxn modelId="{BBB06EA0-C0BE-4AEB-BECE-3F70098FC0A4}" type="presParOf" srcId="{1C7CDF55-4672-4E8D-B169-5BE32A3FE506}" destId="{F08DFCFA-8BEA-4BF6-8597-E76A19801A6E}" srcOrd="0" destOrd="0" presId="urn:microsoft.com/office/officeart/2008/layout/LinedList"/>
    <dgm:cxn modelId="{456B0F1F-45F6-4979-BE2D-DBA3558587CD}" type="presParOf" srcId="{1C7CDF55-4672-4E8D-B169-5BE32A3FE506}" destId="{2F38B687-A67E-427A-AC2B-DFB8FA8919E9}" srcOrd="1" destOrd="0" presId="urn:microsoft.com/office/officeart/2008/layout/LinedList"/>
    <dgm:cxn modelId="{9A790D3A-89C9-46BD-A432-E2E12A24004A}" type="presParOf" srcId="{1C7CDF55-4672-4E8D-B169-5BE32A3FE506}" destId="{3A32BF71-33EC-48C8-BD16-91AE5794E89F}" srcOrd="2" destOrd="0" presId="urn:microsoft.com/office/officeart/2008/layout/LinedList"/>
    <dgm:cxn modelId="{FDE1483C-844D-45E2-8325-3086597DE9FA}" type="presParOf" srcId="{9C46A951-1973-4797-A6B5-C6F9205AF730}" destId="{EC88BAD7-DB9F-4487-9522-E924CA71E4FA}" srcOrd="44" destOrd="0" presId="urn:microsoft.com/office/officeart/2008/layout/LinedList"/>
    <dgm:cxn modelId="{EDC061DF-2B6F-4D36-9B78-E1D1994B3819}" type="presParOf" srcId="{9C46A951-1973-4797-A6B5-C6F9205AF730}" destId="{C75B52A4-9539-4646-9C0A-2C877F132F1E}" srcOrd="45" destOrd="0" presId="urn:microsoft.com/office/officeart/2008/layout/LinedList"/>
    <dgm:cxn modelId="{CCBD963C-D801-4085-9AC2-8C351B02E73A}" type="presParOf" srcId="{9C46A951-1973-4797-A6B5-C6F9205AF730}" destId="{78A3C68C-E093-4443-A46D-7A08FB0AD6DE}" srcOrd="46" destOrd="0" presId="urn:microsoft.com/office/officeart/2008/layout/LinedList"/>
    <dgm:cxn modelId="{5634D50F-61CA-4E49-8DD3-12BB858FBB5F}" type="presParOf" srcId="{78A3C68C-E093-4443-A46D-7A08FB0AD6DE}" destId="{398EA7AE-05A1-44F0-8EC6-4774C9C75213}" srcOrd="0" destOrd="0" presId="urn:microsoft.com/office/officeart/2008/layout/LinedList"/>
    <dgm:cxn modelId="{EF820C98-4DB4-48A5-9676-059C6D6DAA3C}" type="presParOf" srcId="{78A3C68C-E093-4443-A46D-7A08FB0AD6DE}" destId="{CC54F101-24E1-408C-B48E-8C8D34E4CC59}" srcOrd="1" destOrd="0" presId="urn:microsoft.com/office/officeart/2008/layout/LinedList"/>
    <dgm:cxn modelId="{87706A14-2B02-4E01-A291-F4DAED74FEE6}" type="presParOf" srcId="{78A3C68C-E093-4443-A46D-7A08FB0AD6DE}" destId="{82752A0A-FBE9-4320-B5FC-1B85588BA044}" srcOrd="2" destOrd="0" presId="urn:microsoft.com/office/officeart/2008/layout/LinedList"/>
    <dgm:cxn modelId="{8124D9DB-6FF4-4F6D-B618-4297E39A7EE2}" type="presParOf" srcId="{9C46A951-1973-4797-A6B5-C6F9205AF730}" destId="{9DE7A904-7E1A-4529-9A0B-DD24854C62B3}" srcOrd="47" destOrd="0" presId="urn:microsoft.com/office/officeart/2008/layout/LinedList"/>
    <dgm:cxn modelId="{08ACF9E6-7588-405C-8FDD-9325AE226836}" type="presParOf" srcId="{9C46A951-1973-4797-A6B5-C6F9205AF730}" destId="{FD5F7475-598A-4403-AC73-7EEBFA93AC79}" srcOrd="48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BFF4F76-6284-4635-86E2-14CF2E1AF711}" type="doc">
      <dgm:prSet loTypeId="urn:microsoft.com/office/officeart/2005/8/layout/bProcess4" loCatId="process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s-ES"/>
        </a:p>
      </dgm:t>
    </dgm:pt>
    <dgm:pt modelId="{6F665DA7-FD9F-420E-BF59-0A99B8F62CCA}">
      <dgm:prSet phldrT="[Texto]"/>
      <dgm:spPr/>
      <dgm:t>
        <a:bodyPr/>
        <a:lstStyle/>
        <a:p>
          <a:r>
            <a:rPr lang="es-ES"/>
            <a:t>Diseñar tablas</a:t>
          </a:r>
        </a:p>
      </dgm:t>
    </dgm:pt>
    <dgm:pt modelId="{2A0381EC-659D-4C11-A2D1-6B03443CC84A}" type="parTrans" cxnId="{A6188549-C84C-4EA6-A84E-06958A0D2EF7}">
      <dgm:prSet/>
      <dgm:spPr/>
      <dgm:t>
        <a:bodyPr/>
        <a:lstStyle/>
        <a:p>
          <a:endParaRPr lang="es-ES"/>
        </a:p>
      </dgm:t>
    </dgm:pt>
    <dgm:pt modelId="{84C6AD7E-1FE3-4736-8B5E-80913C6DF7D5}" type="sibTrans" cxnId="{A6188549-C84C-4EA6-A84E-06958A0D2EF7}">
      <dgm:prSet/>
      <dgm:spPr/>
      <dgm:t>
        <a:bodyPr/>
        <a:lstStyle/>
        <a:p>
          <a:endParaRPr lang="es-ES"/>
        </a:p>
      </dgm:t>
    </dgm:pt>
    <dgm:pt modelId="{3F30DF68-1CAD-4CC3-A9BC-16A942FCC1EA}">
      <dgm:prSet phldrT="[Texto]"/>
      <dgm:spPr/>
      <dgm:t>
        <a:bodyPr/>
        <a:lstStyle/>
        <a:p>
          <a:r>
            <a:rPr lang="es-ES"/>
            <a:t>Crear clases en excel para los campos de las tablas</a:t>
          </a:r>
        </a:p>
      </dgm:t>
    </dgm:pt>
    <dgm:pt modelId="{3CCF4283-1B44-466A-AA61-80733D9DC825}" type="parTrans" cxnId="{0CD2596C-694A-44DD-8433-61A7FD6ED67B}">
      <dgm:prSet/>
      <dgm:spPr/>
      <dgm:t>
        <a:bodyPr/>
        <a:lstStyle/>
        <a:p>
          <a:endParaRPr lang="es-ES"/>
        </a:p>
      </dgm:t>
    </dgm:pt>
    <dgm:pt modelId="{A416DCDF-ABB6-43F0-A4EE-E9730742866C}" type="sibTrans" cxnId="{0CD2596C-694A-44DD-8433-61A7FD6ED67B}">
      <dgm:prSet/>
      <dgm:spPr/>
      <dgm:t>
        <a:bodyPr/>
        <a:lstStyle/>
        <a:p>
          <a:endParaRPr lang="es-ES"/>
        </a:p>
      </dgm:t>
    </dgm:pt>
    <dgm:pt modelId="{0361B131-7B18-4974-92FF-AE8FF60CA2B0}">
      <dgm:prSet phldrT="[Texto]"/>
      <dgm:spPr/>
      <dgm:t>
        <a:bodyPr/>
        <a:lstStyle/>
        <a:p>
          <a:r>
            <a:rPr lang="es-ES"/>
            <a:t>Diseñar formularios en excel</a:t>
          </a:r>
        </a:p>
      </dgm:t>
    </dgm:pt>
    <dgm:pt modelId="{36FD4EB0-9E76-4A81-8CCE-51FBF3F65C1B}" type="parTrans" cxnId="{FE3B5DB0-FAEF-4F12-A264-A3A135A25192}">
      <dgm:prSet/>
      <dgm:spPr/>
      <dgm:t>
        <a:bodyPr/>
        <a:lstStyle/>
        <a:p>
          <a:endParaRPr lang="es-ES"/>
        </a:p>
      </dgm:t>
    </dgm:pt>
    <dgm:pt modelId="{84E7212F-9980-4A51-97FF-3A07560ABCC1}" type="sibTrans" cxnId="{FE3B5DB0-FAEF-4F12-A264-A3A135A25192}">
      <dgm:prSet/>
      <dgm:spPr/>
      <dgm:t>
        <a:bodyPr/>
        <a:lstStyle/>
        <a:p>
          <a:endParaRPr lang="es-ES"/>
        </a:p>
      </dgm:t>
    </dgm:pt>
    <dgm:pt modelId="{F7E0DEB1-70D0-493C-9103-CB2515EF61F5}">
      <dgm:prSet phldrT="[Texto]"/>
      <dgm:spPr/>
      <dgm:t>
        <a:bodyPr/>
        <a:lstStyle/>
        <a:p>
          <a:r>
            <a:rPr lang="es-ES"/>
            <a:t>Transplantar modelo de datos a access</a:t>
          </a:r>
        </a:p>
      </dgm:t>
    </dgm:pt>
    <dgm:pt modelId="{315002D5-0285-4C18-9538-6C097E231859}" type="parTrans" cxnId="{E94E8422-A924-4E3B-9897-1C593241E86C}">
      <dgm:prSet/>
      <dgm:spPr/>
      <dgm:t>
        <a:bodyPr/>
        <a:lstStyle/>
        <a:p>
          <a:endParaRPr lang="es-ES"/>
        </a:p>
      </dgm:t>
    </dgm:pt>
    <dgm:pt modelId="{CDDD2C96-DC65-4154-B289-7C9B4AB913BF}" type="sibTrans" cxnId="{E94E8422-A924-4E3B-9897-1C593241E86C}">
      <dgm:prSet/>
      <dgm:spPr/>
      <dgm:t>
        <a:bodyPr/>
        <a:lstStyle/>
        <a:p>
          <a:endParaRPr lang="es-ES"/>
        </a:p>
      </dgm:t>
    </dgm:pt>
    <dgm:pt modelId="{11A33EE3-4487-4183-A4F4-AF3B18284EE9}">
      <dgm:prSet phldrT="[Texto]"/>
      <dgm:spPr/>
      <dgm:t>
        <a:bodyPr/>
        <a:lstStyle/>
        <a:p>
          <a:r>
            <a:rPr lang="es-ES"/>
            <a:t>Implementar validacion de datos de formularios</a:t>
          </a:r>
        </a:p>
      </dgm:t>
    </dgm:pt>
    <dgm:pt modelId="{E6D8BFF4-BBB6-4281-AB8F-664C296EC785}" type="parTrans" cxnId="{4921F1DA-5E63-441E-90BD-7E1719212961}">
      <dgm:prSet/>
      <dgm:spPr/>
      <dgm:t>
        <a:bodyPr/>
        <a:lstStyle/>
        <a:p>
          <a:endParaRPr lang="es-ES"/>
        </a:p>
      </dgm:t>
    </dgm:pt>
    <dgm:pt modelId="{A223E857-692E-4A3D-A081-44C7D15607CD}" type="sibTrans" cxnId="{4921F1DA-5E63-441E-90BD-7E1719212961}">
      <dgm:prSet/>
      <dgm:spPr/>
      <dgm:t>
        <a:bodyPr/>
        <a:lstStyle/>
        <a:p>
          <a:endParaRPr lang="es-ES"/>
        </a:p>
      </dgm:t>
    </dgm:pt>
    <dgm:pt modelId="{90AC3000-7560-4DE1-AD65-015F8F168316}">
      <dgm:prSet phldrT="[Texto]"/>
      <dgm:spPr/>
      <dgm:t>
        <a:bodyPr/>
        <a:lstStyle/>
        <a:p>
          <a:r>
            <a:rPr lang="es-ES"/>
            <a:t>Crear lógica para cargue de datos en los formularios</a:t>
          </a:r>
        </a:p>
      </dgm:t>
    </dgm:pt>
    <dgm:pt modelId="{EB2B0D48-E4B2-4BB4-A516-2E5F2D8BC836}" type="parTrans" cxnId="{50CE0B0D-9379-4BFD-804E-28FCE798195A}">
      <dgm:prSet/>
      <dgm:spPr/>
      <dgm:t>
        <a:bodyPr/>
        <a:lstStyle/>
        <a:p>
          <a:endParaRPr lang="es-ES"/>
        </a:p>
      </dgm:t>
    </dgm:pt>
    <dgm:pt modelId="{860D56A8-AE16-4ABD-98C2-9A27ABA855A1}" type="sibTrans" cxnId="{50CE0B0D-9379-4BFD-804E-28FCE798195A}">
      <dgm:prSet/>
      <dgm:spPr/>
      <dgm:t>
        <a:bodyPr/>
        <a:lstStyle/>
        <a:p>
          <a:endParaRPr lang="es-ES"/>
        </a:p>
      </dgm:t>
    </dgm:pt>
    <dgm:pt modelId="{12B844BA-625F-4DEB-B646-FB45A38FD0EA}">
      <dgm:prSet phldrT="[Texto]"/>
      <dgm:spPr/>
      <dgm:t>
        <a:bodyPr/>
        <a:lstStyle/>
        <a:p>
          <a:r>
            <a:rPr lang="es-ES"/>
            <a:t>Implementar código vba para conexión de datos a base de access</a:t>
          </a:r>
        </a:p>
      </dgm:t>
    </dgm:pt>
    <dgm:pt modelId="{B483DE4D-57D0-4443-A969-1FBDA807D917}" type="parTrans" cxnId="{6CCE3562-F180-4437-AC67-ED4325DA7D5A}">
      <dgm:prSet/>
      <dgm:spPr/>
      <dgm:t>
        <a:bodyPr/>
        <a:lstStyle/>
        <a:p>
          <a:endParaRPr lang="es-ES"/>
        </a:p>
      </dgm:t>
    </dgm:pt>
    <dgm:pt modelId="{3DCA16ED-02E8-4E80-8750-18AEE21B3014}" type="sibTrans" cxnId="{6CCE3562-F180-4437-AC67-ED4325DA7D5A}">
      <dgm:prSet/>
      <dgm:spPr/>
      <dgm:t>
        <a:bodyPr/>
        <a:lstStyle/>
        <a:p>
          <a:endParaRPr lang="es-ES"/>
        </a:p>
      </dgm:t>
    </dgm:pt>
    <dgm:pt modelId="{DF8CECCB-28B8-4B64-B96A-6F6BE1EA319D}">
      <dgm:prSet phldrT="[Texto]"/>
      <dgm:spPr/>
      <dgm:t>
        <a:bodyPr/>
        <a:lstStyle/>
        <a:p>
          <a:r>
            <a:rPr lang="es-ES"/>
            <a:t>Diseñar consultas y vistas en access (Informes básicos)</a:t>
          </a:r>
        </a:p>
      </dgm:t>
    </dgm:pt>
    <dgm:pt modelId="{5825466C-628A-4E76-82DA-8CB392838E02}" type="parTrans" cxnId="{17A0EF76-CB24-41B7-98D2-CEFC460DECD7}">
      <dgm:prSet/>
      <dgm:spPr/>
      <dgm:t>
        <a:bodyPr/>
        <a:lstStyle/>
        <a:p>
          <a:endParaRPr lang="es-ES"/>
        </a:p>
      </dgm:t>
    </dgm:pt>
    <dgm:pt modelId="{C5B22618-D009-4DD2-9BBA-9C60DFAC0CA3}" type="sibTrans" cxnId="{17A0EF76-CB24-41B7-98D2-CEFC460DECD7}">
      <dgm:prSet/>
      <dgm:spPr/>
      <dgm:t>
        <a:bodyPr/>
        <a:lstStyle/>
        <a:p>
          <a:endParaRPr lang="es-ES"/>
        </a:p>
      </dgm:t>
    </dgm:pt>
    <dgm:pt modelId="{FC6781DE-0E75-4D55-AD8F-5F49C53F76AC}" type="pres">
      <dgm:prSet presAssocID="{CBFF4F76-6284-4635-86E2-14CF2E1AF711}" presName="Name0" presStyleCnt="0">
        <dgm:presLayoutVars>
          <dgm:dir/>
          <dgm:resizeHandles/>
        </dgm:presLayoutVars>
      </dgm:prSet>
      <dgm:spPr/>
      <dgm:t>
        <a:bodyPr/>
        <a:lstStyle/>
        <a:p>
          <a:endParaRPr lang="es-ES"/>
        </a:p>
      </dgm:t>
    </dgm:pt>
    <dgm:pt modelId="{972F0816-EA2C-43DD-AD29-0E5015908AA6}" type="pres">
      <dgm:prSet presAssocID="{6F665DA7-FD9F-420E-BF59-0A99B8F62CCA}" presName="compNode" presStyleCnt="0"/>
      <dgm:spPr/>
    </dgm:pt>
    <dgm:pt modelId="{B97586E5-0154-485C-BCA9-595691CC8917}" type="pres">
      <dgm:prSet presAssocID="{6F665DA7-FD9F-420E-BF59-0A99B8F62CCA}" presName="dummyConnPt" presStyleCnt="0"/>
      <dgm:spPr/>
    </dgm:pt>
    <dgm:pt modelId="{8CEDDE70-A691-41FC-AFC1-10DFC3A79CC0}" type="pres">
      <dgm:prSet presAssocID="{6F665DA7-FD9F-420E-BF59-0A99B8F62CCA}" presName="node" presStyleLbl="node1" presStyleIdx="0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FDACE2DB-504B-41BA-879B-69C6EE9B9C66}" type="pres">
      <dgm:prSet presAssocID="{84C6AD7E-1FE3-4736-8B5E-80913C6DF7D5}" presName="sibTrans" presStyleLbl="bgSibTrans2D1" presStyleIdx="0" presStyleCnt="7"/>
      <dgm:spPr/>
      <dgm:t>
        <a:bodyPr/>
        <a:lstStyle/>
        <a:p>
          <a:endParaRPr lang="es-ES"/>
        </a:p>
      </dgm:t>
    </dgm:pt>
    <dgm:pt modelId="{E87A3878-3D17-47CD-AA5A-40900CD3E3C1}" type="pres">
      <dgm:prSet presAssocID="{3F30DF68-1CAD-4CC3-A9BC-16A942FCC1EA}" presName="compNode" presStyleCnt="0"/>
      <dgm:spPr/>
    </dgm:pt>
    <dgm:pt modelId="{E82FCC7A-34A6-4DBB-969E-0F7D827BA3D4}" type="pres">
      <dgm:prSet presAssocID="{3F30DF68-1CAD-4CC3-A9BC-16A942FCC1EA}" presName="dummyConnPt" presStyleCnt="0"/>
      <dgm:spPr/>
    </dgm:pt>
    <dgm:pt modelId="{F718C46D-4FA0-4E21-8901-58C43153073F}" type="pres">
      <dgm:prSet presAssocID="{3F30DF68-1CAD-4CC3-A9BC-16A942FCC1EA}" presName="node" presStyleLbl="node1" presStyleIdx="1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5DB3F5DF-60E8-42DD-8F01-E038ECE1B2F3}" type="pres">
      <dgm:prSet presAssocID="{A416DCDF-ABB6-43F0-A4EE-E9730742866C}" presName="sibTrans" presStyleLbl="bgSibTrans2D1" presStyleIdx="1" presStyleCnt="7"/>
      <dgm:spPr/>
      <dgm:t>
        <a:bodyPr/>
        <a:lstStyle/>
        <a:p>
          <a:endParaRPr lang="es-ES"/>
        </a:p>
      </dgm:t>
    </dgm:pt>
    <dgm:pt modelId="{8B168052-0F8F-41B1-9F1B-85C40E40BD31}" type="pres">
      <dgm:prSet presAssocID="{0361B131-7B18-4974-92FF-AE8FF60CA2B0}" presName="compNode" presStyleCnt="0"/>
      <dgm:spPr/>
    </dgm:pt>
    <dgm:pt modelId="{6D6B6968-42F2-4A69-B2A3-80784EDECA8D}" type="pres">
      <dgm:prSet presAssocID="{0361B131-7B18-4974-92FF-AE8FF60CA2B0}" presName="dummyConnPt" presStyleCnt="0"/>
      <dgm:spPr/>
    </dgm:pt>
    <dgm:pt modelId="{9715E011-388B-41EC-AA04-2D2680422894}" type="pres">
      <dgm:prSet presAssocID="{0361B131-7B18-4974-92FF-AE8FF60CA2B0}" presName="node" presStyleLbl="node1" presStyleIdx="2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69D93BF6-7CAF-4CD0-A5AD-35DF13C33AEC}" type="pres">
      <dgm:prSet presAssocID="{84E7212F-9980-4A51-97FF-3A07560ABCC1}" presName="sibTrans" presStyleLbl="bgSibTrans2D1" presStyleIdx="2" presStyleCnt="7"/>
      <dgm:spPr/>
      <dgm:t>
        <a:bodyPr/>
        <a:lstStyle/>
        <a:p>
          <a:endParaRPr lang="es-ES"/>
        </a:p>
      </dgm:t>
    </dgm:pt>
    <dgm:pt modelId="{CE154FDB-930D-4465-8C83-66F6CFC12C31}" type="pres">
      <dgm:prSet presAssocID="{F7E0DEB1-70D0-493C-9103-CB2515EF61F5}" presName="compNode" presStyleCnt="0"/>
      <dgm:spPr/>
    </dgm:pt>
    <dgm:pt modelId="{3252EA98-0F56-4E75-89BA-F588C5443939}" type="pres">
      <dgm:prSet presAssocID="{F7E0DEB1-70D0-493C-9103-CB2515EF61F5}" presName="dummyConnPt" presStyleCnt="0"/>
      <dgm:spPr/>
    </dgm:pt>
    <dgm:pt modelId="{BA2CFCD5-8ED8-411A-A8BD-01B6066302F8}" type="pres">
      <dgm:prSet presAssocID="{F7E0DEB1-70D0-493C-9103-CB2515EF61F5}" presName="node" presStyleLbl="node1" presStyleIdx="3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2A6B736B-7920-4074-9C18-417BC9756A72}" type="pres">
      <dgm:prSet presAssocID="{CDDD2C96-DC65-4154-B289-7C9B4AB913BF}" presName="sibTrans" presStyleLbl="bgSibTrans2D1" presStyleIdx="3" presStyleCnt="7"/>
      <dgm:spPr/>
      <dgm:t>
        <a:bodyPr/>
        <a:lstStyle/>
        <a:p>
          <a:endParaRPr lang="es-ES"/>
        </a:p>
      </dgm:t>
    </dgm:pt>
    <dgm:pt modelId="{9F10FCA4-8203-44AA-B64E-CA3758FC0FA9}" type="pres">
      <dgm:prSet presAssocID="{11A33EE3-4487-4183-A4F4-AF3B18284EE9}" presName="compNode" presStyleCnt="0"/>
      <dgm:spPr/>
    </dgm:pt>
    <dgm:pt modelId="{1FD4E51D-66B7-46B3-92E6-867A04B417C7}" type="pres">
      <dgm:prSet presAssocID="{11A33EE3-4487-4183-A4F4-AF3B18284EE9}" presName="dummyConnPt" presStyleCnt="0"/>
      <dgm:spPr/>
    </dgm:pt>
    <dgm:pt modelId="{6B7E350D-FD40-4A7B-B6EF-60F6FE911A81}" type="pres">
      <dgm:prSet presAssocID="{11A33EE3-4487-4183-A4F4-AF3B18284EE9}" presName="node" presStyleLbl="node1" presStyleIdx="4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1C97F84A-BC0E-45FD-8635-1559815DC6D8}" type="pres">
      <dgm:prSet presAssocID="{A223E857-692E-4A3D-A081-44C7D15607CD}" presName="sibTrans" presStyleLbl="bgSibTrans2D1" presStyleIdx="4" presStyleCnt="7"/>
      <dgm:spPr/>
      <dgm:t>
        <a:bodyPr/>
        <a:lstStyle/>
        <a:p>
          <a:endParaRPr lang="es-ES"/>
        </a:p>
      </dgm:t>
    </dgm:pt>
    <dgm:pt modelId="{D1C212CB-159F-4100-B613-C7BA9C4C9719}" type="pres">
      <dgm:prSet presAssocID="{90AC3000-7560-4DE1-AD65-015F8F168316}" presName="compNode" presStyleCnt="0"/>
      <dgm:spPr/>
    </dgm:pt>
    <dgm:pt modelId="{D65DC3AF-14FB-4863-A3FD-B88D92D4478D}" type="pres">
      <dgm:prSet presAssocID="{90AC3000-7560-4DE1-AD65-015F8F168316}" presName="dummyConnPt" presStyleCnt="0"/>
      <dgm:spPr/>
    </dgm:pt>
    <dgm:pt modelId="{5F37ED9D-3807-4975-9F30-2CDAD2C6D65B}" type="pres">
      <dgm:prSet presAssocID="{90AC3000-7560-4DE1-AD65-015F8F168316}" presName="node" presStyleLbl="node1" presStyleIdx="5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8CE4BCF9-5156-40EC-9DC8-34D39C0CD7E1}" type="pres">
      <dgm:prSet presAssocID="{860D56A8-AE16-4ABD-98C2-9A27ABA855A1}" presName="sibTrans" presStyleLbl="bgSibTrans2D1" presStyleIdx="5" presStyleCnt="7"/>
      <dgm:spPr/>
      <dgm:t>
        <a:bodyPr/>
        <a:lstStyle/>
        <a:p>
          <a:endParaRPr lang="es-ES"/>
        </a:p>
      </dgm:t>
    </dgm:pt>
    <dgm:pt modelId="{2137D12D-0573-4F0F-9359-1D02AB713AAB}" type="pres">
      <dgm:prSet presAssocID="{12B844BA-625F-4DEB-B646-FB45A38FD0EA}" presName="compNode" presStyleCnt="0"/>
      <dgm:spPr/>
    </dgm:pt>
    <dgm:pt modelId="{3BFF1DD2-0CC2-4DF1-A359-8AF8E744D08A}" type="pres">
      <dgm:prSet presAssocID="{12B844BA-625F-4DEB-B646-FB45A38FD0EA}" presName="dummyConnPt" presStyleCnt="0"/>
      <dgm:spPr/>
    </dgm:pt>
    <dgm:pt modelId="{8537D29F-2F68-4C6B-A019-A0A0142BC813}" type="pres">
      <dgm:prSet presAssocID="{12B844BA-625F-4DEB-B646-FB45A38FD0EA}" presName="node" presStyleLbl="node1" presStyleIdx="6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078DBA91-7CB8-4F53-AF2B-E613DE62E328}" type="pres">
      <dgm:prSet presAssocID="{3DCA16ED-02E8-4E80-8750-18AEE21B3014}" presName="sibTrans" presStyleLbl="bgSibTrans2D1" presStyleIdx="6" presStyleCnt="7"/>
      <dgm:spPr/>
      <dgm:t>
        <a:bodyPr/>
        <a:lstStyle/>
        <a:p>
          <a:endParaRPr lang="es-ES"/>
        </a:p>
      </dgm:t>
    </dgm:pt>
    <dgm:pt modelId="{896E0223-3AC9-480D-ABF1-8D0531D420DF}" type="pres">
      <dgm:prSet presAssocID="{DF8CECCB-28B8-4B64-B96A-6F6BE1EA319D}" presName="compNode" presStyleCnt="0"/>
      <dgm:spPr/>
    </dgm:pt>
    <dgm:pt modelId="{5BA96CC1-58F8-4B5B-8F90-009000BEE37C}" type="pres">
      <dgm:prSet presAssocID="{DF8CECCB-28B8-4B64-B96A-6F6BE1EA319D}" presName="dummyConnPt" presStyleCnt="0"/>
      <dgm:spPr/>
    </dgm:pt>
    <dgm:pt modelId="{2522A351-0DA4-48B1-A732-2D024A9D10D0}" type="pres">
      <dgm:prSet presAssocID="{DF8CECCB-28B8-4B64-B96A-6F6BE1EA319D}" presName="node" presStyleLbl="node1" presStyleIdx="7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</dgm:ptLst>
  <dgm:cxnLst>
    <dgm:cxn modelId="{A309511E-F9D4-414F-BA63-9911135B7507}" type="presOf" srcId="{84C6AD7E-1FE3-4736-8B5E-80913C6DF7D5}" destId="{FDACE2DB-504B-41BA-879B-69C6EE9B9C66}" srcOrd="0" destOrd="0" presId="urn:microsoft.com/office/officeart/2005/8/layout/bProcess4"/>
    <dgm:cxn modelId="{5C81D0F5-1719-4C7A-ACCA-12AA3883832D}" type="presOf" srcId="{A223E857-692E-4A3D-A081-44C7D15607CD}" destId="{1C97F84A-BC0E-45FD-8635-1559815DC6D8}" srcOrd="0" destOrd="0" presId="urn:microsoft.com/office/officeart/2005/8/layout/bProcess4"/>
    <dgm:cxn modelId="{4921F1DA-5E63-441E-90BD-7E1719212961}" srcId="{CBFF4F76-6284-4635-86E2-14CF2E1AF711}" destId="{11A33EE3-4487-4183-A4F4-AF3B18284EE9}" srcOrd="4" destOrd="0" parTransId="{E6D8BFF4-BBB6-4281-AB8F-664C296EC785}" sibTransId="{A223E857-692E-4A3D-A081-44C7D15607CD}"/>
    <dgm:cxn modelId="{E94E8422-A924-4E3B-9897-1C593241E86C}" srcId="{CBFF4F76-6284-4635-86E2-14CF2E1AF711}" destId="{F7E0DEB1-70D0-493C-9103-CB2515EF61F5}" srcOrd="3" destOrd="0" parTransId="{315002D5-0285-4C18-9538-6C097E231859}" sibTransId="{CDDD2C96-DC65-4154-B289-7C9B4AB913BF}"/>
    <dgm:cxn modelId="{0CD2596C-694A-44DD-8433-61A7FD6ED67B}" srcId="{CBFF4F76-6284-4635-86E2-14CF2E1AF711}" destId="{3F30DF68-1CAD-4CC3-A9BC-16A942FCC1EA}" srcOrd="1" destOrd="0" parTransId="{3CCF4283-1B44-466A-AA61-80733D9DC825}" sibTransId="{A416DCDF-ABB6-43F0-A4EE-E9730742866C}"/>
    <dgm:cxn modelId="{0994648E-7818-43AE-8A12-38055AD7BF7F}" type="presOf" srcId="{CDDD2C96-DC65-4154-B289-7C9B4AB913BF}" destId="{2A6B736B-7920-4074-9C18-417BC9756A72}" srcOrd="0" destOrd="0" presId="urn:microsoft.com/office/officeart/2005/8/layout/bProcess4"/>
    <dgm:cxn modelId="{112C9555-6FBF-4C8A-BF78-36CA941ECF71}" type="presOf" srcId="{F7E0DEB1-70D0-493C-9103-CB2515EF61F5}" destId="{BA2CFCD5-8ED8-411A-A8BD-01B6066302F8}" srcOrd="0" destOrd="0" presId="urn:microsoft.com/office/officeart/2005/8/layout/bProcess4"/>
    <dgm:cxn modelId="{A6188549-C84C-4EA6-A84E-06958A0D2EF7}" srcId="{CBFF4F76-6284-4635-86E2-14CF2E1AF711}" destId="{6F665DA7-FD9F-420E-BF59-0A99B8F62CCA}" srcOrd="0" destOrd="0" parTransId="{2A0381EC-659D-4C11-A2D1-6B03443CC84A}" sibTransId="{84C6AD7E-1FE3-4736-8B5E-80913C6DF7D5}"/>
    <dgm:cxn modelId="{CC5B2DB1-42E5-46A0-8470-6C9390EA9C7B}" type="presOf" srcId="{3F30DF68-1CAD-4CC3-A9BC-16A942FCC1EA}" destId="{F718C46D-4FA0-4E21-8901-58C43153073F}" srcOrd="0" destOrd="0" presId="urn:microsoft.com/office/officeart/2005/8/layout/bProcess4"/>
    <dgm:cxn modelId="{B3F26C1B-7610-4984-9560-EE37BC149CD5}" type="presOf" srcId="{DF8CECCB-28B8-4B64-B96A-6F6BE1EA319D}" destId="{2522A351-0DA4-48B1-A732-2D024A9D10D0}" srcOrd="0" destOrd="0" presId="urn:microsoft.com/office/officeart/2005/8/layout/bProcess4"/>
    <dgm:cxn modelId="{A114F5FA-5BA2-414B-BAD2-E269C97A78F2}" type="presOf" srcId="{A416DCDF-ABB6-43F0-A4EE-E9730742866C}" destId="{5DB3F5DF-60E8-42DD-8F01-E038ECE1B2F3}" srcOrd="0" destOrd="0" presId="urn:microsoft.com/office/officeart/2005/8/layout/bProcess4"/>
    <dgm:cxn modelId="{645780AB-A0E1-4F9C-842C-990D7373A0DE}" type="presOf" srcId="{860D56A8-AE16-4ABD-98C2-9A27ABA855A1}" destId="{8CE4BCF9-5156-40EC-9DC8-34D39C0CD7E1}" srcOrd="0" destOrd="0" presId="urn:microsoft.com/office/officeart/2005/8/layout/bProcess4"/>
    <dgm:cxn modelId="{6CCE3562-F180-4437-AC67-ED4325DA7D5A}" srcId="{CBFF4F76-6284-4635-86E2-14CF2E1AF711}" destId="{12B844BA-625F-4DEB-B646-FB45A38FD0EA}" srcOrd="6" destOrd="0" parTransId="{B483DE4D-57D0-4443-A969-1FBDA807D917}" sibTransId="{3DCA16ED-02E8-4E80-8750-18AEE21B3014}"/>
    <dgm:cxn modelId="{C82262EA-B086-4C53-B35E-B8B1E2335FF9}" type="presOf" srcId="{6F665DA7-FD9F-420E-BF59-0A99B8F62CCA}" destId="{8CEDDE70-A691-41FC-AFC1-10DFC3A79CC0}" srcOrd="0" destOrd="0" presId="urn:microsoft.com/office/officeart/2005/8/layout/bProcess4"/>
    <dgm:cxn modelId="{EBA18DB4-8C74-4A2C-98D6-544824ED50F8}" type="presOf" srcId="{84E7212F-9980-4A51-97FF-3A07560ABCC1}" destId="{69D93BF6-7CAF-4CD0-A5AD-35DF13C33AEC}" srcOrd="0" destOrd="0" presId="urn:microsoft.com/office/officeart/2005/8/layout/bProcess4"/>
    <dgm:cxn modelId="{79178F18-D9C9-447D-B621-861A54763813}" type="presOf" srcId="{90AC3000-7560-4DE1-AD65-015F8F168316}" destId="{5F37ED9D-3807-4975-9F30-2CDAD2C6D65B}" srcOrd="0" destOrd="0" presId="urn:microsoft.com/office/officeart/2005/8/layout/bProcess4"/>
    <dgm:cxn modelId="{FE3B5DB0-FAEF-4F12-A264-A3A135A25192}" srcId="{CBFF4F76-6284-4635-86E2-14CF2E1AF711}" destId="{0361B131-7B18-4974-92FF-AE8FF60CA2B0}" srcOrd="2" destOrd="0" parTransId="{36FD4EB0-9E76-4A81-8CCE-51FBF3F65C1B}" sibTransId="{84E7212F-9980-4A51-97FF-3A07560ABCC1}"/>
    <dgm:cxn modelId="{0294BC92-80F4-49F5-929B-9D777F667748}" type="presOf" srcId="{3DCA16ED-02E8-4E80-8750-18AEE21B3014}" destId="{078DBA91-7CB8-4F53-AF2B-E613DE62E328}" srcOrd="0" destOrd="0" presId="urn:microsoft.com/office/officeart/2005/8/layout/bProcess4"/>
    <dgm:cxn modelId="{F5BC5F9D-FC83-41D8-BCF4-2DF9768A7791}" type="presOf" srcId="{11A33EE3-4487-4183-A4F4-AF3B18284EE9}" destId="{6B7E350D-FD40-4A7B-B6EF-60F6FE911A81}" srcOrd="0" destOrd="0" presId="urn:microsoft.com/office/officeart/2005/8/layout/bProcess4"/>
    <dgm:cxn modelId="{50CE0B0D-9379-4BFD-804E-28FCE798195A}" srcId="{CBFF4F76-6284-4635-86E2-14CF2E1AF711}" destId="{90AC3000-7560-4DE1-AD65-015F8F168316}" srcOrd="5" destOrd="0" parTransId="{EB2B0D48-E4B2-4BB4-A516-2E5F2D8BC836}" sibTransId="{860D56A8-AE16-4ABD-98C2-9A27ABA855A1}"/>
    <dgm:cxn modelId="{59E3757E-704C-4D9C-98C7-BF163E2777D1}" type="presOf" srcId="{CBFF4F76-6284-4635-86E2-14CF2E1AF711}" destId="{FC6781DE-0E75-4D55-AD8F-5F49C53F76AC}" srcOrd="0" destOrd="0" presId="urn:microsoft.com/office/officeart/2005/8/layout/bProcess4"/>
    <dgm:cxn modelId="{BED8C794-CAE3-4D20-B909-8A4E3B500B73}" type="presOf" srcId="{0361B131-7B18-4974-92FF-AE8FF60CA2B0}" destId="{9715E011-388B-41EC-AA04-2D2680422894}" srcOrd="0" destOrd="0" presId="urn:microsoft.com/office/officeart/2005/8/layout/bProcess4"/>
    <dgm:cxn modelId="{17A0EF76-CB24-41B7-98D2-CEFC460DECD7}" srcId="{CBFF4F76-6284-4635-86E2-14CF2E1AF711}" destId="{DF8CECCB-28B8-4B64-B96A-6F6BE1EA319D}" srcOrd="7" destOrd="0" parTransId="{5825466C-628A-4E76-82DA-8CB392838E02}" sibTransId="{C5B22618-D009-4DD2-9BBA-9C60DFAC0CA3}"/>
    <dgm:cxn modelId="{A1B9AEE8-E593-40E7-B2E3-6E2DEF01108F}" type="presOf" srcId="{12B844BA-625F-4DEB-B646-FB45A38FD0EA}" destId="{8537D29F-2F68-4C6B-A019-A0A0142BC813}" srcOrd="0" destOrd="0" presId="urn:microsoft.com/office/officeart/2005/8/layout/bProcess4"/>
    <dgm:cxn modelId="{E06F42E8-4BB5-44E0-85E3-4F4E05CA546A}" type="presParOf" srcId="{FC6781DE-0E75-4D55-AD8F-5F49C53F76AC}" destId="{972F0816-EA2C-43DD-AD29-0E5015908AA6}" srcOrd="0" destOrd="0" presId="urn:microsoft.com/office/officeart/2005/8/layout/bProcess4"/>
    <dgm:cxn modelId="{0E77B4D8-82FC-4190-A57C-3C12F45357A2}" type="presParOf" srcId="{972F0816-EA2C-43DD-AD29-0E5015908AA6}" destId="{B97586E5-0154-485C-BCA9-595691CC8917}" srcOrd="0" destOrd="0" presId="urn:microsoft.com/office/officeart/2005/8/layout/bProcess4"/>
    <dgm:cxn modelId="{D2490FE5-3523-44AA-9404-CD33A9287C2C}" type="presParOf" srcId="{972F0816-EA2C-43DD-AD29-0E5015908AA6}" destId="{8CEDDE70-A691-41FC-AFC1-10DFC3A79CC0}" srcOrd="1" destOrd="0" presId="urn:microsoft.com/office/officeart/2005/8/layout/bProcess4"/>
    <dgm:cxn modelId="{79F735FD-E5E7-467F-8497-333339DD52E8}" type="presParOf" srcId="{FC6781DE-0E75-4D55-AD8F-5F49C53F76AC}" destId="{FDACE2DB-504B-41BA-879B-69C6EE9B9C66}" srcOrd="1" destOrd="0" presId="urn:microsoft.com/office/officeart/2005/8/layout/bProcess4"/>
    <dgm:cxn modelId="{5B5C3CB0-5A3C-4CDF-81B8-3B34673FE2A3}" type="presParOf" srcId="{FC6781DE-0E75-4D55-AD8F-5F49C53F76AC}" destId="{E87A3878-3D17-47CD-AA5A-40900CD3E3C1}" srcOrd="2" destOrd="0" presId="urn:microsoft.com/office/officeart/2005/8/layout/bProcess4"/>
    <dgm:cxn modelId="{DE71041C-6CDF-4523-BFB3-E9D170CAF2F5}" type="presParOf" srcId="{E87A3878-3D17-47CD-AA5A-40900CD3E3C1}" destId="{E82FCC7A-34A6-4DBB-969E-0F7D827BA3D4}" srcOrd="0" destOrd="0" presId="urn:microsoft.com/office/officeart/2005/8/layout/bProcess4"/>
    <dgm:cxn modelId="{D41E6215-7117-43AA-90E0-9EDB99C154D6}" type="presParOf" srcId="{E87A3878-3D17-47CD-AA5A-40900CD3E3C1}" destId="{F718C46D-4FA0-4E21-8901-58C43153073F}" srcOrd="1" destOrd="0" presId="urn:microsoft.com/office/officeart/2005/8/layout/bProcess4"/>
    <dgm:cxn modelId="{3FC628AA-8EFC-40D7-A115-0A72884ACEE5}" type="presParOf" srcId="{FC6781DE-0E75-4D55-AD8F-5F49C53F76AC}" destId="{5DB3F5DF-60E8-42DD-8F01-E038ECE1B2F3}" srcOrd="3" destOrd="0" presId="urn:microsoft.com/office/officeart/2005/8/layout/bProcess4"/>
    <dgm:cxn modelId="{7BA914ED-E497-4188-AA74-9C176110B70D}" type="presParOf" srcId="{FC6781DE-0E75-4D55-AD8F-5F49C53F76AC}" destId="{8B168052-0F8F-41B1-9F1B-85C40E40BD31}" srcOrd="4" destOrd="0" presId="urn:microsoft.com/office/officeart/2005/8/layout/bProcess4"/>
    <dgm:cxn modelId="{C7DD7CFA-FAC0-4661-9498-5C9C419A0A7E}" type="presParOf" srcId="{8B168052-0F8F-41B1-9F1B-85C40E40BD31}" destId="{6D6B6968-42F2-4A69-B2A3-80784EDECA8D}" srcOrd="0" destOrd="0" presId="urn:microsoft.com/office/officeart/2005/8/layout/bProcess4"/>
    <dgm:cxn modelId="{6438D434-CF3D-4299-8B1E-B31EBC87B42B}" type="presParOf" srcId="{8B168052-0F8F-41B1-9F1B-85C40E40BD31}" destId="{9715E011-388B-41EC-AA04-2D2680422894}" srcOrd="1" destOrd="0" presId="urn:microsoft.com/office/officeart/2005/8/layout/bProcess4"/>
    <dgm:cxn modelId="{01E7367B-2B50-42A1-A477-B5C6EDE7C762}" type="presParOf" srcId="{FC6781DE-0E75-4D55-AD8F-5F49C53F76AC}" destId="{69D93BF6-7CAF-4CD0-A5AD-35DF13C33AEC}" srcOrd="5" destOrd="0" presId="urn:microsoft.com/office/officeart/2005/8/layout/bProcess4"/>
    <dgm:cxn modelId="{99327E1D-5C3A-4498-BD35-4AF9E19BA091}" type="presParOf" srcId="{FC6781DE-0E75-4D55-AD8F-5F49C53F76AC}" destId="{CE154FDB-930D-4465-8C83-66F6CFC12C31}" srcOrd="6" destOrd="0" presId="urn:microsoft.com/office/officeart/2005/8/layout/bProcess4"/>
    <dgm:cxn modelId="{E71D72A9-43FC-496C-9862-6F96D24DB8F2}" type="presParOf" srcId="{CE154FDB-930D-4465-8C83-66F6CFC12C31}" destId="{3252EA98-0F56-4E75-89BA-F588C5443939}" srcOrd="0" destOrd="0" presId="urn:microsoft.com/office/officeart/2005/8/layout/bProcess4"/>
    <dgm:cxn modelId="{D751218C-5F1E-48D6-AD5D-4E5494EB7669}" type="presParOf" srcId="{CE154FDB-930D-4465-8C83-66F6CFC12C31}" destId="{BA2CFCD5-8ED8-411A-A8BD-01B6066302F8}" srcOrd="1" destOrd="0" presId="urn:microsoft.com/office/officeart/2005/8/layout/bProcess4"/>
    <dgm:cxn modelId="{65447DDF-D18E-4706-85BB-D21855BD99E1}" type="presParOf" srcId="{FC6781DE-0E75-4D55-AD8F-5F49C53F76AC}" destId="{2A6B736B-7920-4074-9C18-417BC9756A72}" srcOrd="7" destOrd="0" presId="urn:microsoft.com/office/officeart/2005/8/layout/bProcess4"/>
    <dgm:cxn modelId="{B4391D30-68D4-483E-8717-7483DCEEA7BC}" type="presParOf" srcId="{FC6781DE-0E75-4D55-AD8F-5F49C53F76AC}" destId="{9F10FCA4-8203-44AA-B64E-CA3758FC0FA9}" srcOrd="8" destOrd="0" presId="urn:microsoft.com/office/officeart/2005/8/layout/bProcess4"/>
    <dgm:cxn modelId="{91CAC9D6-1410-41C8-A9EC-B9B428DC7783}" type="presParOf" srcId="{9F10FCA4-8203-44AA-B64E-CA3758FC0FA9}" destId="{1FD4E51D-66B7-46B3-92E6-867A04B417C7}" srcOrd="0" destOrd="0" presId="urn:microsoft.com/office/officeart/2005/8/layout/bProcess4"/>
    <dgm:cxn modelId="{BF943D0D-D58C-4DFA-A920-D855248AE34E}" type="presParOf" srcId="{9F10FCA4-8203-44AA-B64E-CA3758FC0FA9}" destId="{6B7E350D-FD40-4A7B-B6EF-60F6FE911A81}" srcOrd="1" destOrd="0" presId="urn:microsoft.com/office/officeart/2005/8/layout/bProcess4"/>
    <dgm:cxn modelId="{B3C55667-4D58-44FD-887A-21AF3B542332}" type="presParOf" srcId="{FC6781DE-0E75-4D55-AD8F-5F49C53F76AC}" destId="{1C97F84A-BC0E-45FD-8635-1559815DC6D8}" srcOrd="9" destOrd="0" presId="urn:microsoft.com/office/officeart/2005/8/layout/bProcess4"/>
    <dgm:cxn modelId="{5AEFD4DE-CFA7-4022-B3FF-668BADCAC764}" type="presParOf" srcId="{FC6781DE-0E75-4D55-AD8F-5F49C53F76AC}" destId="{D1C212CB-159F-4100-B613-C7BA9C4C9719}" srcOrd="10" destOrd="0" presId="urn:microsoft.com/office/officeart/2005/8/layout/bProcess4"/>
    <dgm:cxn modelId="{857B8BFE-7F7C-4C5E-AC30-2355F0A8EE5C}" type="presParOf" srcId="{D1C212CB-159F-4100-B613-C7BA9C4C9719}" destId="{D65DC3AF-14FB-4863-A3FD-B88D92D4478D}" srcOrd="0" destOrd="0" presId="urn:microsoft.com/office/officeart/2005/8/layout/bProcess4"/>
    <dgm:cxn modelId="{C09A85EB-BD6D-4F87-83B1-6E166E6A17B5}" type="presParOf" srcId="{D1C212CB-159F-4100-B613-C7BA9C4C9719}" destId="{5F37ED9D-3807-4975-9F30-2CDAD2C6D65B}" srcOrd="1" destOrd="0" presId="urn:microsoft.com/office/officeart/2005/8/layout/bProcess4"/>
    <dgm:cxn modelId="{1BA8B057-4AD5-41E4-B670-934F1FB2F8EB}" type="presParOf" srcId="{FC6781DE-0E75-4D55-AD8F-5F49C53F76AC}" destId="{8CE4BCF9-5156-40EC-9DC8-34D39C0CD7E1}" srcOrd="11" destOrd="0" presId="urn:microsoft.com/office/officeart/2005/8/layout/bProcess4"/>
    <dgm:cxn modelId="{01E5A537-3EE9-4FF8-B984-C87825FC0FED}" type="presParOf" srcId="{FC6781DE-0E75-4D55-AD8F-5F49C53F76AC}" destId="{2137D12D-0573-4F0F-9359-1D02AB713AAB}" srcOrd="12" destOrd="0" presId="urn:microsoft.com/office/officeart/2005/8/layout/bProcess4"/>
    <dgm:cxn modelId="{4B742798-336D-450A-B8E5-5BF2E443BD88}" type="presParOf" srcId="{2137D12D-0573-4F0F-9359-1D02AB713AAB}" destId="{3BFF1DD2-0CC2-4DF1-A359-8AF8E744D08A}" srcOrd="0" destOrd="0" presId="urn:microsoft.com/office/officeart/2005/8/layout/bProcess4"/>
    <dgm:cxn modelId="{9FEFBF71-DBA0-4B3A-87FB-AF2AC771A44A}" type="presParOf" srcId="{2137D12D-0573-4F0F-9359-1D02AB713AAB}" destId="{8537D29F-2F68-4C6B-A019-A0A0142BC813}" srcOrd="1" destOrd="0" presId="urn:microsoft.com/office/officeart/2005/8/layout/bProcess4"/>
    <dgm:cxn modelId="{62EBB75F-1EE1-4C02-8680-66724BCE900F}" type="presParOf" srcId="{FC6781DE-0E75-4D55-AD8F-5F49C53F76AC}" destId="{078DBA91-7CB8-4F53-AF2B-E613DE62E328}" srcOrd="13" destOrd="0" presId="urn:microsoft.com/office/officeart/2005/8/layout/bProcess4"/>
    <dgm:cxn modelId="{41C1CF0E-469C-4DFC-B7E8-ECC788189143}" type="presParOf" srcId="{FC6781DE-0E75-4D55-AD8F-5F49C53F76AC}" destId="{896E0223-3AC9-480D-ABF1-8D0531D420DF}" srcOrd="14" destOrd="0" presId="urn:microsoft.com/office/officeart/2005/8/layout/bProcess4"/>
    <dgm:cxn modelId="{5E095AC6-9B0A-4E83-AC36-36482AF467E0}" type="presParOf" srcId="{896E0223-3AC9-480D-ABF1-8D0531D420DF}" destId="{5BA96CC1-58F8-4B5B-8F90-009000BEE37C}" srcOrd="0" destOrd="0" presId="urn:microsoft.com/office/officeart/2005/8/layout/bProcess4"/>
    <dgm:cxn modelId="{6D44278F-58F4-40EB-951A-6B60D2E777F6}" type="presParOf" srcId="{896E0223-3AC9-480D-ABF1-8D0531D420DF}" destId="{2522A351-0DA4-48B1-A732-2D024A9D10D0}" srcOrd="1" destOrd="0" presId="urn:microsoft.com/office/officeart/2005/8/layout/bProcess4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Cotización</a:t>
          </a:r>
        </a:p>
        <a:p>
          <a:r>
            <a:rPr lang="es-ES" sz="1400"/>
            <a:t>frmCotizacion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r>
            <a:rPr lang="es-ES" sz="1400"/>
            <a:t>Se debe verificar la integridad referencial de las tablas compormetidas en la transacción.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validar información de ventas,. (Liquidar valores de factura y demás)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Transportador</a:t>
          </a:r>
        </a:p>
        <a:p>
          <a:r>
            <a:rPr lang="es-ES" sz="1400"/>
            <a:t>frmTransportador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Transportador : id,empresa,nombre_contacto,cargo,direccion,telefono,correo,ciudad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usa para registrar los datos básicos del transportador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Productos</a:t>
          </a:r>
        </a:p>
        <a:p>
          <a:r>
            <a:rPr lang="es-ES" sz="1400"/>
            <a:t>frmProductos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proveedor :  </a:t>
          </a:r>
          <a:r>
            <a:rPr lang="es-CO" sz="1400" b="0" i="0" u="none"/>
            <a:t>nombre</a:t>
          </a:r>
        </a:p>
        <a:p>
          <a:r>
            <a:rPr lang="es-CO" sz="1400" b="0" i="0" u="none"/>
            <a:t>productos : id,id_proveedor,producto,color,medida,cantidad,presentacion,costo,utilidad,venta,iva,venta_iva,categoria,disponible,stock,pedirr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en los campos color, presentación y categoría para permitir que el usuario seleccione de la lista.</a:t>
          </a:r>
        </a:p>
        <a:p>
          <a:r>
            <a:rPr lang="es-ES" sz="1400"/>
            <a:t>Se debe validar que el producto quede asignado a un proveedor ya creado.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Pendiente definir cómo se asignarán los valores iniciales del stock, disponible y pedir.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Empleado</a:t>
          </a:r>
        </a:p>
        <a:p>
          <a:r>
            <a:rPr lang="es-ES" sz="1400"/>
            <a:t>frmEmpleado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empleado : id,nombre,cargo,telefono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grabar los datos del empleado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proveedor por primera vez.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proveedor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proveedor</a:t>
          </a:r>
        </a:p>
        <a:p>
          <a:r>
            <a:rPr lang="es-ES" sz="1400"/>
            <a:t>frmDatosCompletosProveedor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proveedores y agregar datos adicionales de contacto en la tabla contacto_proveedor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Cliente</a:t>
          </a:r>
        </a:p>
        <a:p>
          <a:r>
            <a:rPr lang="es-ES" sz="1400"/>
            <a:t>frmContactoCliente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clientes y agregar datos adicionales de contacto en la tabla contacto_cliente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cliente por primera vez.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cliente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5EA9F54-86A8-4703-A7B0-346E21089D1D}">
      <dsp:nvSpPr>
        <dsp:cNvPr id="0" name=""/>
        <dsp:cNvSpPr/>
      </dsp:nvSpPr>
      <dsp:spPr>
        <a:xfrm>
          <a:off x="0" y="3071"/>
          <a:ext cx="7410451" cy="0"/>
        </a:xfrm>
        <a:prstGeom prst="line">
          <a:avLst/>
        </a:prstGeom>
        <a:solidFill>
          <a:schemeClr val="accent1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2DD070-0E12-494F-9403-329641313964}">
      <dsp:nvSpPr>
        <dsp:cNvPr id="0" name=""/>
        <dsp:cNvSpPr/>
      </dsp:nvSpPr>
      <dsp:spPr>
        <a:xfrm>
          <a:off x="0" y="3071"/>
          <a:ext cx="1482090" cy="62851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Ajustes pendiente</a:t>
          </a:r>
        </a:p>
      </dsp:txBody>
      <dsp:txXfrm>
        <a:off x="0" y="3071"/>
        <a:ext cx="1482090" cy="6285121"/>
      </dsp:txXfrm>
    </dsp:sp>
    <dsp:sp modelId="{DD31B207-E7F9-47B8-8CB3-1610819424E7}">
      <dsp:nvSpPr>
        <dsp:cNvPr id="0" name=""/>
        <dsp:cNvSpPr/>
      </dsp:nvSpPr>
      <dsp:spPr>
        <a:xfrm>
          <a:off x="1593246" y="21715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el campo email a tablas contacto_cliente y contacto proveedor. NO olvidar ajustar las clases definidas</a:t>
          </a:r>
        </a:p>
      </dsp:txBody>
      <dsp:txXfrm>
        <a:off x="1593246" y="21715"/>
        <a:ext cx="5817204" cy="372872"/>
      </dsp:txXfrm>
    </dsp:sp>
    <dsp:sp modelId="{71D278EC-F037-40BC-9454-EBB39935DE77}">
      <dsp:nvSpPr>
        <dsp:cNvPr id="0" name=""/>
        <dsp:cNvSpPr/>
      </dsp:nvSpPr>
      <dsp:spPr>
        <a:xfrm>
          <a:off x="1482090" y="39458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AC6090F-6BD6-45D6-92C4-F1900106CD38}">
      <dsp:nvSpPr>
        <dsp:cNvPr id="0" name=""/>
        <dsp:cNvSpPr/>
      </dsp:nvSpPr>
      <dsp:spPr>
        <a:xfrm>
          <a:off x="1593246" y="413231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Modificar tabla pedidos, factura y detalles_de_pedido en excel y access. (Se modificaron y agregaron campos)</a:t>
          </a:r>
        </a:p>
      </dsp:txBody>
      <dsp:txXfrm>
        <a:off x="1593246" y="413231"/>
        <a:ext cx="5817204" cy="372872"/>
      </dsp:txXfrm>
    </dsp:sp>
    <dsp:sp modelId="{A5793638-11E0-488B-A115-EF209833AE60}">
      <dsp:nvSpPr>
        <dsp:cNvPr id="0" name=""/>
        <dsp:cNvSpPr/>
      </dsp:nvSpPr>
      <dsp:spPr>
        <a:xfrm>
          <a:off x="1482090" y="786103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A7299A9-1A42-45A0-9D57-8DF3B50A801E}">
      <dsp:nvSpPr>
        <dsp:cNvPr id="0" name=""/>
        <dsp:cNvSpPr/>
      </dsp:nvSpPr>
      <dsp:spPr>
        <a:xfrm>
          <a:off x="1593246" y="804747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Implementar la lógica de liquidación de impuestos en la cotización</a:t>
          </a:r>
        </a:p>
      </dsp:txBody>
      <dsp:txXfrm>
        <a:off x="1593246" y="804747"/>
        <a:ext cx="5817204" cy="372872"/>
      </dsp:txXfrm>
    </dsp:sp>
    <dsp:sp modelId="{99D96288-0C7B-47B3-A958-A79572DD0251}">
      <dsp:nvSpPr>
        <dsp:cNvPr id="0" name=""/>
        <dsp:cNvSpPr/>
      </dsp:nvSpPr>
      <dsp:spPr>
        <a:xfrm>
          <a:off x="1482090" y="117761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970E2884-785A-49BE-BA15-EB1840529DC1}">
      <dsp:nvSpPr>
        <dsp:cNvPr id="0" name=""/>
        <dsp:cNvSpPr/>
      </dsp:nvSpPr>
      <dsp:spPr>
        <a:xfrm>
          <a:off x="1593246" y="1196262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la ubicación de los campos retefuente, reteica, iva e interes</a:t>
          </a:r>
        </a:p>
      </dsp:txBody>
      <dsp:txXfrm>
        <a:off x="1593246" y="1196262"/>
        <a:ext cx="5817204" cy="372872"/>
      </dsp:txXfrm>
    </dsp:sp>
    <dsp:sp modelId="{EBDCD195-6DBB-47DB-B30C-A1F9C7FD32F1}">
      <dsp:nvSpPr>
        <dsp:cNvPr id="0" name=""/>
        <dsp:cNvSpPr/>
      </dsp:nvSpPr>
      <dsp:spPr>
        <a:xfrm>
          <a:off x="1482090" y="156913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E186B4-A3C7-4B2C-B328-171F71C96AC1}">
      <dsp:nvSpPr>
        <dsp:cNvPr id="0" name=""/>
        <dsp:cNvSpPr/>
      </dsp:nvSpPr>
      <dsp:spPr>
        <a:xfrm>
          <a:off x="1593246" y="1587778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estados de pedidos (Apartado, Revisado, Entregado, Devuelto, Anulado)</a:t>
          </a:r>
        </a:p>
      </dsp:txBody>
      <dsp:txXfrm>
        <a:off x="1593246" y="1587778"/>
        <a:ext cx="5817204" cy="372872"/>
      </dsp:txXfrm>
    </dsp:sp>
    <dsp:sp modelId="{611E286F-AD51-486E-9F08-893C9A40A6E9}">
      <dsp:nvSpPr>
        <dsp:cNvPr id="0" name=""/>
        <dsp:cNvSpPr/>
      </dsp:nvSpPr>
      <dsp:spPr>
        <a:xfrm>
          <a:off x="1482090" y="1960650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8A9098-624D-4E1D-A3E0-D8A9C648D02E}">
      <dsp:nvSpPr>
        <dsp:cNvPr id="0" name=""/>
        <dsp:cNvSpPr/>
      </dsp:nvSpPr>
      <dsp:spPr>
        <a:xfrm>
          <a:off x="1593246" y="1979294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 de detalles de pedidos. (Aclarar qué estado puede tener un producto dentro de un pedido: (Apartado, Retenido, faltante, etc)</a:t>
          </a:r>
        </a:p>
      </dsp:txBody>
      <dsp:txXfrm>
        <a:off x="1593246" y="1979294"/>
        <a:ext cx="5817204" cy="372872"/>
      </dsp:txXfrm>
    </dsp:sp>
    <dsp:sp modelId="{3989DF3B-003C-4E30-B12A-6DACE6EA3C23}">
      <dsp:nvSpPr>
        <dsp:cNvPr id="0" name=""/>
        <dsp:cNvSpPr/>
      </dsp:nvSpPr>
      <dsp:spPr>
        <a:xfrm>
          <a:off x="1482090" y="2352166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0AEC8C-C91A-44FA-8CFB-0E1E957D0A53}">
      <dsp:nvSpPr>
        <dsp:cNvPr id="0" name=""/>
        <dsp:cNvSpPr/>
      </dsp:nvSpPr>
      <dsp:spPr>
        <a:xfrm>
          <a:off x="1593246" y="2370810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ubicación de productos. (Bodegas)</a:t>
          </a:r>
        </a:p>
      </dsp:txBody>
      <dsp:txXfrm>
        <a:off x="1593246" y="2370810"/>
        <a:ext cx="5817204" cy="372872"/>
      </dsp:txXfrm>
    </dsp:sp>
    <dsp:sp modelId="{D583CA53-B7F8-479F-B8D1-7649F6EAA192}">
      <dsp:nvSpPr>
        <dsp:cNvPr id="0" name=""/>
        <dsp:cNvSpPr/>
      </dsp:nvSpPr>
      <dsp:spPr>
        <a:xfrm>
          <a:off x="1482090" y="274368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498DEBCE-64EA-4328-8C58-98CCB392CE57}">
      <dsp:nvSpPr>
        <dsp:cNvPr id="0" name=""/>
        <dsp:cNvSpPr/>
      </dsp:nvSpPr>
      <dsp:spPr>
        <a:xfrm>
          <a:off x="1593246" y="2762326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tipos de transacciones de inventarios. (Comprado, vendido, retenido, apartado)</a:t>
          </a:r>
        </a:p>
      </dsp:txBody>
      <dsp:txXfrm>
        <a:off x="1593246" y="2762326"/>
        <a:ext cx="5817204" cy="372872"/>
      </dsp:txXfrm>
    </dsp:sp>
    <dsp:sp modelId="{53EBE85C-7CA5-493E-A843-6E1077224A9E}">
      <dsp:nvSpPr>
        <dsp:cNvPr id="0" name=""/>
        <dsp:cNvSpPr/>
      </dsp:nvSpPr>
      <dsp:spPr>
        <a:xfrm>
          <a:off x="1482090" y="313519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4CC2382-7F45-4ACC-B28E-28D51FA13F40}">
      <dsp:nvSpPr>
        <dsp:cNvPr id="0" name=""/>
        <dsp:cNvSpPr/>
      </dsp:nvSpPr>
      <dsp:spPr>
        <a:xfrm>
          <a:off x="1593246" y="3153841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lista de los campos que se van a enviar a cada tabla desde los formularios creados. (Id para mantener la integridad referencial)</a:t>
          </a:r>
        </a:p>
      </dsp:txBody>
      <dsp:txXfrm>
        <a:off x="1593246" y="3153841"/>
        <a:ext cx="5817204" cy="372872"/>
      </dsp:txXfrm>
    </dsp:sp>
    <dsp:sp modelId="{E8A6AB40-5365-4CEE-A0DD-9AF25E862B4F}">
      <dsp:nvSpPr>
        <dsp:cNvPr id="0" name=""/>
        <dsp:cNvSpPr/>
      </dsp:nvSpPr>
      <dsp:spPr>
        <a:xfrm>
          <a:off x="1482090" y="352671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8D932341-7CC2-436A-901A-0C1E0EB30101}">
      <dsp:nvSpPr>
        <dsp:cNvPr id="0" name=""/>
        <dsp:cNvSpPr/>
      </dsp:nvSpPr>
      <dsp:spPr>
        <a:xfrm>
          <a:off x="1593246" y="3545357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Incluir campos para determinar tipo de contribuyente y poder liquidar impuestos. (Incuir en tabla clientes y actualizar en formularios cotización y clientes</a:t>
          </a:r>
        </a:p>
      </dsp:txBody>
      <dsp:txXfrm>
        <a:off x="1593246" y="3545357"/>
        <a:ext cx="5817204" cy="372872"/>
      </dsp:txXfrm>
    </dsp:sp>
    <dsp:sp modelId="{B6C4AFD4-303B-48E4-B444-2DC4D5076F3F}">
      <dsp:nvSpPr>
        <dsp:cNvPr id="0" name=""/>
        <dsp:cNvSpPr/>
      </dsp:nvSpPr>
      <dsp:spPr>
        <a:xfrm>
          <a:off x="1482090" y="391822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E4298EE-700F-41A7-860D-D4C61B533A38}">
      <dsp:nvSpPr>
        <dsp:cNvPr id="0" name=""/>
        <dsp:cNvSpPr/>
      </dsp:nvSpPr>
      <dsp:spPr>
        <a:xfrm>
          <a:off x="1593246" y="3936873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si se va a establecer  conexión a access desde el archivo como conexión de datos o se hará mediante ADODB. Analizar las ventajas y desventajas de las conexiones.</a:t>
          </a:r>
        </a:p>
      </dsp:txBody>
      <dsp:txXfrm>
        <a:off x="1593246" y="3936873"/>
        <a:ext cx="5817204" cy="372872"/>
      </dsp:txXfrm>
    </dsp:sp>
    <dsp:sp modelId="{91677E77-C253-4188-A19A-8D3448A3C149}">
      <dsp:nvSpPr>
        <dsp:cNvPr id="0" name=""/>
        <dsp:cNvSpPr/>
      </dsp:nvSpPr>
      <dsp:spPr>
        <a:xfrm>
          <a:off x="1482090" y="430974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FAE105-4155-440E-8DD5-90190759DDDC}">
      <dsp:nvSpPr>
        <dsp:cNvPr id="0" name=""/>
        <dsp:cNvSpPr/>
      </dsp:nvSpPr>
      <dsp:spPr>
        <a:xfrm>
          <a:off x="1593246" y="4328389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Adicionar campos nicho, tipo de documento y documento al formulario cotización</a:t>
          </a:r>
        </a:p>
      </dsp:txBody>
      <dsp:txXfrm>
        <a:off x="1593246" y="4328389"/>
        <a:ext cx="5817204" cy="372872"/>
      </dsp:txXfrm>
    </dsp:sp>
    <dsp:sp modelId="{EE11E852-88AD-4B45-820C-5795003EC4A9}">
      <dsp:nvSpPr>
        <dsp:cNvPr id="0" name=""/>
        <dsp:cNvSpPr/>
      </dsp:nvSpPr>
      <dsp:spPr>
        <a:xfrm>
          <a:off x="1482090" y="4701261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2ADC893-C46C-4386-817D-61CBCB351051}">
      <dsp:nvSpPr>
        <dsp:cNvPr id="0" name=""/>
        <dsp:cNvSpPr/>
      </dsp:nvSpPr>
      <dsp:spPr>
        <a:xfrm>
          <a:off x="1593246" y="4719904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campo tipo de contribuyente en clientes</a:t>
          </a:r>
        </a:p>
      </dsp:txBody>
      <dsp:txXfrm>
        <a:off x="1593246" y="4719904"/>
        <a:ext cx="5817204" cy="372872"/>
      </dsp:txXfrm>
    </dsp:sp>
    <dsp:sp modelId="{7D3E8C55-B15C-43E9-BF07-1ABFD9D51EF7}">
      <dsp:nvSpPr>
        <dsp:cNvPr id="0" name=""/>
        <dsp:cNvSpPr/>
      </dsp:nvSpPr>
      <dsp:spPr>
        <a:xfrm>
          <a:off x="1482090" y="509277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DD70BC83-1072-4EAB-B9AF-F2AEB50F6C4F}">
      <dsp:nvSpPr>
        <dsp:cNvPr id="0" name=""/>
        <dsp:cNvSpPr/>
      </dsp:nvSpPr>
      <dsp:spPr>
        <a:xfrm>
          <a:off x="1593246" y="5111420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Generar código para eliminar, editar y agregar productos a los listbox de detalles de productos</a:t>
          </a:r>
        </a:p>
      </dsp:txBody>
      <dsp:txXfrm>
        <a:off x="1593246" y="5111420"/>
        <a:ext cx="5817204" cy="372872"/>
      </dsp:txXfrm>
    </dsp:sp>
    <dsp:sp modelId="{643A8AAD-D319-4521-B4CF-8614E7E4BE2A}">
      <dsp:nvSpPr>
        <dsp:cNvPr id="0" name=""/>
        <dsp:cNvSpPr/>
      </dsp:nvSpPr>
      <dsp:spPr>
        <a:xfrm>
          <a:off x="1482090" y="548429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F38B687-A67E-427A-AC2B-DFB8FA8919E9}">
      <dsp:nvSpPr>
        <dsp:cNvPr id="0" name=""/>
        <dsp:cNvSpPr/>
      </dsp:nvSpPr>
      <dsp:spPr>
        <a:xfrm>
          <a:off x="1593246" y="5502936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Solicitar tabla de fletes para incluir en el fomulario de cotización</a:t>
          </a:r>
        </a:p>
      </dsp:txBody>
      <dsp:txXfrm>
        <a:off x="1593246" y="5502936"/>
        <a:ext cx="5817204" cy="372872"/>
      </dsp:txXfrm>
    </dsp:sp>
    <dsp:sp modelId="{EC88BAD7-DB9F-4487-9522-E924CA71E4FA}">
      <dsp:nvSpPr>
        <dsp:cNvPr id="0" name=""/>
        <dsp:cNvSpPr/>
      </dsp:nvSpPr>
      <dsp:spPr>
        <a:xfrm>
          <a:off x="1482090" y="587580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CC54F101-24E1-408C-B48E-8C8D34E4CC59}">
      <dsp:nvSpPr>
        <dsp:cNvPr id="0" name=""/>
        <dsp:cNvSpPr/>
      </dsp:nvSpPr>
      <dsp:spPr>
        <a:xfrm>
          <a:off x="1593246" y="5894452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un arrreglo para alamacenar los valor de detalles de metrajes y enviarlo al listbox junto con el valor total</a:t>
          </a:r>
        </a:p>
      </dsp:txBody>
      <dsp:txXfrm>
        <a:off x="1593246" y="5894452"/>
        <a:ext cx="5817204" cy="372872"/>
      </dsp:txXfrm>
    </dsp:sp>
    <dsp:sp modelId="{9DE7A904-7E1A-4529-9A0B-DD24854C62B3}">
      <dsp:nvSpPr>
        <dsp:cNvPr id="0" name=""/>
        <dsp:cNvSpPr/>
      </dsp:nvSpPr>
      <dsp:spPr>
        <a:xfrm>
          <a:off x="1482090" y="626732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DACE2DB-504B-41BA-879B-69C6EE9B9C66}">
      <dsp:nvSpPr>
        <dsp:cNvPr id="0" name=""/>
        <dsp:cNvSpPr/>
      </dsp:nvSpPr>
      <dsp:spPr>
        <a:xfrm rot="5400000">
          <a:off x="-206261" y="658956"/>
          <a:ext cx="926116" cy="112313"/>
        </a:xfrm>
        <a:prstGeom prst="rect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CEDDE70-A691-41FC-AFC1-10DFC3A79CC0}">
      <dsp:nvSpPr>
        <dsp:cNvPr id="0" name=""/>
        <dsp:cNvSpPr/>
      </dsp:nvSpPr>
      <dsp:spPr>
        <a:xfrm>
          <a:off x="2299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tablas</a:t>
          </a:r>
        </a:p>
      </dsp:txBody>
      <dsp:txXfrm>
        <a:off x="24229" y="83209"/>
        <a:ext cx="1204063" cy="704894"/>
      </dsp:txXfrm>
    </dsp:sp>
    <dsp:sp modelId="{5DB3F5DF-60E8-42DD-8F01-E038ECE1B2F3}">
      <dsp:nvSpPr>
        <dsp:cNvPr id="0" name=""/>
        <dsp:cNvSpPr/>
      </dsp:nvSpPr>
      <dsp:spPr>
        <a:xfrm rot="5400000">
          <a:off x="-206261" y="1594899"/>
          <a:ext cx="926116" cy="112313"/>
        </a:xfrm>
        <a:prstGeom prst="rect">
          <a:avLst/>
        </a:prstGeom>
        <a:solidFill>
          <a:schemeClr val="accent2">
            <a:hueOff val="-242561"/>
            <a:satOff val="-13988"/>
            <a:lumOff val="143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718C46D-4FA0-4E21-8901-58C43153073F}">
      <dsp:nvSpPr>
        <dsp:cNvPr id="0" name=""/>
        <dsp:cNvSpPr/>
      </dsp:nvSpPr>
      <dsp:spPr>
        <a:xfrm>
          <a:off x="2299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207909"/>
            <a:satOff val="-11990"/>
            <a:lumOff val="123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clases en excel para los campos de las tablas</a:t>
          </a:r>
        </a:p>
      </dsp:txBody>
      <dsp:txXfrm>
        <a:off x="24229" y="1019152"/>
        <a:ext cx="1204063" cy="704894"/>
      </dsp:txXfrm>
    </dsp:sp>
    <dsp:sp modelId="{69D93BF6-7CAF-4CD0-A5AD-35DF13C33AEC}">
      <dsp:nvSpPr>
        <dsp:cNvPr id="0" name=""/>
        <dsp:cNvSpPr/>
      </dsp:nvSpPr>
      <dsp:spPr>
        <a:xfrm>
          <a:off x="261710" y="2062871"/>
          <a:ext cx="1649912" cy="112313"/>
        </a:xfrm>
        <a:prstGeom prst="rect">
          <a:avLst/>
        </a:prstGeom>
        <a:solidFill>
          <a:schemeClr val="accent2">
            <a:hueOff val="-485121"/>
            <a:satOff val="-27976"/>
            <a:lumOff val="2876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715E011-388B-41EC-AA04-2D2680422894}">
      <dsp:nvSpPr>
        <dsp:cNvPr id="0" name=""/>
        <dsp:cNvSpPr/>
      </dsp:nvSpPr>
      <dsp:spPr>
        <a:xfrm>
          <a:off x="2299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415818"/>
            <a:satOff val="-23979"/>
            <a:lumOff val="246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formularios en excel</a:t>
          </a:r>
        </a:p>
      </dsp:txBody>
      <dsp:txXfrm>
        <a:off x="24229" y="1955095"/>
        <a:ext cx="1204063" cy="704894"/>
      </dsp:txXfrm>
    </dsp:sp>
    <dsp:sp modelId="{2A6B736B-7920-4074-9C18-417BC9756A72}">
      <dsp:nvSpPr>
        <dsp:cNvPr id="0" name=""/>
        <dsp:cNvSpPr/>
      </dsp:nvSpPr>
      <dsp:spPr>
        <a:xfrm rot="16200000">
          <a:off x="1453477" y="1594899"/>
          <a:ext cx="926116" cy="112313"/>
        </a:xfrm>
        <a:prstGeom prst="rect">
          <a:avLst/>
        </a:prstGeom>
        <a:solidFill>
          <a:schemeClr val="accent2">
            <a:hueOff val="-727682"/>
            <a:satOff val="-41964"/>
            <a:lumOff val="4314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A2CFCD5-8ED8-411A-A8BD-01B6066302F8}">
      <dsp:nvSpPr>
        <dsp:cNvPr id="0" name=""/>
        <dsp:cNvSpPr/>
      </dsp:nvSpPr>
      <dsp:spPr>
        <a:xfrm>
          <a:off x="1662038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623727"/>
            <a:satOff val="-35969"/>
            <a:lumOff val="369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Transplantar modelo de datos a access</a:t>
          </a:r>
        </a:p>
      </dsp:txBody>
      <dsp:txXfrm>
        <a:off x="1683968" y="1955095"/>
        <a:ext cx="1204063" cy="704894"/>
      </dsp:txXfrm>
    </dsp:sp>
    <dsp:sp modelId="{1C97F84A-BC0E-45FD-8635-1559815DC6D8}">
      <dsp:nvSpPr>
        <dsp:cNvPr id="0" name=""/>
        <dsp:cNvSpPr/>
      </dsp:nvSpPr>
      <dsp:spPr>
        <a:xfrm rot="16200000">
          <a:off x="1453477" y="658956"/>
          <a:ext cx="926116" cy="112313"/>
        </a:xfrm>
        <a:prstGeom prst="rect">
          <a:avLst/>
        </a:prstGeom>
        <a:solidFill>
          <a:schemeClr val="accent2">
            <a:hueOff val="-970242"/>
            <a:satOff val="-55952"/>
            <a:lumOff val="5752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B7E350D-FD40-4A7B-B6EF-60F6FE911A81}">
      <dsp:nvSpPr>
        <dsp:cNvPr id="0" name=""/>
        <dsp:cNvSpPr/>
      </dsp:nvSpPr>
      <dsp:spPr>
        <a:xfrm>
          <a:off x="1662038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831636"/>
            <a:satOff val="-47959"/>
            <a:lumOff val="493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validacion de datos de formularios</a:t>
          </a:r>
        </a:p>
      </dsp:txBody>
      <dsp:txXfrm>
        <a:off x="1683968" y="1019152"/>
        <a:ext cx="1204063" cy="704894"/>
      </dsp:txXfrm>
    </dsp:sp>
    <dsp:sp modelId="{8CE4BCF9-5156-40EC-9DC8-34D39C0CD7E1}">
      <dsp:nvSpPr>
        <dsp:cNvPr id="0" name=""/>
        <dsp:cNvSpPr/>
      </dsp:nvSpPr>
      <dsp:spPr>
        <a:xfrm>
          <a:off x="1921449" y="190985"/>
          <a:ext cx="1649912" cy="112313"/>
        </a:xfrm>
        <a:prstGeom prst="rect">
          <a:avLst/>
        </a:prstGeom>
        <a:solidFill>
          <a:schemeClr val="accent2">
            <a:hueOff val="-1212803"/>
            <a:satOff val="-69940"/>
            <a:lumOff val="719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37ED9D-3807-4975-9F30-2CDAD2C6D65B}">
      <dsp:nvSpPr>
        <dsp:cNvPr id="0" name=""/>
        <dsp:cNvSpPr/>
      </dsp:nvSpPr>
      <dsp:spPr>
        <a:xfrm>
          <a:off x="1662038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039545"/>
            <a:satOff val="-59949"/>
            <a:lumOff val="616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lógica para cargue de datos en los formularios</a:t>
          </a:r>
        </a:p>
      </dsp:txBody>
      <dsp:txXfrm>
        <a:off x="1683968" y="83209"/>
        <a:ext cx="1204063" cy="704894"/>
      </dsp:txXfrm>
    </dsp:sp>
    <dsp:sp modelId="{078DBA91-7CB8-4F53-AF2B-E613DE62E328}">
      <dsp:nvSpPr>
        <dsp:cNvPr id="0" name=""/>
        <dsp:cNvSpPr/>
      </dsp:nvSpPr>
      <dsp:spPr>
        <a:xfrm rot="5400000">
          <a:off x="3113216" y="658956"/>
          <a:ext cx="926116" cy="112313"/>
        </a:xfrm>
        <a:prstGeom prst="rect">
          <a:avLst/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537D29F-2F68-4C6B-A019-A0A0142BC813}">
      <dsp:nvSpPr>
        <dsp:cNvPr id="0" name=""/>
        <dsp:cNvSpPr/>
      </dsp:nvSpPr>
      <dsp:spPr>
        <a:xfrm>
          <a:off x="3321776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247454"/>
            <a:satOff val="-71938"/>
            <a:lumOff val="739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código vba para conexión de datos a base de access</a:t>
          </a:r>
        </a:p>
      </dsp:txBody>
      <dsp:txXfrm>
        <a:off x="3343706" y="83209"/>
        <a:ext cx="1204063" cy="704894"/>
      </dsp:txXfrm>
    </dsp:sp>
    <dsp:sp modelId="{2522A351-0DA4-48B1-A732-2D024A9D10D0}">
      <dsp:nvSpPr>
        <dsp:cNvPr id="0" name=""/>
        <dsp:cNvSpPr/>
      </dsp:nvSpPr>
      <dsp:spPr>
        <a:xfrm>
          <a:off x="3321776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consultas y vistas en access (Informes básicos)</a:t>
          </a:r>
        </a:p>
      </dsp:txBody>
      <dsp:txXfrm>
        <a:off x="3343706" y="1019152"/>
        <a:ext cx="1204063" cy="704894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2174"/>
          <a:ext cx="93580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2174"/>
          <a:ext cx="2077552" cy="444998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Cotización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frmCotizacion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2174"/>
        <a:ext cx="2077552" cy="4449988"/>
      </dsp:txXfrm>
    </dsp:sp>
    <dsp:sp modelId="{894FA575-7D25-463F-A4B7-6E71A2DC2346}">
      <dsp:nvSpPr>
        <dsp:cNvPr id="0" name=""/>
        <dsp:cNvSpPr/>
      </dsp:nvSpPr>
      <dsp:spPr>
        <a:xfrm>
          <a:off x="2213947" y="71706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71706"/>
        <a:ext cx="7138012" cy="1390621"/>
      </dsp:txXfrm>
    </dsp:sp>
    <dsp:sp modelId="{E52B736D-3406-40C3-BCA2-DABB4E28858F}">
      <dsp:nvSpPr>
        <dsp:cNvPr id="0" name=""/>
        <dsp:cNvSpPr/>
      </dsp:nvSpPr>
      <dsp:spPr>
        <a:xfrm>
          <a:off x="2077552" y="1462327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3947" y="1531858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verificar la integridad referencial de las tablas compormetidas en la transacción.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1531858"/>
        <a:ext cx="7138012" cy="1390621"/>
      </dsp:txXfrm>
    </dsp:sp>
    <dsp:sp modelId="{1046048D-80F2-4B5A-A166-1BB4EEBCD7CC}">
      <dsp:nvSpPr>
        <dsp:cNvPr id="0" name=""/>
        <dsp:cNvSpPr/>
      </dsp:nvSpPr>
      <dsp:spPr>
        <a:xfrm>
          <a:off x="2077552" y="292247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3947" y="2992010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validar información de ventas,. (Liquidar valores de factura y demás)</a:t>
          </a:r>
        </a:p>
      </dsp:txBody>
      <dsp:txXfrm>
        <a:off x="2213947" y="2992010"/>
        <a:ext cx="7138012" cy="1390621"/>
      </dsp:txXfrm>
    </dsp:sp>
    <dsp:sp modelId="{CC21E947-E839-46DB-80FE-6A6E0349CFC5}">
      <dsp:nvSpPr>
        <dsp:cNvPr id="0" name=""/>
        <dsp:cNvSpPr/>
      </dsp:nvSpPr>
      <dsp:spPr>
        <a:xfrm>
          <a:off x="2077552" y="4382631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Transportador : id,empresa,nombre_contacto,cargo,direccion,telefono,correo,ciudad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usa para registrar los datos básicos del transportador</a:t>
          </a:r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nombre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productos : id,id_proveedor,producto,color,medida,cantidad,presentacion,costo,utilidad,venta,iva,venta_iva,categoria,disponible,stock,pedirr</a:t>
          </a: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en los campos color, presentación y categoría para permitir que el usuario seleccione de la lista.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validar que el producto quede asignado a un proveedor ya creado.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Pendiente definir cómo se asignarán los valores iniciales del stock, disponible y pedir.</a:t>
          </a:r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57916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515832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515832" cy="4431927"/>
      </dsp:txXfrm>
    </dsp:sp>
    <dsp:sp modelId="{894FA575-7D25-463F-A4B7-6E71A2DC2346}">
      <dsp:nvSpPr>
        <dsp:cNvPr id="0" name=""/>
        <dsp:cNvSpPr/>
      </dsp:nvSpPr>
      <dsp:spPr>
        <a:xfrm>
          <a:off x="2704520" y="69248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empleado : id,nombre,cargo,telefono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4520" y="69248"/>
        <a:ext cx="9874642" cy="1384977"/>
      </dsp:txXfrm>
    </dsp:sp>
    <dsp:sp modelId="{E52B736D-3406-40C3-BCA2-DABB4E28858F}">
      <dsp:nvSpPr>
        <dsp:cNvPr id="0" name=""/>
        <dsp:cNvSpPr/>
      </dsp:nvSpPr>
      <dsp:spPr>
        <a:xfrm>
          <a:off x="2515832" y="1454226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704520" y="1523474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grabar los datos del empleado</a:t>
          </a:r>
        </a:p>
      </dsp:txBody>
      <dsp:txXfrm>
        <a:off x="2704520" y="1523474"/>
        <a:ext cx="9874642" cy="1384977"/>
      </dsp:txXfrm>
    </dsp:sp>
    <dsp:sp modelId="{1046048D-80F2-4B5A-A166-1BB4EEBCD7CC}">
      <dsp:nvSpPr>
        <dsp:cNvPr id="0" name=""/>
        <dsp:cNvSpPr/>
      </dsp:nvSpPr>
      <dsp:spPr>
        <a:xfrm>
          <a:off x="2515832" y="2908452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704520" y="2977700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4520" y="2977700"/>
        <a:ext cx="9874642" cy="1384977"/>
      </dsp:txXfrm>
    </dsp:sp>
    <dsp:sp modelId="{CC21E947-E839-46DB-80FE-6A6E0349CFC5}">
      <dsp:nvSpPr>
        <dsp:cNvPr id="0" name=""/>
        <dsp:cNvSpPr/>
      </dsp:nvSpPr>
      <dsp:spPr>
        <a:xfrm>
          <a:off x="2515832" y="4362678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5485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119845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119845" cy="4454338"/>
      </dsp:txXfrm>
    </dsp:sp>
    <dsp:sp modelId="{894FA575-7D25-463F-A4B7-6E71A2DC2346}">
      <dsp:nvSpPr>
        <dsp:cNvPr id="0" name=""/>
        <dsp:cNvSpPr/>
      </dsp:nvSpPr>
      <dsp:spPr>
        <a:xfrm>
          <a:off x="2259016" y="69599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  <a:endParaRPr lang="es-ES" sz="1400" kern="1200"/>
        </a:p>
      </dsp:txBody>
      <dsp:txXfrm>
        <a:off x="2259016" y="69599"/>
        <a:ext cx="7283319" cy="1391980"/>
      </dsp:txXfrm>
    </dsp:sp>
    <dsp:sp modelId="{E52B736D-3406-40C3-BCA2-DABB4E28858F}">
      <dsp:nvSpPr>
        <dsp:cNvPr id="0" name=""/>
        <dsp:cNvSpPr/>
      </dsp:nvSpPr>
      <dsp:spPr>
        <a:xfrm>
          <a:off x="2119845" y="1461579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59016" y="1531178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proveedor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59016" y="1531178"/>
        <a:ext cx="7283319" cy="1391980"/>
      </dsp:txXfrm>
    </dsp:sp>
    <dsp:sp modelId="{1046048D-80F2-4B5A-A166-1BB4EEBCD7CC}">
      <dsp:nvSpPr>
        <dsp:cNvPr id="0" name=""/>
        <dsp:cNvSpPr/>
      </dsp:nvSpPr>
      <dsp:spPr>
        <a:xfrm>
          <a:off x="2119845" y="2923159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59016" y="2992758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proveedor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59016" y="2992758"/>
        <a:ext cx="7283319" cy="1391980"/>
      </dsp:txXfrm>
    </dsp:sp>
    <dsp:sp modelId="{CC21E947-E839-46DB-80FE-6A6E0349CFC5}">
      <dsp:nvSpPr>
        <dsp:cNvPr id="0" name=""/>
        <dsp:cNvSpPr/>
      </dsp:nvSpPr>
      <dsp:spPr>
        <a:xfrm>
          <a:off x="2119845" y="4384738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3179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6358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635847" cy="4431927"/>
      </dsp:txXfrm>
    </dsp:sp>
    <dsp:sp modelId="{894FA575-7D25-463F-A4B7-6E71A2DC2346}">
      <dsp:nvSpPr>
        <dsp:cNvPr id="0" name=""/>
        <dsp:cNvSpPr/>
      </dsp:nvSpPr>
      <dsp:spPr>
        <a:xfrm>
          <a:off x="2833536" y="69248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3536" y="69248"/>
        <a:ext cx="10345701" cy="1384977"/>
      </dsp:txXfrm>
    </dsp:sp>
    <dsp:sp modelId="{E52B736D-3406-40C3-BCA2-DABB4E28858F}">
      <dsp:nvSpPr>
        <dsp:cNvPr id="0" name=""/>
        <dsp:cNvSpPr/>
      </dsp:nvSpPr>
      <dsp:spPr>
        <a:xfrm>
          <a:off x="2635847" y="1454226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833536" y="1523474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proveedores y agregar datos adicionales de contacto en la tabla contacto_proveedor</a:t>
          </a:r>
        </a:p>
      </dsp:txBody>
      <dsp:txXfrm>
        <a:off x="2833536" y="1523474"/>
        <a:ext cx="10345701" cy="1384977"/>
      </dsp:txXfrm>
    </dsp:sp>
    <dsp:sp modelId="{1046048D-80F2-4B5A-A166-1BB4EEBCD7CC}">
      <dsp:nvSpPr>
        <dsp:cNvPr id="0" name=""/>
        <dsp:cNvSpPr/>
      </dsp:nvSpPr>
      <dsp:spPr>
        <a:xfrm>
          <a:off x="2635847" y="2908452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833536" y="2977700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3536" y="2977700"/>
        <a:ext cx="10345701" cy="1384977"/>
      </dsp:txXfrm>
    </dsp:sp>
    <dsp:sp modelId="{CC21E947-E839-46DB-80FE-6A6E0349CFC5}">
      <dsp:nvSpPr>
        <dsp:cNvPr id="0" name=""/>
        <dsp:cNvSpPr/>
      </dsp:nvSpPr>
      <dsp:spPr>
        <a:xfrm>
          <a:off x="2635847" y="4362678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frmContactoCliente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clientes y agregar datos adicionales de contacto en la tabla contacto_cliente</a:t>
          </a:r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3580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077552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077552" cy="4454338"/>
      </dsp:txXfrm>
    </dsp:sp>
    <dsp:sp modelId="{894FA575-7D25-463F-A4B7-6E71A2DC2346}">
      <dsp:nvSpPr>
        <dsp:cNvPr id="0" name=""/>
        <dsp:cNvSpPr/>
      </dsp:nvSpPr>
      <dsp:spPr>
        <a:xfrm>
          <a:off x="2213947" y="69599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69599"/>
        <a:ext cx="7138012" cy="1391980"/>
      </dsp:txXfrm>
    </dsp:sp>
    <dsp:sp modelId="{E52B736D-3406-40C3-BCA2-DABB4E28858F}">
      <dsp:nvSpPr>
        <dsp:cNvPr id="0" name=""/>
        <dsp:cNvSpPr/>
      </dsp:nvSpPr>
      <dsp:spPr>
        <a:xfrm>
          <a:off x="2077552" y="146157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3947" y="1531178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cliente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1531178"/>
        <a:ext cx="7138012" cy="1391980"/>
      </dsp:txXfrm>
    </dsp:sp>
    <dsp:sp modelId="{1046048D-80F2-4B5A-A166-1BB4EEBCD7CC}">
      <dsp:nvSpPr>
        <dsp:cNvPr id="0" name=""/>
        <dsp:cNvSpPr/>
      </dsp:nvSpPr>
      <dsp:spPr>
        <a:xfrm>
          <a:off x="2077552" y="292315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3947" y="2992758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cliente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13947" y="2992758"/>
        <a:ext cx="7138012" cy="1391980"/>
      </dsp:txXfrm>
    </dsp:sp>
    <dsp:sp modelId="{CC21E947-E839-46DB-80FE-6A6E0349CFC5}">
      <dsp:nvSpPr>
        <dsp:cNvPr id="0" name=""/>
        <dsp:cNvSpPr/>
      </dsp:nvSpPr>
      <dsp:spPr>
        <a:xfrm>
          <a:off x="2077552" y="4384738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bProcess4">
  <dgm:title val=""/>
  <dgm:desc val=""/>
  <dgm:catLst>
    <dgm:cat type="process" pri="19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  <dgm:pt modelId="7">
          <dgm:prSet phldr="1"/>
        </dgm:pt>
        <dgm:pt modelId="8">
          <dgm:prSet phldr="1"/>
        </dgm:pt>
        <dgm:pt modelId="9">
          <dgm:prSet phldr="1"/>
        </dgm:pt>
      </dgm:ptLst>
      <dgm:cxnLst>
        <dgm:cxn modelId="10" srcId="0" destId="1" srcOrd="0" destOrd="0"/>
        <dgm:cxn modelId="11" srcId="0" destId="2" srcOrd="1" destOrd="0"/>
        <dgm:cxn modelId="12" srcId="0" destId="3" srcOrd="2" destOrd="0"/>
        <dgm:cxn modelId="13" srcId="0" destId="4" srcOrd="3" destOrd="0"/>
        <dgm:cxn modelId="14" srcId="0" destId="5" srcOrd="4" destOrd="0"/>
        <dgm:cxn modelId="15" srcId="0" destId="6" srcOrd="5" destOrd="0"/>
        <dgm:cxn modelId="16" srcId="0" destId="7" srcOrd="6" destOrd="0"/>
        <dgm:cxn modelId="17" srcId="0" destId="8" srcOrd="7" destOrd="0"/>
        <dgm:cxn modelId="18" srcId="0" destId="9" srcOrd="8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Name0">
    <dgm:varLst>
      <dgm:dir/>
      <dgm:resizeHandles/>
    </dgm:varLst>
    <dgm:choose name="Name1">
      <dgm:if name="Name2" func="var" arg="dir" op="equ" val="norm">
        <dgm:alg type="snake">
          <dgm:param type="grDir" val="tL"/>
          <dgm:param type="flowDir" val="col"/>
          <dgm:param type="contDir" val="revDir"/>
          <dgm:param type="bkpt" val="bal"/>
        </dgm:alg>
      </dgm:if>
      <dgm:else name="Name3">
        <dgm:alg type="snake">
          <dgm:param type="grDir" val="tR"/>
          <dgm:param type="flowDir" val="col"/>
          <dgm:param type="contDir" val="revDir"/>
          <dgm:param type="bkpt" val="bal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w" fact="0.6"/>
      <dgm:constr type="h" for="ch" forName="sibTrans" refType="h" refFor="ch" refForName="compNode" op="equ" fact="0.25"/>
      <dgm:constr type="sp" refType="w" fact="0.33"/>
      <dgm:constr type="primFontSz" for="des" forName="node" op="equ" val="65"/>
    </dgm:constrLst>
    <dgm:ruleLst/>
    <dgm:forEach name="nodes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axis="self" func="var" arg="dir" op="equ" val="norm">
            <dgm:constrLst>
              <dgm:constr type="l" for="ch" forName="dummyConnPt" refType="w" fact="0.2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if>
          <dgm:else name="Name6">
            <dgm:constrLst>
              <dgm:constr type="l" for="ch" forName="dummyConnPt" refType="w" fact="0.8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else>
        </dgm:choose>
        <dgm:ruleLst/>
        <dgm:layoutNode name="dummyConnPt" styleLbl="node1" moveWith="node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node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desOrSelf" ptType="node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  <dgm:constr type="primFontSz" val="65"/>
          </dgm:constrLst>
          <dgm:ruleLst>
            <dgm:rule type="primFontSz" val="5" fact="NaN" max="NaN"/>
          </dgm:ruleLst>
        </dgm:layoutNode>
      </dgm:layoutNode>
      <dgm:forEach name="sibTransForEach" axis="followSib" cnt="1">
        <dgm:layoutNode name="sibTrans" styleLbl="bgSibTrans2D1">
          <dgm:choose name="Name7">
            <dgm:if name="Name8" axis="self" func="var" arg="dir" op="equ" val="norm">
              <dgm:alg type="conn">
                <dgm:param type="srcNode" val="dummyConnPt"/>
                <dgm:param type="dstNode" val="dummyConnPt"/>
                <dgm:param type="begPts" val="bCtr, midR, tCtr"/>
                <dgm:param type="endPts" val="tCtr, midL, bCtr"/>
                <dgm:param type="begSty" val="noArr"/>
                <dgm:param type="endSty" val="noArr"/>
              </dgm:alg>
            </dgm:if>
            <dgm:else name="Name9">
              <dgm:alg type="conn">
                <dgm:param type="srcNode" val="dummyConnPt"/>
                <dgm:param type="dstNode" val="dummyConnPt"/>
                <dgm:param type="begPts" val="bCtr, midL, tCtr"/>
                <dgm:param type="endPts" val="tCtr, midR, bCtr"/>
                <dgm:param type="begSty" val="noArr"/>
                <dgm:param type="endSty" val="noArr"/>
              </dgm:alg>
            </dgm:else>
          </dgm:choose>
          <dgm:shape xmlns:r="http://schemas.openxmlformats.org/officeDocument/2006/relationships" type="conn" r:blip="" zOrderOff="-2">
            <dgm:adjLst/>
          </dgm:shape>
          <dgm:presOf axis="self"/>
          <dgm:constrLst>
            <dgm:constr type="begPad"/>
            <dgm:constr type="endPad"/>
          </dgm:constrLst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image" Target="../media/image1.png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image" Target="../media/image2.png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6" Type="http://schemas.openxmlformats.org/officeDocument/2006/relationships/image" Target="../media/image3.png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5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image" Target="../media/image4.png"/><Relationship Id="rId5" Type="http://schemas.microsoft.com/office/2007/relationships/diagramDrawing" Target="../diagrams/drawing5.xml"/><Relationship Id="rId4" Type="http://schemas.openxmlformats.org/officeDocument/2006/relationships/diagramColors" Target="../diagrams/colors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6.xml"/><Relationship Id="rId2" Type="http://schemas.openxmlformats.org/officeDocument/2006/relationships/diagramLayout" Target="../diagrams/layout6.xml"/><Relationship Id="rId1" Type="http://schemas.openxmlformats.org/officeDocument/2006/relationships/diagramData" Target="../diagrams/data6.xml"/><Relationship Id="rId6" Type="http://schemas.openxmlformats.org/officeDocument/2006/relationships/image" Target="../media/image5.png"/><Relationship Id="rId5" Type="http://schemas.microsoft.com/office/2007/relationships/diagramDrawing" Target="../diagrams/drawing6.xml"/><Relationship Id="rId4" Type="http://schemas.openxmlformats.org/officeDocument/2006/relationships/diagramColors" Target="../diagrams/colors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7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image" Target="../media/image6.png"/><Relationship Id="rId5" Type="http://schemas.microsoft.com/office/2007/relationships/diagramDrawing" Target="../diagrams/drawing7.xml"/><Relationship Id="rId4" Type="http://schemas.openxmlformats.org/officeDocument/2006/relationships/diagramColors" Target="../diagrams/colors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8.xml"/><Relationship Id="rId2" Type="http://schemas.openxmlformats.org/officeDocument/2006/relationships/diagramLayout" Target="../diagrams/layout8.xml"/><Relationship Id="rId1" Type="http://schemas.openxmlformats.org/officeDocument/2006/relationships/diagramData" Target="../diagrams/data8.xml"/><Relationship Id="rId6" Type="http://schemas.openxmlformats.org/officeDocument/2006/relationships/image" Target="../media/image7.png"/><Relationship Id="rId5" Type="http://schemas.microsoft.com/office/2007/relationships/diagramDrawing" Target="../diagrams/drawing8.xml"/><Relationship Id="rId4" Type="http://schemas.openxmlformats.org/officeDocument/2006/relationships/diagramColors" Target="../diagrams/colors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9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image" Target="../media/image8.png"/><Relationship Id="rId5" Type="http://schemas.microsoft.com/office/2007/relationships/diagramDrawing" Target="../diagrams/drawing9.xml"/><Relationship Id="rId4" Type="http://schemas.openxmlformats.org/officeDocument/2006/relationships/diagramColors" Target="../diagrams/colors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0.xml"/><Relationship Id="rId2" Type="http://schemas.openxmlformats.org/officeDocument/2006/relationships/diagramLayout" Target="../diagrams/layout10.xml"/><Relationship Id="rId1" Type="http://schemas.openxmlformats.org/officeDocument/2006/relationships/diagramData" Target="../diagrams/data10.xml"/><Relationship Id="rId6" Type="http://schemas.openxmlformats.org/officeDocument/2006/relationships/image" Target="../media/image9.png"/><Relationship Id="rId5" Type="http://schemas.microsoft.com/office/2007/relationships/diagramDrawing" Target="../diagrams/drawing10.xml"/><Relationship Id="rId4" Type="http://schemas.openxmlformats.org/officeDocument/2006/relationships/diagramColors" Target="../diagrams/colors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457198</xdr:colOff>
      <xdr:row>1</xdr:row>
      <xdr:rowOff>33335</xdr:rowOff>
    </xdr:from>
    <xdr:to>
      <xdr:col>10</xdr:col>
      <xdr:colOff>247649</xdr:colOff>
      <xdr:row>34</xdr:row>
      <xdr:rowOff>38100</xdr:rowOff>
    </xdr:to>
    <xdr:graphicFrame macro="">
      <xdr:nvGraphicFramePr>
        <xdr:cNvPr id="3" name="Diagrama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13</xdr:col>
      <xdr:colOff>0</xdr:colOff>
      <xdr:row>1</xdr:row>
      <xdr:rowOff>52387</xdr:rowOff>
    </xdr:from>
    <xdr:to>
      <xdr:col>19</xdr:col>
      <xdr:colOff>0</xdr:colOff>
      <xdr:row>15</xdr:row>
      <xdr:rowOff>128587</xdr:rowOff>
    </xdr:to>
    <xdr:graphicFrame macro="">
      <xdr:nvGraphicFramePr>
        <xdr:cNvPr id="4" name="Diagrama 3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 editAs="oneCell">
    <xdr:from>
      <xdr:col>13</xdr:col>
      <xdr:colOff>161925</xdr:colOff>
      <xdr:row>17</xdr:row>
      <xdr:rowOff>38100</xdr:rowOff>
    </xdr:from>
    <xdr:to>
      <xdr:col>18</xdr:col>
      <xdr:colOff>533400</xdr:colOff>
      <xdr:row>35</xdr:row>
      <xdr:rowOff>28575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3276600"/>
          <a:ext cx="4181475" cy="341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0</xdr:col>
      <xdr:colOff>133350</xdr:colOff>
      <xdr:row>25</xdr:row>
      <xdr:rowOff>104776</xdr:rowOff>
    </xdr:from>
    <xdr:to>
      <xdr:col>15</xdr:col>
      <xdr:colOff>771525</xdr:colOff>
      <xdr:row>61</xdr:row>
      <xdr:rowOff>23978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867276"/>
          <a:ext cx="14163675" cy="67772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212912</xdr:colOff>
      <xdr:row>1</xdr:row>
      <xdr:rowOff>56028</xdr:rowOff>
    </xdr:from>
    <xdr:to>
      <xdr:col>24</xdr:col>
      <xdr:colOff>417684</xdr:colOff>
      <xdr:row>25</xdr:row>
      <xdr:rowOff>168087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45353" y="246528"/>
          <a:ext cx="7062772" cy="4684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145676</xdr:colOff>
      <xdr:row>0</xdr:row>
      <xdr:rowOff>156883</xdr:rowOff>
    </xdr:from>
    <xdr:to>
      <xdr:col>24</xdr:col>
      <xdr:colOff>206771</xdr:colOff>
      <xdr:row>43</xdr:row>
      <xdr:rowOff>67235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8117" y="156883"/>
          <a:ext cx="6919095" cy="8101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481853</xdr:colOff>
      <xdr:row>1</xdr:row>
      <xdr:rowOff>0</xdr:rowOff>
    </xdr:from>
    <xdr:to>
      <xdr:col>23</xdr:col>
      <xdr:colOff>227072</xdr:colOff>
      <xdr:row>12</xdr:row>
      <xdr:rowOff>100853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14294" y="190500"/>
          <a:ext cx="5841219" cy="2196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481853</xdr:colOff>
      <xdr:row>1</xdr:row>
      <xdr:rowOff>11205</xdr:rowOff>
    </xdr:from>
    <xdr:to>
      <xdr:col>20</xdr:col>
      <xdr:colOff>89647</xdr:colOff>
      <xdr:row>32</xdr:row>
      <xdr:rowOff>152840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6794" y="201705"/>
          <a:ext cx="6465794" cy="60471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168088</xdr:colOff>
      <xdr:row>1</xdr:row>
      <xdr:rowOff>123265</xdr:rowOff>
    </xdr:from>
    <xdr:to>
      <xdr:col>23</xdr:col>
      <xdr:colOff>268223</xdr:colOff>
      <xdr:row>20</xdr:row>
      <xdr:rowOff>100853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62529" y="313765"/>
          <a:ext cx="6196135" cy="3597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168087</xdr:colOff>
      <xdr:row>1</xdr:row>
      <xdr:rowOff>44822</xdr:rowOff>
    </xdr:from>
    <xdr:to>
      <xdr:col>24</xdr:col>
      <xdr:colOff>114328</xdr:colOff>
      <xdr:row>20</xdr:row>
      <xdr:rowOff>22411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0528" y="235322"/>
          <a:ext cx="6804241" cy="3597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145676</xdr:colOff>
      <xdr:row>1</xdr:row>
      <xdr:rowOff>11206</xdr:rowOff>
    </xdr:from>
    <xdr:to>
      <xdr:col>25</xdr:col>
      <xdr:colOff>167418</xdr:colOff>
      <xdr:row>28</xdr:row>
      <xdr:rowOff>78441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0117" y="201706"/>
          <a:ext cx="10689742" cy="5210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19050</xdr:colOff>
      <xdr:row>0</xdr:row>
      <xdr:rowOff>180975</xdr:rowOff>
    </xdr:from>
    <xdr:ext cx="5715000" cy="2314575"/>
    <xdr:pic>
      <xdr:nvPicPr>
        <xdr:cNvPr id="2" name="Imagen 1" descr="https://2gqoma.ch.files.1drv.com/y4mOmrvD0up4OXhidOkcfzD4fUhCBVIdIBVT4vD3V7XD1wzu_OvMKojJOCugyHfICN5aQp224X7EKG8ikR1rZrd4wHleNa10XKcZkyLhuxNkpoKZDhJ0WHtI0I-hq9LYbSsV8wLA4g_Y4aP5cfFbZeYwg/abreviaturas.bmp?rdrts=2182267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7050" y="180975"/>
          <a:ext cx="5715000" cy="231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tblListadoCampos" displayName="tblListadoCampos" ref="A1:G143" totalsRowShown="0">
  <autoFilter ref="A1:G143"/>
  <tableColumns count="7">
    <tableColumn id="1" name="Tabla"/>
    <tableColumn id="2" name="Nombre control" dataDxfId="1">
      <calculatedColumnFormula>IF(tblListadoCampos[[#This Row],[Tipo]]="","",tblListadoCampos[[#This Row],[Abreviatura]]&amp;tblListadoCampos[[#This Row],[Nombre]])</calculatedColumnFormula>
    </tableColumn>
    <tableColumn id="3" name="Tipo"/>
    <tableColumn id="7" name="Abreviatura" dataDxfId="0">
      <calculatedColumnFormula>IF(tblListadoCampos[[#This Row],[Tipo]]="","",VLOOKUP(tblListadoCampos[[#This Row],[Tipo]],tblControles[],2,0))</calculatedColumnFormula>
    </tableColumn>
    <tableColumn id="4" name="Campo tabla"/>
    <tableColumn id="5" name="Propiedad clase"/>
    <tableColumn id="6" name="Nombr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blControles" displayName="tblControles" ref="E16:F36" totalsRowShown="0">
  <autoFilter ref="E16:F36"/>
  <sortState ref="E17:F36">
    <sortCondition ref="E16"/>
  </sortState>
  <tableColumns count="2">
    <tableColumn id="1" name="Control"/>
    <tableColumn id="2" name="Abreviatur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43"/>
  <sheetViews>
    <sheetView showGridLines="0" workbookViewId="0">
      <pane ySplit="1" topLeftCell="A25" activePane="bottomLeft" state="frozen"/>
      <selection pane="bottomLeft" activeCell="B46" sqref="B46"/>
    </sheetView>
  </sheetViews>
  <sheetFormatPr baseColWidth="10" defaultRowHeight="15" x14ac:dyDescent="0.25"/>
  <cols>
    <col min="1" max="1" width="32.5703125" bestFit="1" customWidth="1"/>
    <col min="2" max="2" width="19.42578125" bestFit="1" customWidth="1"/>
    <col min="3" max="3" width="19.85546875" bestFit="1" customWidth="1"/>
    <col min="4" max="4" width="13.7109375" bestFit="1" customWidth="1"/>
    <col min="5" max="5" width="36.42578125" bestFit="1" customWidth="1"/>
    <col min="6" max="7" width="46" bestFit="1" customWidth="1"/>
  </cols>
  <sheetData>
    <row r="1" spans="1:7" x14ac:dyDescent="0.25">
      <c r="A1" t="s">
        <v>189</v>
      </c>
      <c r="B1" t="s">
        <v>0</v>
      </c>
      <c r="C1" t="s">
        <v>1</v>
      </c>
      <c r="D1" t="s">
        <v>528</v>
      </c>
      <c r="E1" t="s">
        <v>2</v>
      </c>
      <c r="F1" t="s">
        <v>3</v>
      </c>
      <c r="G1" t="s">
        <v>396</v>
      </c>
    </row>
    <row r="2" spans="1:7" x14ac:dyDescent="0.25">
      <c r="A2" t="s">
        <v>216</v>
      </c>
      <c r="B2" s="2" t="str">
        <f>IF(tblListadoCampos[[#This Row],[Tipo]]="","",tblListadoCampos[[#This Row],[Abreviatura]]&amp;tblListadoCampos[[#This Row],[Nombre]])</f>
        <v/>
      </c>
      <c r="D2" s="2" t="str">
        <f>IF(tblListadoCampos[[#This Row],[Tipo]]="","",VLOOKUP(tblListadoCampos[[#This Row],[Tipo]],tblControles[],2,0))</f>
        <v/>
      </c>
      <c r="E2" t="s">
        <v>190</v>
      </c>
      <c r="F2" t="s">
        <v>202</v>
      </c>
      <c r="G2" t="s">
        <v>397</v>
      </c>
    </row>
    <row r="3" spans="1:7" x14ac:dyDescent="0.25">
      <c r="A3" t="s">
        <v>216</v>
      </c>
      <c r="B3" s="2" t="str">
        <f>IF(tblListadoCampos[[#This Row],[Tipo]]="","",tblListadoCampos[[#This Row],[Abreviatura]]&amp;tblListadoCampos[[#This Row],[Nombre]])</f>
        <v/>
      </c>
      <c r="D3" s="2" t="str">
        <f>IF(tblListadoCampos[[#This Row],[Tipo]]="","",VLOOKUP(tblListadoCampos[[#This Row],[Tipo]],tblControles[],2,0))</f>
        <v/>
      </c>
      <c r="E3" t="s">
        <v>191</v>
      </c>
      <c r="F3" t="s">
        <v>203</v>
      </c>
      <c r="G3" t="s">
        <v>398</v>
      </c>
    </row>
    <row r="4" spans="1:7" x14ac:dyDescent="0.25">
      <c r="A4" t="s">
        <v>216</v>
      </c>
      <c r="B4" s="2" t="str">
        <f>IF(tblListadoCampos[[#This Row],[Tipo]]="","",tblListadoCampos[[#This Row],[Abreviatura]]&amp;tblListadoCampos[[#This Row],[Nombre]])</f>
        <v/>
      </c>
      <c r="D4" s="2" t="str">
        <f>IF(tblListadoCampos[[#This Row],[Tipo]]="","",VLOOKUP(tblListadoCampos[[#This Row],[Tipo]],tblControles[],2,0))</f>
        <v/>
      </c>
      <c r="E4" t="s">
        <v>192</v>
      </c>
      <c r="F4" t="s">
        <v>204</v>
      </c>
      <c r="G4" t="s">
        <v>399</v>
      </c>
    </row>
    <row r="5" spans="1:7" x14ac:dyDescent="0.25">
      <c r="A5" t="s">
        <v>216</v>
      </c>
      <c r="B5" s="2" t="str">
        <f>IF(tblListadoCampos[[#This Row],[Tipo]]="","",tblListadoCampos[[#This Row],[Abreviatura]]&amp;tblListadoCampos[[#This Row],[Nombre]])</f>
        <v>cboNombreContacto</v>
      </c>
      <c r="C5" t="s">
        <v>497</v>
      </c>
      <c r="D5" s="2" t="str">
        <f>IF(tblListadoCampos[[#This Row],[Tipo]]="","",VLOOKUP(tblListadoCampos[[#This Row],[Tipo]],tblControles[],2,0))</f>
        <v>cbo</v>
      </c>
      <c r="E5" t="s">
        <v>5</v>
      </c>
      <c r="F5" t="s">
        <v>205</v>
      </c>
      <c r="G5" t="s">
        <v>6</v>
      </c>
    </row>
    <row r="6" spans="1:7" x14ac:dyDescent="0.25">
      <c r="A6" t="s">
        <v>216</v>
      </c>
      <c r="B6" s="2" t="str">
        <f>IF(tblListadoCampos[[#This Row],[Tipo]]="","",tblListadoCampos[[#This Row],[Abreviatura]]&amp;tblListadoCampos[[#This Row],[Nombre]])</f>
        <v/>
      </c>
      <c r="D6" s="2" t="str">
        <f>IF(tblListadoCampos[[#This Row],[Tipo]]="","",VLOOKUP(tblListadoCampos[[#This Row],[Tipo]],tblControles[],2,0))</f>
        <v/>
      </c>
      <c r="E6" t="s">
        <v>193</v>
      </c>
      <c r="F6" t="s">
        <v>206</v>
      </c>
      <c r="G6" t="s">
        <v>400</v>
      </c>
    </row>
    <row r="7" spans="1:7" x14ac:dyDescent="0.25">
      <c r="A7" t="s">
        <v>216</v>
      </c>
      <c r="B7" s="2" t="str">
        <f>IF(tblListadoCampos[[#This Row],[Tipo]]="","",tblListadoCampos[[#This Row],[Abreviatura]]&amp;tblListadoCampos[[#This Row],[Nombre]])</f>
        <v>txtRazonSocial</v>
      </c>
      <c r="C7" t="s">
        <v>504</v>
      </c>
      <c r="D7" s="2" t="str">
        <f>IF(tblListadoCampos[[#This Row],[Tipo]]="","",VLOOKUP(tblListadoCampos[[#This Row],[Tipo]],tblControles[],2,0))</f>
        <v>txt</v>
      </c>
      <c r="E7" t="s">
        <v>179</v>
      </c>
      <c r="F7" t="s">
        <v>207</v>
      </c>
      <c r="G7" t="s">
        <v>180</v>
      </c>
    </row>
    <row r="8" spans="1:7" x14ac:dyDescent="0.25">
      <c r="A8" t="s">
        <v>216</v>
      </c>
      <c r="B8" s="2" t="str">
        <f>IF(tblListadoCampos[[#This Row],[Tipo]]="","",tblListadoCampos[[#This Row],[Abreviatura]]&amp;tblListadoCampos[[#This Row],[Nombre]])</f>
        <v/>
      </c>
      <c r="D8" s="2" t="str">
        <f>IF(tblListadoCampos[[#This Row],[Tipo]]="","",VLOOKUP(tblListadoCampos[[#This Row],[Tipo]],tblControles[],2,0))</f>
        <v/>
      </c>
      <c r="E8" t="s">
        <v>194</v>
      </c>
      <c r="F8" t="s">
        <v>208</v>
      </c>
      <c r="G8" t="s">
        <v>401</v>
      </c>
    </row>
    <row r="9" spans="1:7" x14ac:dyDescent="0.25">
      <c r="A9" t="s">
        <v>216</v>
      </c>
      <c r="B9" s="2" t="str">
        <f>IF(tblListadoCampos[[#This Row],[Tipo]]="","",tblListadoCampos[[#This Row],[Abreviatura]]&amp;tblListadoCampos[[#This Row],[Nombre]])</f>
        <v/>
      </c>
      <c r="D9" s="2" t="str">
        <f>IF(tblListadoCampos[[#This Row],[Tipo]]="","",VLOOKUP(tblListadoCampos[[#This Row],[Tipo]],tblControles[],2,0))</f>
        <v/>
      </c>
      <c r="E9" t="s">
        <v>195</v>
      </c>
      <c r="F9" t="s">
        <v>209</v>
      </c>
      <c r="G9" t="s">
        <v>402</v>
      </c>
    </row>
    <row r="10" spans="1:7" x14ac:dyDescent="0.25">
      <c r="A10" t="s">
        <v>216</v>
      </c>
      <c r="B10" s="2" t="str">
        <f>IF(tblListadoCampos[[#This Row],[Tipo]]="","",tblListadoCampos[[#This Row],[Abreviatura]]&amp;tblListadoCampos[[#This Row],[Nombre]])</f>
        <v/>
      </c>
      <c r="D10" s="2" t="str">
        <f>IF(tblListadoCampos[[#This Row],[Tipo]]="","",VLOOKUP(tblListadoCampos[[#This Row],[Tipo]],tblControles[],2,0))</f>
        <v/>
      </c>
      <c r="E10" t="s">
        <v>196</v>
      </c>
      <c r="F10" t="s">
        <v>210</v>
      </c>
      <c r="G10" t="s">
        <v>403</v>
      </c>
    </row>
    <row r="11" spans="1:7" x14ac:dyDescent="0.25">
      <c r="A11" t="s">
        <v>216</v>
      </c>
      <c r="B11" s="2" t="str">
        <f>IF(tblListadoCampos[[#This Row],[Tipo]]="","",tblListadoCampos[[#This Row],[Abreviatura]]&amp;tblListadoCampos[[#This Row],[Nombre]])</f>
        <v/>
      </c>
      <c r="D11" s="2" t="str">
        <f>IF(tblListadoCampos[[#This Row],[Tipo]]="","",VLOOKUP(tblListadoCampos[[#This Row],[Tipo]],tblControles[],2,0))</f>
        <v/>
      </c>
      <c r="E11" t="s">
        <v>197</v>
      </c>
      <c r="F11" t="s">
        <v>211</v>
      </c>
      <c r="G11" t="s">
        <v>404</v>
      </c>
    </row>
    <row r="12" spans="1:7" x14ac:dyDescent="0.25">
      <c r="A12" t="s">
        <v>216</v>
      </c>
      <c r="B12" s="2" t="str">
        <f>IF(tblListadoCampos[[#This Row],[Tipo]]="","",tblListadoCampos[[#This Row],[Abreviatura]]&amp;tblListadoCampos[[#This Row],[Nombre]])</f>
        <v/>
      </c>
      <c r="D12" s="2" t="str">
        <f>IF(tblListadoCampos[[#This Row],[Tipo]]="","",VLOOKUP(tblListadoCampos[[#This Row],[Tipo]],tblControles[],2,0))</f>
        <v/>
      </c>
      <c r="E12" t="s">
        <v>198</v>
      </c>
      <c r="F12" t="s">
        <v>212</v>
      </c>
      <c r="G12" t="s">
        <v>405</v>
      </c>
    </row>
    <row r="13" spans="1:7" x14ac:dyDescent="0.25">
      <c r="A13" t="s">
        <v>216</v>
      </c>
      <c r="B13" s="2" t="str">
        <f>IF(tblListadoCampos[[#This Row],[Tipo]]="","",tblListadoCampos[[#This Row],[Abreviatura]]&amp;tblListadoCampos[[#This Row],[Nombre]])</f>
        <v>txtCupo</v>
      </c>
      <c r="C13" t="s">
        <v>504</v>
      </c>
      <c r="D13" s="2" t="str">
        <f>IF(tblListadoCampos[[#This Row],[Tipo]]="","",VLOOKUP(tblListadoCampos[[#This Row],[Tipo]],tblControles[],2,0))</f>
        <v>txt</v>
      </c>
      <c r="E13" t="s">
        <v>199</v>
      </c>
      <c r="F13" t="s">
        <v>213</v>
      </c>
      <c r="G13" t="s">
        <v>406</v>
      </c>
    </row>
    <row r="14" spans="1:7" x14ac:dyDescent="0.25">
      <c r="A14" t="s">
        <v>216</v>
      </c>
      <c r="B14" s="2" t="str">
        <f>IF(tblListadoCampos[[#This Row],[Tipo]]="","",tblListadoCampos[[#This Row],[Abreviatura]]&amp;tblListadoCampos[[#This Row],[Nombre]])</f>
        <v>txtCredito</v>
      </c>
      <c r="C14" t="s">
        <v>504</v>
      </c>
      <c r="D14" s="2" t="str">
        <f>IF(tblListadoCampos[[#This Row],[Tipo]]="","",VLOOKUP(tblListadoCampos[[#This Row],[Tipo]],tblControles[],2,0))</f>
        <v>txt</v>
      </c>
      <c r="E14" t="s">
        <v>200</v>
      </c>
      <c r="F14" t="s">
        <v>214</v>
      </c>
      <c r="G14" t="s">
        <v>407</v>
      </c>
    </row>
    <row r="15" spans="1:7" x14ac:dyDescent="0.25">
      <c r="A15" t="s">
        <v>216</v>
      </c>
      <c r="B15" s="2" t="str">
        <f>IF(tblListadoCampos[[#This Row],[Tipo]]="","",tblListadoCampos[[#This Row],[Abreviatura]]&amp;tblListadoCampos[[#This Row],[Nombre]])</f>
        <v>txtSaldo</v>
      </c>
      <c r="C15" t="s">
        <v>504</v>
      </c>
      <c r="D15" s="2" t="str">
        <f>IF(tblListadoCampos[[#This Row],[Tipo]]="","",VLOOKUP(tblListadoCampos[[#This Row],[Tipo]],tblControles[],2,0))</f>
        <v>txt</v>
      </c>
      <c r="E15" t="s">
        <v>201</v>
      </c>
      <c r="F15" t="s">
        <v>215</v>
      </c>
      <c r="G15" t="s">
        <v>408</v>
      </c>
    </row>
    <row r="16" spans="1:7" x14ac:dyDescent="0.25">
      <c r="A16" t="s">
        <v>216</v>
      </c>
      <c r="B16" s="2" t="str">
        <f>IF(tblListadoCampos[[#This Row],[Tipo]]="","",tblListadoCampos[[#This Row],[Abreviatura]]&amp;tblListadoCampos[[#This Row],[Nombre]])</f>
        <v>txtCategoria</v>
      </c>
      <c r="C16" t="s">
        <v>504</v>
      </c>
      <c r="D16" s="2" t="str">
        <f>IF(tblListadoCampos[[#This Row],[Tipo]]="","",VLOOKUP(tblListadoCampos[[#This Row],[Tipo]],tblControles[],2,0))</f>
        <v>txt</v>
      </c>
      <c r="E16" t="s">
        <v>241</v>
      </c>
      <c r="F16" t="s">
        <v>256</v>
      </c>
      <c r="G16" t="s">
        <v>422</v>
      </c>
    </row>
    <row r="17" spans="1:7" x14ac:dyDescent="0.25">
      <c r="A17" t="s">
        <v>217</v>
      </c>
      <c r="B17" s="2" t="str">
        <f>IF(tblListadoCampos[[#This Row],[Tipo]]="","",tblListadoCampos[[#This Row],[Abreviatura]]&amp;tblListadoCampos[[#This Row],[Nombre]])</f>
        <v/>
      </c>
      <c r="D17" s="2" t="str">
        <f>IF(tblListadoCampos[[#This Row],[Tipo]]="","",VLOOKUP(tblListadoCampos[[#This Row],[Tipo]],tblControles[],2,0))</f>
        <v/>
      </c>
      <c r="E17" t="s">
        <v>190</v>
      </c>
      <c r="F17" t="s">
        <v>202</v>
      </c>
      <c r="G17" t="s">
        <v>397</v>
      </c>
    </row>
    <row r="18" spans="1:7" x14ac:dyDescent="0.25">
      <c r="A18" t="s">
        <v>217</v>
      </c>
      <c r="B18" s="2" t="str">
        <f>IF(tblListadoCampos[[#This Row],[Tipo]]="","",tblListadoCampos[[#This Row],[Abreviatura]]&amp;tblListadoCampos[[#This Row],[Nombre]])</f>
        <v/>
      </c>
      <c r="D18" s="2" t="str">
        <f>IF(tblListadoCampos[[#This Row],[Tipo]]="","",VLOOKUP(tblListadoCampos[[#This Row],[Tipo]],tblControles[],2,0))</f>
        <v/>
      </c>
      <c r="E18" t="s">
        <v>218</v>
      </c>
      <c r="F18" t="s">
        <v>219</v>
      </c>
      <c r="G18" t="s">
        <v>409</v>
      </c>
    </row>
    <row r="19" spans="1:7" x14ac:dyDescent="0.25">
      <c r="A19" t="s">
        <v>217</v>
      </c>
      <c r="B19" s="2" t="str">
        <f>IF(tblListadoCampos[[#This Row],[Tipo]]="","",tblListadoCampos[[#This Row],[Abreviatura]]&amp;tblListadoCampos[[#This Row],[Nombre]])</f>
        <v>cboTelefono</v>
      </c>
      <c r="C19" t="s">
        <v>497</v>
      </c>
      <c r="D19" s="2" t="str">
        <f>IF(tblListadoCampos[[#This Row],[Tipo]]="","",VLOOKUP(tblListadoCampos[[#This Row],[Tipo]],tblControles[],2,0))</f>
        <v>cbo</v>
      </c>
      <c r="E19" t="s">
        <v>181</v>
      </c>
      <c r="F19" t="s">
        <v>220</v>
      </c>
      <c r="G19" t="s">
        <v>185</v>
      </c>
    </row>
    <row r="20" spans="1:7" x14ac:dyDescent="0.25">
      <c r="A20" t="s">
        <v>217</v>
      </c>
      <c r="B20" s="2" t="str">
        <f>IF(tblListadoCampos[[#This Row],[Tipo]]="","",tblListadoCampos[[#This Row],[Abreviatura]]&amp;tblListadoCampos[[#This Row],[Nombre]])</f>
        <v>cboDireccion</v>
      </c>
      <c r="C20" t="s">
        <v>497</v>
      </c>
      <c r="D20" s="2" t="str">
        <f>IF(tblListadoCampos[[#This Row],[Tipo]]="","",VLOOKUP(tblListadoCampos[[#This Row],[Tipo]],tblControles[],2,0))</f>
        <v>cbo</v>
      </c>
      <c r="E20" t="s">
        <v>182</v>
      </c>
      <c r="F20" t="s">
        <v>221</v>
      </c>
      <c r="G20" t="s">
        <v>186</v>
      </c>
    </row>
    <row r="21" spans="1:7" x14ac:dyDescent="0.25">
      <c r="A21" t="s">
        <v>217</v>
      </c>
      <c r="B21" s="2" t="str">
        <f>IF(tblListadoCampos[[#This Row],[Tipo]]="","",tblListadoCampos[[#This Row],[Abreviatura]]&amp;tblListadoCampos[[#This Row],[Nombre]])</f>
        <v>cboBarrio</v>
      </c>
      <c r="C21" t="s">
        <v>497</v>
      </c>
      <c r="D21" s="2" t="str">
        <f>IF(tblListadoCampos[[#This Row],[Tipo]]="","",VLOOKUP(tblListadoCampos[[#This Row],[Tipo]],tblControles[],2,0))</f>
        <v>cbo</v>
      </c>
      <c r="E21" t="s">
        <v>183</v>
      </c>
      <c r="F21" t="s">
        <v>222</v>
      </c>
      <c r="G21" t="s">
        <v>187</v>
      </c>
    </row>
    <row r="22" spans="1:7" x14ac:dyDescent="0.25">
      <c r="A22" t="s">
        <v>217</v>
      </c>
      <c r="B22" s="2" t="str">
        <f>IF(tblListadoCampos[[#This Row],[Tipo]]="","",tblListadoCampos[[#This Row],[Abreviatura]]&amp;tblListadoCampos[[#This Row],[Nombre]])</f>
        <v>cboCiudad</v>
      </c>
      <c r="C22" t="s">
        <v>497</v>
      </c>
      <c r="D22" s="2" t="str">
        <f>IF(tblListadoCampos[[#This Row],[Tipo]]="","",VLOOKUP(tblListadoCampos[[#This Row],[Tipo]],tblControles[],2,0))</f>
        <v>cbo</v>
      </c>
      <c r="E22" t="s">
        <v>184</v>
      </c>
      <c r="F22" t="s">
        <v>223</v>
      </c>
      <c r="G22" t="s">
        <v>188</v>
      </c>
    </row>
    <row r="23" spans="1:7" x14ac:dyDescent="0.25">
      <c r="A23" s="1" t="s">
        <v>226</v>
      </c>
      <c r="B23" s="2" t="str">
        <f>IF(tblListadoCampos[[#This Row],[Tipo]]="","",tblListadoCampos[[#This Row],[Abreviatura]]&amp;tblListadoCampos[[#This Row],[Nombre]])</f>
        <v/>
      </c>
      <c r="D23" s="2" t="str">
        <f>IF(tblListadoCampos[[#This Row],[Tipo]]="","",VLOOKUP(tblListadoCampos[[#This Row],[Tipo]],tblControles[],2,0))</f>
        <v/>
      </c>
      <c r="E23" t="s">
        <v>190</v>
      </c>
      <c r="F23" t="s">
        <v>202</v>
      </c>
      <c r="G23" t="s">
        <v>397</v>
      </c>
    </row>
    <row r="24" spans="1:7" x14ac:dyDescent="0.25">
      <c r="A24" s="1" t="s">
        <v>226</v>
      </c>
      <c r="B24" s="2" t="str">
        <f>IF(tblListadoCampos[[#This Row],[Tipo]]="","",tblListadoCampos[[#This Row],[Abreviatura]]&amp;tblListadoCampos[[#This Row],[Nombre]])</f>
        <v>cboNombre</v>
      </c>
      <c r="C24" t="s">
        <v>497</v>
      </c>
      <c r="D24" s="2" t="str">
        <f>IF(tblListadoCampos[[#This Row],[Tipo]]="","",VLOOKUP(tblListadoCampos[[#This Row],[Tipo]],tblControles[],2,0))</f>
        <v>cbo</v>
      </c>
      <c r="E24" t="s">
        <v>224</v>
      </c>
      <c r="F24" t="s">
        <v>227</v>
      </c>
      <c r="G24" t="s">
        <v>396</v>
      </c>
    </row>
    <row r="25" spans="1:7" x14ac:dyDescent="0.25">
      <c r="A25" s="1" t="s">
        <v>226</v>
      </c>
      <c r="B25" s="2" t="str">
        <f>IF(tblListadoCampos[[#This Row],[Tipo]]="","",tblListadoCampos[[#This Row],[Abreviatura]]&amp;tblListadoCampos[[#This Row],[Nombre]])</f>
        <v/>
      </c>
      <c r="D25" s="2" t="str">
        <f>IF(tblListadoCampos[[#This Row],[Tipo]]="","",VLOOKUP(tblListadoCampos[[#This Row],[Tipo]],tblControles[],2,0))</f>
        <v/>
      </c>
      <c r="E25" t="s">
        <v>191</v>
      </c>
      <c r="F25" t="s">
        <v>203</v>
      </c>
      <c r="G25" t="s">
        <v>398</v>
      </c>
    </row>
    <row r="26" spans="1:7" x14ac:dyDescent="0.25">
      <c r="A26" s="1" t="s">
        <v>226</v>
      </c>
      <c r="B26" s="2" t="str">
        <f>IF(tblListadoCampos[[#This Row],[Tipo]]="","",tblListadoCampos[[#This Row],[Abreviatura]]&amp;tblListadoCampos[[#This Row],[Nombre]])</f>
        <v/>
      </c>
      <c r="D26" s="2" t="str">
        <f>IF(tblListadoCampos[[#This Row],[Tipo]]="","",VLOOKUP(tblListadoCampos[[#This Row],[Tipo]],tblControles[],2,0))</f>
        <v/>
      </c>
      <c r="E26" t="s">
        <v>192</v>
      </c>
      <c r="F26" t="s">
        <v>204</v>
      </c>
      <c r="G26" t="s">
        <v>399</v>
      </c>
    </row>
    <row r="27" spans="1:7" x14ac:dyDescent="0.25">
      <c r="A27" s="1" t="s">
        <v>226</v>
      </c>
      <c r="B27" s="2" t="str">
        <f>IF(tblListadoCampos[[#This Row],[Tipo]]="","",tblListadoCampos[[#This Row],[Abreviatura]]&amp;tblListadoCampos[[#This Row],[Nombre]])</f>
        <v/>
      </c>
      <c r="D27" s="2" t="str">
        <f>IF(tblListadoCampos[[#This Row],[Tipo]]="","",VLOOKUP(tblListadoCampos[[#This Row],[Tipo]],tblControles[],2,0))</f>
        <v/>
      </c>
      <c r="E27" t="s">
        <v>179</v>
      </c>
      <c r="F27" t="s">
        <v>207</v>
      </c>
      <c r="G27" t="s">
        <v>180</v>
      </c>
    </row>
    <row r="28" spans="1:7" x14ac:dyDescent="0.25">
      <c r="A28" s="1" t="s">
        <v>226</v>
      </c>
      <c r="B28" s="2" t="str">
        <f>IF(tblListadoCampos[[#This Row],[Tipo]]="","",tblListadoCampos[[#This Row],[Abreviatura]]&amp;tblListadoCampos[[#This Row],[Nombre]])</f>
        <v/>
      </c>
      <c r="D28" s="2" t="str">
        <f>IF(tblListadoCampos[[#This Row],[Tipo]]="","",VLOOKUP(tblListadoCampos[[#This Row],[Tipo]],tblControles[],2,0))</f>
        <v/>
      </c>
      <c r="E28" t="s">
        <v>193</v>
      </c>
      <c r="F28" t="s">
        <v>206</v>
      </c>
      <c r="G28" t="s">
        <v>400</v>
      </c>
    </row>
    <row r="29" spans="1:7" x14ac:dyDescent="0.25">
      <c r="A29" s="1" t="s">
        <v>226</v>
      </c>
      <c r="B29" s="2" t="str">
        <f>IF(tblListadoCampos[[#This Row],[Tipo]]="","",tblListadoCampos[[#This Row],[Abreviatura]]&amp;tblListadoCampos[[#This Row],[Nombre]])</f>
        <v/>
      </c>
      <c r="D29" s="2" t="str">
        <f>IF(tblListadoCampos[[#This Row],[Tipo]]="","",VLOOKUP(tblListadoCampos[[#This Row],[Tipo]],tblControles[],2,0))</f>
        <v/>
      </c>
      <c r="E29" t="s">
        <v>225</v>
      </c>
      <c r="F29" t="s">
        <v>228</v>
      </c>
      <c r="G29" t="s">
        <v>410</v>
      </c>
    </row>
    <row r="30" spans="1:7" x14ac:dyDescent="0.25">
      <c r="A30" s="1" t="s">
        <v>230</v>
      </c>
      <c r="B30" s="2" t="str">
        <f>IF(tblListadoCampos[[#This Row],[Tipo]]="","",tblListadoCampos[[#This Row],[Abreviatura]]&amp;tblListadoCampos[[#This Row],[Nombre]])</f>
        <v/>
      </c>
      <c r="D30" s="2" t="str">
        <f>IF(tblListadoCampos[[#This Row],[Tipo]]="","",VLOOKUP(tblListadoCampos[[#This Row],[Tipo]],tblControles[],2,0))</f>
        <v/>
      </c>
      <c r="E30" t="s">
        <v>190</v>
      </c>
      <c r="F30" t="s">
        <v>202</v>
      </c>
      <c r="G30" t="s">
        <v>397</v>
      </c>
    </row>
    <row r="31" spans="1:7" x14ac:dyDescent="0.25">
      <c r="A31" s="1" t="s">
        <v>230</v>
      </c>
      <c r="B31" s="2" t="str">
        <f>IF(tblListadoCampos[[#This Row],[Tipo]]="","",tblListadoCampos[[#This Row],[Abreviatura]]&amp;tblListadoCampos[[#This Row],[Nombre]])</f>
        <v/>
      </c>
      <c r="D31" s="2" t="str">
        <f>IF(tblListadoCampos[[#This Row],[Tipo]]="","",VLOOKUP(tblListadoCampos[[#This Row],[Tipo]],tblControles[],2,0))</f>
        <v/>
      </c>
      <c r="E31" t="s">
        <v>229</v>
      </c>
      <c r="F31" t="s">
        <v>231</v>
      </c>
      <c r="G31" t="s">
        <v>411</v>
      </c>
    </row>
    <row r="32" spans="1:7" x14ac:dyDescent="0.25">
      <c r="A32" s="1" t="s">
        <v>230</v>
      </c>
      <c r="B32" s="2" t="str">
        <f>IF(tblListadoCampos[[#This Row],[Tipo]]="","",tblListadoCampos[[#This Row],[Abreviatura]]&amp;tblListadoCampos[[#This Row],[Nombre]])</f>
        <v/>
      </c>
      <c r="D32" s="2" t="str">
        <f>IF(tblListadoCampos[[#This Row],[Tipo]]="","",VLOOKUP(tblListadoCampos[[#This Row],[Tipo]],tblControles[],2,0))</f>
        <v/>
      </c>
      <c r="E32" t="s">
        <v>181</v>
      </c>
      <c r="F32" t="s">
        <v>220</v>
      </c>
      <c r="G32" t="s">
        <v>185</v>
      </c>
    </row>
    <row r="33" spans="1:7" x14ac:dyDescent="0.25">
      <c r="A33" s="1" t="s">
        <v>230</v>
      </c>
      <c r="B33" s="2" t="str">
        <f>IF(tblListadoCampos[[#This Row],[Tipo]]="","",tblListadoCampos[[#This Row],[Abreviatura]]&amp;tblListadoCampos[[#This Row],[Nombre]])</f>
        <v/>
      </c>
      <c r="D33" s="2" t="str">
        <f>IF(tblListadoCampos[[#This Row],[Tipo]]="","",VLOOKUP(tblListadoCampos[[#This Row],[Tipo]],tblControles[],2,0))</f>
        <v/>
      </c>
      <c r="E33" t="s">
        <v>182</v>
      </c>
      <c r="F33" t="s">
        <v>221</v>
      </c>
      <c r="G33" t="s">
        <v>186</v>
      </c>
    </row>
    <row r="34" spans="1:7" x14ac:dyDescent="0.25">
      <c r="A34" s="1" t="s">
        <v>230</v>
      </c>
      <c r="B34" s="2" t="str">
        <f>IF(tblListadoCampos[[#This Row],[Tipo]]="","",tblListadoCampos[[#This Row],[Abreviatura]]&amp;tblListadoCampos[[#This Row],[Nombre]])</f>
        <v/>
      </c>
      <c r="D34" s="2" t="str">
        <f>IF(tblListadoCampos[[#This Row],[Tipo]]="","",VLOOKUP(tblListadoCampos[[#This Row],[Tipo]],tblControles[],2,0))</f>
        <v/>
      </c>
      <c r="E34" t="s">
        <v>183</v>
      </c>
      <c r="F34" t="s">
        <v>222</v>
      </c>
      <c r="G34" t="s">
        <v>187</v>
      </c>
    </row>
    <row r="35" spans="1:7" x14ac:dyDescent="0.25">
      <c r="A35" s="1" t="s">
        <v>230</v>
      </c>
      <c r="B35" s="2" t="str">
        <f>IF(tblListadoCampos[[#This Row],[Tipo]]="","",tblListadoCampos[[#This Row],[Abreviatura]]&amp;tblListadoCampos[[#This Row],[Nombre]])</f>
        <v/>
      </c>
      <c r="D35" s="2" t="str">
        <f>IF(tblListadoCampos[[#This Row],[Tipo]]="","",VLOOKUP(tblListadoCampos[[#This Row],[Tipo]],tblControles[],2,0))</f>
        <v/>
      </c>
      <c r="E35" t="s">
        <v>184</v>
      </c>
      <c r="F35" t="s">
        <v>223</v>
      </c>
      <c r="G35" t="s">
        <v>188</v>
      </c>
    </row>
    <row r="36" spans="1:7" x14ac:dyDescent="0.25">
      <c r="A36" t="s">
        <v>245</v>
      </c>
      <c r="B36" s="2" t="str">
        <f>IF(tblListadoCampos[[#This Row],[Tipo]]="","",tblListadoCampos[[#This Row],[Abreviatura]]&amp;tblListadoCampos[[#This Row],[Nombre]])</f>
        <v/>
      </c>
      <c r="D36" s="2" t="str">
        <f>IF(tblListadoCampos[[#This Row],[Tipo]]="","",VLOOKUP(tblListadoCampos[[#This Row],[Tipo]],tblControles[],2,0))</f>
        <v/>
      </c>
      <c r="E36" t="s">
        <v>190</v>
      </c>
      <c r="F36" t="s">
        <v>202</v>
      </c>
      <c r="G36" t="s">
        <v>397</v>
      </c>
    </row>
    <row r="37" spans="1:7" x14ac:dyDescent="0.25">
      <c r="A37" t="s">
        <v>245</v>
      </c>
      <c r="B37" s="2" t="str">
        <f>IF(tblListadoCampos[[#This Row],[Tipo]]="","",tblListadoCampos[[#This Row],[Abreviatura]]&amp;tblListadoCampos[[#This Row],[Nombre]])</f>
        <v/>
      </c>
      <c r="D37" s="2" t="str">
        <f>IF(tblListadoCampos[[#This Row],[Tipo]]="","",VLOOKUP(tblListadoCampos[[#This Row],[Tipo]],tblControles[],2,0))</f>
        <v/>
      </c>
      <c r="E37" t="s">
        <v>229</v>
      </c>
      <c r="F37" t="s">
        <v>246</v>
      </c>
      <c r="G37" t="s">
        <v>412</v>
      </c>
    </row>
    <row r="38" spans="1:7" x14ac:dyDescent="0.25">
      <c r="A38" t="s">
        <v>245</v>
      </c>
      <c r="B38" s="2" t="str">
        <f>IF(tblListadoCampos[[#This Row],[Tipo]]="","",tblListadoCampos[[#This Row],[Abreviatura]]&amp;tblListadoCampos[[#This Row],[Nombre]])</f>
        <v>cboProducto</v>
      </c>
      <c r="C38" t="s">
        <v>497</v>
      </c>
      <c r="D38" s="2" t="str">
        <f>IF(tblListadoCampos[[#This Row],[Tipo]]="","",VLOOKUP(tblListadoCampos[[#This Row],[Tipo]],tblControles[],2,0))</f>
        <v>cbo</v>
      </c>
      <c r="E38" t="s">
        <v>197</v>
      </c>
      <c r="F38" t="s">
        <v>211</v>
      </c>
      <c r="G38" t="s">
        <v>404</v>
      </c>
    </row>
    <row r="39" spans="1:7" x14ac:dyDescent="0.25">
      <c r="A39" t="s">
        <v>245</v>
      </c>
      <c r="B39" s="2" t="str">
        <f>IF(tblListadoCampos[[#This Row],[Tipo]]="","",tblListadoCampos[[#This Row],[Abreviatura]]&amp;tblListadoCampos[[#This Row],[Nombre]])</f>
        <v>cboColor</v>
      </c>
      <c r="C39" t="s">
        <v>497</v>
      </c>
      <c r="D39" s="2" t="str">
        <f>IF(tblListadoCampos[[#This Row],[Tipo]]="","",VLOOKUP(tblListadoCampos[[#This Row],[Tipo]],tblControles[],2,0))</f>
        <v>cbo</v>
      </c>
      <c r="E39" t="s">
        <v>232</v>
      </c>
      <c r="F39" t="s">
        <v>247</v>
      </c>
      <c r="G39" t="s">
        <v>413</v>
      </c>
    </row>
    <row r="40" spans="1:7" x14ac:dyDescent="0.25">
      <c r="A40" t="s">
        <v>245</v>
      </c>
      <c r="B40" s="2" t="str">
        <f>IF(tblListadoCampos[[#This Row],[Tipo]]="","",tblListadoCampos[[#This Row],[Abreviatura]]&amp;tblListadoCampos[[#This Row],[Nombre]])</f>
        <v/>
      </c>
      <c r="D40" s="2" t="str">
        <f>IF(tblListadoCampos[[#This Row],[Tipo]]="","",VLOOKUP(tblListadoCampos[[#This Row],[Tipo]],tblControles[],2,0))</f>
        <v/>
      </c>
      <c r="E40" t="s">
        <v>233</v>
      </c>
      <c r="F40" t="s">
        <v>248</v>
      </c>
      <c r="G40" t="s">
        <v>414</v>
      </c>
    </row>
    <row r="41" spans="1:7" x14ac:dyDescent="0.25">
      <c r="A41" t="s">
        <v>245</v>
      </c>
      <c r="B41" s="2" t="str">
        <f>IF(tblListadoCampos[[#This Row],[Tipo]]="","",tblListadoCampos[[#This Row],[Abreviatura]]&amp;tblListadoCampos[[#This Row],[Nombre]])</f>
        <v/>
      </c>
      <c r="D41" s="2" t="str">
        <f>IF(tblListadoCampos[[#This Row],[Tipo]]="","",VLOOKUP(tblListadoCampos[[#This Row],[Tipo]],tblControles[],2,0))</f>
        <v/>
      </c>
      <c r="E41" t="s">
        <v>234</v>
      </c>
      <c r="F41" t="s">
        <v>249</v>
      </c>
      <c r="G41" t="s">
        <v>415</v>
      </c>
    </row>
    <row r="42" spans="1:7" x14ac:dyDescent="0.25">
      <c r="A42" t="s">
        <v>245</v>
      </c>
      <c r="B42" s="2" t="str">
        <f>IF(tblListadoCampos[[#This Row],[Tipo]]="","",tblListadoCampos[[#This Row],[Abreviatura]]&amp;tblListadoCampos[[#This Row],[Nombre]])</f>
        <v/>
      </c>
      <c r="D42" s="2" t="str">
        <f>IF(tblListadoCampos[[#This Row],[Tipo]]="","",VLOOKUP(tblListadoCampos[[#This Row],[Tipo]],tblControles[],2,0))</f>
        <v/>
      </c>
      <c r="E42" t="s">
        <v>235</v>
      </c>
      <c r="F42" t="s">
        <v>250</v>
      </c>
      <c r="G42" t="s">
        <v>416</v>
      </c>
    </row>
    <row r="43" spans="1:7" x14ac:dyDescent="0.25">
      <c r="A43" t="s">
        <v>245</v>
      </c>
      <c r="B43" s="2" t="str">
        <f>IF(tblListadoCampos[[#This Row],[Tipo]]="","",tblListadoCampos[[#This Row],[Abreviatura]]&amp;tblListadoCampos[[#This Row],[Nombre]])</f>
        <v/>
      </c>
      <c r="D43" s="2" t="str">
        <f>IF(tblListadoCampos[[#This Row],[Tipo]]="","",VLOOKUP(tblListadoCampos[[#This Row],[Tipo]],tblControles[],2,0))</f>
        <v/>
      </c>
      <c r="E43" t="s">
        <v>236</v>
      </c>
      <c r="F43" t="s">
        <v>251</v>
      </c>
      <c r="G43" t="s">
        <v>417</v>
      </c>
    </row>
    <row r="44" spans="1:7" x14ac:dyDescent="0.25">
      <c r="A44" t="s">
        <v>245</v>
      </c>
      <c r="B44" s="2" t="str">
        <f>IF(tblListadoCampos[[#This Row],[Tipo]]="","",tblListadoCampos[[#This Row],[Abreviatura]]&amp;tblListadoCampos[[#This Row],[Nombre]])</f>
        <v/>
      </c>
      <c r="D44" s="2" t="str">
        <f>IF(tblListadoCampos[[#This Row],[Tipo]]="","",VLOOKUP(tblListadoCampos[[#This Row],[Tipo]],tblControles[],2,0))</f>
        <v/>
      </c>
      <c r="E44" t="s">
        <v>237</v>
      </c>
      <c r="F44" t="s">
        <v>252</v>
      </c>
      <c r="G44" t="s">
        <v>418</v>
      </c>
    </row>
    <row r="45" spans="1:7" x14ac:dyDescent="0.25">
      <c r="A45" t="s">
        <v>245</v>
      </c>
      <c r="B45" s="2" t="str">
        <f>IF(tblListadoCampos[[#This Row],[Tipo]]="","",tblListadoCampos[[#This Row],[Abreviatura]]&amp;tblListadoCampos[[#This Row],[Nombre]])</f>
        <v>txtVenta</v>
      </c>
      <c r="C45" t="s">
        <v>504</v>
      </c>
      <c r="D45" s="2" t="str">
        <f>IF(tblListadoCampos[[#This Row],[Tipo]]="","",VLOOKUP(tblListadoCampos[[#This Row],[Tipo]],tblControles[],2,0))</f>
        <v>txt</v>
      </c>
      <c r="E45" t="s">
        <v>238</v>
      </c>
      <c r="F45" t="s">
        <v>253</v>
      </c>
      <c r="G45" t="s">
        <v>419</v>
      </c>
    </row>
    <row r="46" spans="1:7" x14ac:dyDescent="0.25">
      <c r="A46" t="s">
        <v>245</v>
      </c>
      <c r="B46" s="2" t="str">
        <f>IF(tblListadoCampos[[#This Row],[Tipo]]="","",tblListadoCampos[[#This Row],[Abreviatura]]&amp;tblListadoCampos[[#This Row],[Nombre]])</f>
        <v/>
      </c>
      <c r="D46" s="2" t="str">
        <f>IF(tblListadoCampos[[#This Row],[Tipo]]="","",VLOOKUP(tblListadoCampos[[#This Row],[Tipo]],tblControles[],2,0))</f>
        <v/>
      </c>
      <c r="E46" t="s">
        <v>239</v>
      </c>
      <c r="F46" t="s">
        <v>254</v>
      </c>
      <c r="G46" t="s">
        <v>420</v>
      </c>
    </row>
    <row r="47" spans="1:7" x14ac:dyDescent="0.25">
      <c r="A47" t="s">
        <v>245</v>
      </c>
      <c r="B47" s="2" t="str">
        <f>IF(tblListadoCampos[[#This Row],[Tipo]]="","",tblListadoCampos[[#This Row],[Abreviatura]]&amp;tblListadoCampos[[#This Row],[Nombre]])</f>
        <v/>
      </c>
      <c r="D47" s="2" t="str">
        <f>IF(tblListadoCampos[[#This Row],[Tipo]]="","",VLOOKUP(tblListadoCampos[[#This Row],[Tipo]],tblControles[],2,0))</f>
        <v/>
      </c>
      <c r="E47" t="s">
        <v>240</v>
      </c>
      <c r="F47" t="s">
        <v>255</v>
      </c>
      <c r="G47" t="s">
        <v>421</v>
      </c>
    </row>
    <row r="48" spans="1:7" x14ac:dyDescent="0.25">
      <c r="A48" t="s">
        <v>245</v>
      </c>
      <c r="B48" s="2" t="str">
        <f>IF(tblListadoCampos[[#This Row],[Tipo]]="","",tblListadoCampos[[#This Row],[Abreviatura]]&amp;tblListadoCampos[[#This Row],[Nombre]])</f>
        <v/>
      </c>
      <c r="D48" s="2" t="str">
        <f>IF(tblListadoCampos[[#This Row],[Tipo]]="","",VLOOKUP(tblListadoCampos[[#This Row],[Tipo]],tblControles[],2,0))</f>
        <v/>
      </c>
      <c r="E48" t="s">
        <v>241</v>
      </c>
      <c r="F48" t="s">
        <v>256</v>
      </c>
      <c r="G48" t="s">
        <v>422</v>
      </c>
    </row>
    <row r="49" spans="1:7" x14ac:dyDescent="0.25">
      <c r="A49" t="s">
        <v>245</v>
      </c>
      <c r="B49" s="2" t="str">
        <f>IF(tblListadoCampos[[#This Row],[Tipo]]="","",tblListadoCampos[[#This Row],[Abreviatura]]&amp;tblListadoCampos[[#This Row],[Nombre]])</f>
        <v>txtDisponible</v>
      </c>
      <c r="C49" t="s">
        <v>504</v>
      </c>
      <c r="D49" s="2" t="str">
        <f>IF(tblListadoCampos[[#This Row],[Tipo]]="","",VLOOKUP(tblListadoCampos[[#This Row],[Tipo]],tblControles[],2,0))</f>
        <v>txt</v>
      </c>
      <c r="E49" t="s">
        <v>242</v>
      </c>
      <c r="F49" t="s">
        <v>257</v>
      </c>
      <c r="G49" t="s">
        <v>423</v>
      </c>
    </row>
    <row r="50" spans="1:7" x14ac:dyDescent="0.25">
      <c r="A50" t="s">
        <v>245</v>
      </c>
      <c r="B50" s="2" t="str">
        <f>IF(tblListadoCampos[[#This Row],[Tipo]]="","",tblListadoCampos[[#This Row],[Abreviatura]]&amp;tblListadoCampos[[#This Row],[Nombre]])</f>
        <v>txtStock</v>
      </c>
      <c r="C50" t="s">
        <v>504</v>
      </c>
      <c r="D50" s="2" t="str">
        <f>IF(tblListadoCampos[[#This Row],[Tipo]]="","",VLOOKUP(tblListadoCampos[[#This Row],[Tipo]],tblControles[],2,0))</f>
        <v>txt</v>
      </c>
      <c r="E50" t="s">
        <v>243</v>
      </c>
      <c r="F50" t="s">
        <v>258</v>
      </c>
      <c r="G50" t="s">
        <v>424</v>
      </c>
    </row>
    <row r="51" spans="1:7" x14ac:dyDescent="0.25">
      <c r="A51" t="s">
        <v>245</v>
      </c>
      <c r="B51" s="2" t="str">
        <f>IF(tblListadoCampos[[#This Row],[Tipo]]="","",tblListadoCampos[[#This Row],[Abreviatura]]&amp;tblListadoCampos[[#This Row],[Nombre]])</f>
        <v>txtPedir</v>
      </c>
      <c r="C51" t="s">
        <v>504</v>
      </c>
      <c r="D51" s="2" t="str">
        <f>IF(tblListadoCampos[[#This Row],[Tipo]]="","",VLOOKUP(tblListadoCampos[[#This Row],[Tipo]],tblControles[],2,0))</f>
        <v>txt</v>
      </c>
      <c r="E51" t="s">
        <v>244</v>
      </c>
      <c r="F51" t="s">
        <v>259</v>
      </c>
      <c r="G51" t="s">
        <v>425</v>
      </c>
    </row>
    <row r="52" spans="1:7" x14ac:dyDescent="0.25">
      <c r="A52" t="s">
        <v>268</v>
      </c>
      <c r="B52" s="2" t="str">
        <f>IF(tblListadoCampos[[#This Row],[Tipo]]="","",tblListadoCampos[[#This Row],[Abreviatura]]&amp;tblListadoCampos[[#This Row],[Nombre]])</f>
        <v/>
      </c>
      <c r="D52" s="2" t="str">
        <f>IF(tblListadoCampos[[#This Row],[Tipo]]="","",VLOOKUP(tblListadoCampos[[#This Row],[Tipo]],tblControles[],2,0))</f>
        <v/>
      </c>
      <c r="E52" t="s">
        <v>190</v>
      </c>
      <c r="F52" t="s">
        <v>202</v>
      </c>
      <c r="G52" t="s">
        <v>397</v>
      </c>
    </row>
    <row r="53" spans="1:7" x14ac:dyDescent="0.25">
      <c r="A53" t="s">
        <v>268</v>
      </c>
      <c r="B53" s="2" t="str">
        <f>IF(tblListadoCampos[[#This Row],[Tipo]]="","",tblListadoCampos[[#This Row],[Abreviatura]]&amp;tblListadoCampos[[#This Row],[Nombre]])</f>
        <v/>
      </c>
      <c r="D53" s="2" t="str">
        <f>IF(tblListadoCampos[[#This Row],[Tipo]]="","",VLOOKUP(tblListadoCampos[[#This Row],[Tipo]],tblControles[],2,0))</f>
        <v/>
      </c>
      <c r="E53" t="s">
        <v>260</v>
      </c>
      <c r="F53" t="s">
        <v>269</v>
      </c>
      <c r="G53" t="s">
        <v>426</v>
      </c>
    </row>
    <row r="54" spans="1:7" x14ac:dyDescent="0.25">
      <c r="A54" t="s">
        <v>268</v>
      </c>
      <c r="B54" s="2" t="str">
        <f>IF(tblListadoCampos[[#This Row],[Tipo]]="","",tblListadoCampos[[#This Row],[Abreviatura]]&amp;tblListadoCampos[[#This Row],[Nombre]])</f>
        <v/>
      </c>
      <c r="D54" s="2" t="str">
        <f>IF(tblListadoCampos[[#This Row],[Tipo]]="","",VLOOKUP(tblListadoCampos[[#This Row],[Tipo]],tblControles[],2,0))</f>
        <v/>
      </c>
      <c r="E54" t="s">
        <v>261</v>
      </c>
      <c r="F54" t="s">
        <v>270</v>
      </c>
      <c r="G54" t="s">
        <v>427</v>
      </c>
    </row>
    <row r="55" spans="1:7" x14ac:dyDescent="0.25">
      <c r="A55" t="s">
        <v>268</v>
      </c>
      <c r="B55" s="2" t="str">
        <f>IF(tblListadoCampos[[#This Row],[Tipo]]="","",tblListadoCampos[[#This Row],[Abreviatura]]&amp;tblListadoCampos[[#This Row],[Nombre]])</f>
        <v/>
      </c>
      <c r="D55" s="2" t="str">
        <f>IF(tblListadoCampos[[#This Row],[Tipo]]="","",VLOOKUP(tblListadoCampos[[#This Row],[Tipo]],tblControles[],2,0))</f>
        <v/>
      </c>
      <c r="E55" t="s">
        <v>234</v>
      </c>
      <c r="F55" t="s">
        <v>249</v>
      </c>
      <c r="G55" t="s">
        <v>415</v>
      </c>
    </row>
    <row r="56" spans="1:7" x14ac:dyDescent="0.25">
      <c r="A56" t="s">
        <v>268</v>
      </c>
      <c r="B56" s="2" t="str">
        <f>IF(tblListadoCampos[[#This Row],[Tipo]]="","",tblListadoCampos[[#This Row],[Abreviatura]]&amp;tblListadoCampos[[#This Row],[Nombre]])</f>
        <v/>
      </c>
      <c r="D56" s="2" t="str">
        <f>IF(tblListadoCampos[[#This Row],[Tipo]]="","",VLOOKUP(tblListadoCampos[[#This Row],[Tipo]],tblControles[],2,0))</f>
        <v/>
      </c>
      <c r="E56" t="s">
        <v>262</v>
      </c>
      <c r="F56" t="s">
        <v>271</v>
      </c>
      <c r="G56" t="s">
        <v>428</v>
      </c>
    </row>
    <row r="57" spans="1:7" x14ac:dyDescent="0.25">
      <c r="A57" t="s">
        <v>268</v>
      </c>
      <c r="B57" s="2" t="str">
        <f>IF(tblListadoCampos[[#This Row],[Tipo]]="","",tblListadoCampos[[#This Row],[Abreviatura]]&amp;tblListadoCampos[[#This Row],[Nombre]])</f>
        <v/>
      </c>
      <c r="D57" s="2" t="str">
        <f>IF(tblListadoCampos[[#This Row],[Tipo]]="","",VLOOKUP(tblListadoCampos[[#This Row],[Tipo]],tblControles[],2,0))</f>
        <v/>
      </c>
      <c r="E57" t="s">
        <v>263</v>
      </c>
      <c r="F57" t="s">
        <v>272</v>
      </c>
      <c r="G57" t="s">
        <v>429</v>
      </c>
    </row>
    <row r="58" spans="1:7" x14ac:dyDescent="0.25">
      <c r="A58" t="s">
        <v>268</v>
      </c>
      <c r="B58" s="2" t="str">
        <f>IF(tblListadoCampos[[#This Row],[Tipo]]="","",tblListadoCampos[[#This Row],[Abreviatura]]&amp;tblListadoCampos[[#This Row],[Nombre]])</f>
        <v/>
      </c>
      <c r="D58" s="2" t="str">
        <f>IF(tblListadoCampos[[#This Row],[Tipo]]="","",VLOOKUP(tblListadoCampos[[#This Row],[Tipo]],tblControles[],2,0))</f>
        <v/>
      </c>
      <c r="E58" t="s">
        <v>264</v>
      </c>
      <c r="F58" t="s">
        <v>273</v>
      </c>
      <c r="G58" t="s">
        <v>430</v>
      </c>
    </row>
    <row r="59" spans="1:7" x14ac:dyDescent="0.25">
      <c r="A59" t="s">
        <v>268</v>
      </c>
      <c r="B59" s="2" t="str">
        <f>IF(tblListadoCampos[[#This Row],[Tipo]]="","",tblListadoCampos[[#This Row],[Abreviatura]]&amp;tblListadoCampos[[#This Row],[Nombre]])</f>
        <v/>
      </c>
      <c r="D59" s="2" t="str">
        <f>IF(tblListadoCampos[[#This Row],[Tipo]]="","",VLOOKUP(tblListadoCampos[[#This Row],[Tipo]],tblControles[],2,0))</f>
        <v/>
      </c>
      <c r="E59" t="s">
        <v>265</v>
      </c>
      <c r="F59" t="s">
        <v>274</v>
      </c>
      <c r="G59" t="s">
        <v>431</v>
      </c>
    </row>
    <row r="60" spans="1:7" x14ac:dyDescent="0.25">
      <c r="A60" t="s">
        <v>268</v>
      </c>
      <c r="B60" s="2" t="str">
        <f>IF(tblListadoCampos[[#This Row],[Tipo]]="","",tblListadoCampos[[#This Row],[Abreviatura]]&amp;tblListadoCampos[[#This Row],[Nombre]])</f>
        <v/>
      </c>
      <c r="D60" s="2" t="str">
        <f>IF(tblListadoCampos[[#This Row],[Tipo]]="","",VLOOKUP(tblListadoCampos[[#This Row],[Tipo]],tblControles[],2,0))</f>
        <v/>
      </c>
      <c r="E60" t="s">
        <v>266</v>
      </c>
      <c r="F60" t="s">
        <v>275</v>
      </c>
      <c r="G60" t="s">
        <v>432</v>
      </c>
    </row>
    <row r="61" spans="1:7" x14ac:dyDescent="0.25">
      <c r="A61" t="s">
        <v>268</v>
      </c>
      <c r="B61" s="2" t="str">
        <f>IF(tblListadoCampos[[#This Row],[Tipo]]="","",tblListadoCampos[[#This Row],[Abreviatura]]&amp;tblListadoCampos[[#This Row],[Nombre]])</f>
        <v/>
      </c>
      <c r="D61" s="2" t="str">
        <f>IF(tblListadoCampos[[#This Row],[Tipo]]="","",VLOOKUP(tblListadoCampos[[#This Row],[Tipo]],tblControles[],2,0))</f>
        <v/>
      </c>
      <c r="E61" t="s">
        <v>267</v>
      </c>
      <c r="F61" t="s">
        <v>276</v>
      </c>
      <c r="G61" t="s">
        <v>433</v>
      </c>
    </row>
    <row r="62" spans="1:7" x14ac:dyDescent="0.25">
      <c r="A62" t="s">
        <v>282</v>
      </c>
      <c r="B62" s="2" t="str">
        <f>IF(tblListadoCampos[[#This Row],[Tipo]]="","",tblListadoCampos[[#This Row],[Abreviatura]]&amp;tblListadoCampos[[#This Row],[Nombre]])</f>
        <v/>
      </c>
      <c r="D62" s="2" t="str">
        <f>IF(tblListadoCampos[[#This Row],[Tipo]]="","",VLOOKUP(tblListadoCampos[[#This Row],[Tipo]],tblControles[],2,0))</f>
        <v/>
      </c>
      <c r="E62" t="s">
        <v>190</v>
      </c>
      <c r="F62" t="s">
        <v>202</v>
      </c>
      <c r="G62" t="s">
        <v>397</v>
      </c>
    </row>
    <row r="63" spans="1:7" x14ac:dyDescent="0.25">
      <c r="A63" t="s">
        <v>282</v>
      </c>
      <c r="B63" s="2" t="str">
        <f>IF(tblListadoCampos[[#This Row],[Tipo]]="","",tblListadoCampos[[#This Row],[Abreviatura]]&amp;tblListadoCampos[[#This Row],[Nombre]])</f>
        <v/>
      </c>
      <c r="D63" s="2" t="str">
        <f>IF(tblListadoCampos[[#This Row],[Tipo]]="","",VLOOKUP(tblListadoCampos[[#This Row],[Tipo]],tblControles[],2,0))</f>
        <v/>
      </c>
      <c r="E63" t="s">
        <v>277</v>
      </c>
      <c r="F63" t="s">
        <v>283</v>
      </c>
      <c r="G63" t="s">
        <v>434</v>
      </c>
    </row>
    <row r="64" spans="1:7" x14ac:dyDescent="0.25">
      <c r="A64" t="s">
        <v>282</v>
      </c>
      <c r="B64" s="2" t="str">
        <f>IF(tblListadoCampos[[#This Row],[Tipo]]="","",tblListadoCampos[[#This Row],[Abreviatura]]&amp;tblListadoCampos[[#This Row],[Nombre]])</f>
        <v/>
      </c>
      <c r="D64" s="2" t="str">
        <f>IF(tblListadoCampos[[#This Row],[Tipo]]="","",VLOOKUP(tblListadoCampos[[#This Row],[Tipo]],tblControles[],2,0))</f>
        <v/>
      </c>
      <c r="E64" t="s">
        <v>261</v>
      </c>
      <c r="F64" t="s">
        <v>284</v>
      </c>
      <c r="G64" t="s">
        <v>435</v>
      </c>
    </row>
    <row r="65" spans="1:7" x14ac:dyDescent="0.25">
      <c r="A65" t="s">
        <v>282</v>
      </c>
      <c r="B65" s="2" t="str">
        <f>IF(tblListadoCampos[[#This Row],[Tipo]]="","",tblListadoCampos[[#This Row],[Abreviatura]]&amp;tblListadoCampos[[#This Row],[Nombre]])</f>
        <v/>
      </c>
      <c r="D65" s="2" t="str">
        <f>IF(tblListadoCampos[[#This Row],[Tipo]]="","",VLOOKUP(tblListadoCampos[[#This Row],[Tipo]],tblControles[],2,0))</f>
        <v/>
      </c>
      <c r="E65" t="s">
        <v>234</v>
      </c>
      <c r="F65" t="s">
        <v>249</v>
      </c>
      <c r="G65" t="s">
        <v>415</v>
      </c>
    </row>
    <row r="66" spans="1:7" x14ac:dyDescent="0.25">
      <c r="A66" t="s">
        <v>282</v>
      </c>
      <c r="B66" s="2" t="str">
        <f>IF(tblListadoCampos[[#This Row],[Tipo]]="","",tblListadoCampos[[#This Row],[Abreviatura]]&amp;tblListadoCampos[[#This Row],[Nombre]])</f>
        <v/>
      </c>
      <c r="D66" s="2" t="str">
        <f>IF(tblListadoCampos[[#This Row],[Tipo]]="","",VLOOKUP(tblListadoCampos[[#This Row],[Tipo]],tblControles[],2,0))</f>
        <v/>
      </c>
      <c r="E66" t="s">
        <v>278</v>
      </c>
      <c r="F66" t="s">
        <v>285</v>
      </c>
      <c r="G66" t="s">
        <v>436</v>
      </c>
    </row>
    <row r="67" spans="1:7" x14ac:dyDescent="0.25">
      <c r="A67" t="s">
        <v>282</v>
      </c>
      <c r="B67" s="2" t="str">
        <f>IF(tblListadoCampos[[#This Row],[Tipo]]="","",tblListadoCampos[[#This Row],[Abreviatura]]&amp;tblListadoCampos[[#This Row],[Nombre]])</f>
        <v/>
      </c>
      <c r="D67" s="2" t="str">
        <f>IF(tblListadoCampos[[#This Row],[Tipo]]="","",VLOOKUP(tblListadoCampos[[#This Row],[Tipo]],tblControles[],2,0))</f>
        <v/>
      </c>
      <c r="E67" t="s">
        <v>279</v>
      </c>
      <c r="F67" t="s">
        <v>286</v>
      </c>
      <c r="G67" t="s">
        <v>437</v>
      </c>
    </row>
    <row r="68" spans="1:7" x14ac:dyDescent="0.25">
      <c r="A68" t="s">
        <v>282</v>
      </c>
      <c r="B68" s="2" t="str">
        <f>IF(tblListadoCampos[[#This Row],[Tipo]]="","",tblListadoCampos[[#This Row],[Abreviatura]]&amp;tblListadoCampos[[#This Row],[Nombre]])</f>
        <v/>
      </c>
      <c r="D68" s="2" t="str">
        <f>IF(tblListadoCampos[[#This Row],[Tipo]]="","",VLOOKUP(tblListadoCampos[[#This Row],[Tipo]],tblControles[],2,0))</f>
        <v/>
      </c>
      <c r="E68" t="s">
        <v>280</v>
      </c>
      <c r="F68" t="s">
        <v>287</v>
      </c>
      <c r="G68" t="s">
        <v>438</v>
      </c>
    </row>
    <row r="69" spans="1:7" x14ac:dyDescent="0.25">
      <c r="A69" t="s">
        <v>282</v>
      </c>
      <c r="B69" s="2" t="str">
        <f>IF(tblListadoCampos[[#This Row],[Tipo]]="","",tblListadoCampos[[#This Row],[Abreviatura]]&amp;tblListadoCampos[[#This Row],[Nombre]])</f>
        <v/>
      </c>
      <c r="D69" s="2" t="str">
        <f>IF(tblListadoCampos[[#This Row],[Tipo]]="","",VLOOKUP(tblListadoCampos[[#This Row],[Tipo]],tblControles[],2,0))</f>
        <v/>
      </c>
      <c r="E69" t="s">
        <v>281</v>
      </c>
      <c r="F69" t="s">
        <v>288</v>
      </c>
      <c r="G69" t="s">
        <v>439</v>
      </c>
    </row>
    <row r="70" spans="1:7" x14ac:dyDescent="0.25">
      <c r="A70" t="s">
        <v>291</v>
      </c>
      <c r="B70" s="2" t="str">
        <f>IF(tblListadoCampos[[#This Row],[Tipo]]="","",tblListadoCampos[[#This Row],[Abreviatura]]&amp;tblListadoCampos[[#This Row],[Nombre]])</f>
        <v/>
      </c>
      <c r="D70" s="2" t="str">
        <f>IF(tblListadoCampos[[#This Row],[Tipo]]="","",VLOOKUP(tblListadoCampos[[#This Row],[Tipo]],tblControles[],2,0))</f>
        <v/>
      </c>
      <c r="E70" t="s">
        <v>190</v>
      </c>
      <c r="F70" t="s">
        <v>202</v>
      </c>
      <c r="G70" t="s">
        <v>397</v>
      </c>
    </row>
    <row r="71" spans="1:7" x14ac:dyDescent="0.25">
      <c r="A71" t="s">
        <v>291</v>
      </c>
      <c r="B71" s="2" t="str">
        <f>IF(tblListadoCampos[[#This Row],[Tipo]]="","",tblListadoCampos[[#This Row],[Abreviatura]]&amp;tblListadoCampos[[#This Row],[Nombre]])</f>
        <v/>
      </c>
      <c r="D71" s="2" t="str">
        <f>IF(tblListadoCampos[[#This Row],[Tipo]]="","",VLOOKUP(tblListadoCampos[[#This Row],[Tipo]],tblControles[],2,0))</f>
        <v/>
      </c>
      <c r="E71" t="s">
        <v>224</v>
      </c>
      <c r="F71" t="s">
        <v>292</v>
      </c>
      <c r="G71" t="s">
        <v>396</v>
      </c>
    </row>
    <row r="72" spans="1:7" x14ac:dyDescent="0.25">
      <c r="A72" t="s">
        <v>291</v>
      </c>
      <c r="B72" s="2" t="str">
        <f>IF(tblListadoCampos[[#This Row],[Tipo]]="","",tblListadoCampos[[#This Row],[Abreviatura]]&amp;tblListadoCampos[[#This Row],[Nombre]])</f>
        <v/>
      </c>
      <c r="D72" s="2" t="str">
        <f>IF(tblListadoCampos[[#This Row],[Tipo]]="","",VLOOKUP(tblListadoCampos[[#This Row],[Tipo]],tblControles[],2,0))</f>
        <v/>
      </c>
      <c r="E72" t="s">
        <v>289</v>
      </c>
      <c r="F72" t="s">
        <v>293</v>
      </c>
      <c r="G72" t="s">
        <v>440</v>
      </c>
    </row>
    <row r="73" spans="1:7" x14ac:dyDescent="0.25">
      <c r="A73" t="s">
        <v>291</v>
      </c>
      <c r="B73" s="2" t="str">
        <f>IF(tblListadoCampos[[#This Row],[Tipo]]="","",tblListadoCampos[[#This Row],[Abreviatura]]&amp;tblListadoCampos[[#This Row],[Nombre]])</f>
        <v/>
      </c>
      <c r="D73" s="2" t="str">
        <f>IF(tblListadoCampos[[#This Row],[Tipo]]="","",VLOOKUP(tblListadoCampos[[#This Row],[Tipo]],tblControles[],2,0))</f>
        <v/>
      </c>
      <c r="E73" t="s">
        <v>290</v>
      </c>
      <c r="F73" t="s">
        <v>294</v>
      </c>
      <c r="G73" t="s">
        <v>441</v>
      </c>
    </row>
    <row r="74" spans="1:7" x14ac:dyDescent="0.25">
      <c r="A74" t="s">
        <v>297</v>
      </c>
      <c r="B74" s="2" t="str">
        <f>IF(tblListadoCampos[[#This Row],[Tipo]]="","",tblListadoCampos[[#This Row],[Abreviatura]]&amp;tblListadoCampos[[#This Row],[Nombre]])</f>
        <v/>
      </c>
      <c r="D74" s="2" t="str">
        <f>IF(tblListadoCampos[[#This Row],[Tipo]]="","",VLOOKUP(tblListadoCampos[[#This Row],[Tipo]],tblControles[],2,0))</f>
        <v/>
      </c>
      <c r="E74" t="s">
        <v>295</v>
      </c>
      <c r="F74" t="s">
        <v>298</v>
      </c>
      <c r="G74" t="s">
        <v>442</v>
      </c>
    </row>
    <row r="75" spans="1:7" x14ac:dyDescent="0.25">
      <c r="A75" t="s">
        <v>297</v>
      </c>
      <c r="B75" s="2" t="str">
        <f>IF(tblListadoCampos[[#This Row],[Tipo]]="","",tblListadoCampos[[#This Row],[Abreviatura]]&amp;tblListadoCampos[[#This Row],[Nombre]])</f>
        <v/>
      </c>
      <c r="D75" s="2" t="str">
        <f>IF(tblListadoCampos[[#This Row],[Tipo]]="","",VLOOKUP(tblListadoCampos[[#This Row],[Tipo]],tblControles[],2,0))</f>
        <v/>
      </c>
      <c r="E75" t="s">
        <v>296</v>
      </c>
      <c r="F75" t="s">
        <v>299</v>
      </c>
      <c r="G75" t="s">
        <v>443</v>
      </c>
    </row>
    <row r="76" spans="1:7" x14ac:dyDescent="0.25">
      <c r="A76" t="s">
        <v>301</v>
      </c>
      <c r="B76" s="2" t="str">
        <f>IF(tblListadoCampos[[#This Row],[Tipo]]="","",tblListadoCampos[[#This Row],[Abreviatura]]&amp;tblListadoCampos[[#This Row],[Nombre]])</f>
        <v/>
      </c>
      <c r="D76" s="2" t="str">
        <f>IF(tblListadoCampos[[#This Row],[Tipo]]="","",VLOOKUP(tblListadoCampos[[#This Row],[Tipo]],tblControles[],2,0))</f>
        <v/>
      </c>
      <c r="E76" t="s">
        <v>190</v>
      </c>
      <c r="F76" t="s">
        <v>202</v>
      </c>
      <c r="G76" t="s">
        <v>397</v>
      </c>
    </row>
    <row r="77" spans="1:7" x14ac:dyDescent="0.25">
      <c r="A77" t="s">
        <v>301</v>
      </c>
      <c r="B77" s="2" t="str">
        <f>IF(tblListadoCampos[[#This Row],[Tipo]]="","",tblListadoCampos[[#This Row],[Abreviatura]]&amp;tblListadoCampos[[#This Row],[Nombre]])</f>
        <v/>
      </c>
      <c r="D77" s="2" t="str">
        <f>IF(tblListadoCampos[[#This Row],[Tipo]]="","",VLOOKUP(tblListadoCampos[[#This Row],[Tipo]],tblControles[],2,0))</f>
        <v/>
      </c>
      <c r="E77" t="s">
        <v>300</v>
      </c>
      <c r="F77" t="s">
        <v>302</v>
      </c>
      <c r="G77" t="s">
        <v>444</v>
      </c>
    </row>
    <row r="78" spans="1:7" x14ac:dyDescent="0.25">
      <c r="A78" t="s">
        <v>304</v>
      </c>
      <c r="B78" s="2" t="str">
        <f>IF(tblListadoCampos[[#This Row],[Tipo]]="","",tblListadoCampos[[#This Row],[Abreviatura]]&amp;tblListadoCampos[[#This Row],[Nombre]])</f>
        <v/>
      </c>
      <c r="D78" s="2" t="str">
        <f>IF(tblListadoCampos[[#This Row],[Tipo]]="","",VLOOKUP(tblListadoCampos[[#This Row],[Tipo]],tblControles[],2,0))</f>
        <v/>
      </c>
      <c r="E78" t="s">
        <v>295</v>
      </c>
      <c r="F78" t="s">
        <v>298</v>
      </c>
      <c r="G78" t="s">
        <v>442</v>
      </c>
    </row>
    <row r="79" spans="1:7" x14ac:dyDescent="0.25">
      <c r="A79" t="s">
        <v>304</v>
      </c>
      <c r="B79" s="2" t="str">
        <f>IF(tblListadoCampos[[#This Row],[Tipo]]="","",tblListadoCampos[[#This Row],[Abreviatura]]&amp;tblListadoCampos[[#This Row],[Nombre]])</f>
        <v/>
      </c>
      <c r="D79" s="2" t="str">
        <f>IF(tblListadoCampos[[#This Row],[Tipo]]="","",VLOOKUP(tblListadoCampos[[#This Row],[Tipo]],tblControles[],2,0))</f>
        <v/>
      </c>
      <c r="E79" t="s">
        <v>303</v>
      </c>
      <c r="F79" t="s">
        <v>305</v>
      </c>
      <c r="G79" t="s">
        <v>445</v>
      </c>
    </row>
    <row r="80" spans="1:7" x14ac:dyDescent="0.25">
      <c r="A80" t="s">
        <v>307</v>
      </c>
      <c r="B80" s="2" t="str">
        <f>IF(tblListadoCampos[[#This Row],[Tipo]]="","",tblListadoCampos[[#This Row],[Abreviatura]]&amp;tblListadoCampos[[#This Row],[Nombre]])</f>
        <v/>
      </c>
      <c r="D80" s="2" t="str">
        <f>IF(tblListadoCampos[[#This Row],[Tipo]]="","",VLOOKUP(tblListadoCampos[[#This Row],[Tipo]],tblControles[],2,0))</f>
        <v/>
      </c>
      <c r="E80" t="s">
        <v>295</v>
      </c>
      <c r="F80" t="s">
        <v>298</v>
      </c>
      <c r="G80" t="s">
        <v>442</v>
      </c>
    </row>
    <row r="81" spans="1:7" x14ac:dyDescent="0.25">
      <c r="A81" t="s">
        <v>307</v>
      </c>
      <c r="B81" s="2" t="str">
        <f>IF(tblListadoCampos[[#This Row],[Tipo]]="","",tblListadoCampos[[#This Row],[Abreviatura]]&amp;tblListadoCampos[[#This Row],[Nombre]])</f>
        <v/>
      </c>
      <c r="D81" s="2" t="str">
        <f>IF(tblListadoCampos[[#This Row],[Tipo]]="","",VLOOKUP(tblListadoCampos[[#This Row],[Tipo]],tblControles[],2,0))</f>
        <v/>
      </c>
      <c r="E81" t="s">
        <v>306</v>
      </c>
      <c r="F81" t="s">
        <v>308</v>
      </c>
      <c r="G81" t="s">
        <v>446</v>
      </c>
    </row>
    <row r="82" spans="1:7" x14ac:dyDescent="0.25">
      <c r="A82" t="s">
        <v>314</v>
      </c>
      <c r="B82" s="2" t="str">
        <f>IF(tblListadoCampos[[#This Row],[Tipo]]="","",tblListadoCampos[[#This Row],[Abreviatura]]&amp;tblListadoCampos[[#This Row],[Nombre]])</f>
        <v/>
      </c>
      <c r="D82" s="2" t="str">
        <f>IF(tblListadoCampos[[#This Row],[Tipo]]="","",VLOOKUP(tblListadoCampos[[#This Row],[Tipo]],tblControles[],2,0))</f>
        <v/>
      </c>
      <c r="E82" t="s">
        <v>190</v>
      </c>
      <c r="F82" t="s">
        <v>202</v>
      </c>
      <c r="G82" t="s">
        <v>397</v>
      </c>
    </row>
    <row r="83" spans="1:7" x14ac:dyDescent="0.25">
      <c r="A83" t="s">
        <v>314</v>
      </c>
      <c r="B83" s="2" t="str">
        <f>IF(tblListadoCampos[[#This Row],[Tipo]]="","",tblListadoCampos[[#This Row],[Abreviatura]]&amp;tblListadoCampos[[#This Row],[Nombre]])</f>
        <v/>
      </c>
      <c r="D83" s="2" t="str">
        <f>IF(tblListadoCampos[[#This Row],[Tipo]]="","",VLOOKUP(tblListadoCampos[[#This Row],[Tipo]],tblControles[],2,0))</f>
        <v/>
      </c>
      <c r="E83" t="s">
        <v>260</v>
      </c>
      <c r="F83" t="s">
        <v>269</v>
      </c>
      <c r="G83" t="s">
        <v>426</v>
      </c>
    </row>
    <row r="84" spans="1:7" x14ac:dyDescent="0.25">
      <c r="A84" t="s">
        <v>314</v>
      </c>
      <c r="B84" s="2" t="str">
        <f>IF(tblListadoCampos[[#This Row],[Tipo]]="","",tblListadoCampos[[#This Row],[Abreviatura]]&amp;tblListadoCampos[[#This Row],[Nombre]])</f>
        <v/>
      </c>
      <c r="D84" s="2" t="str">
        <f>IF(tblListadoCampos[[#This Row],[Tipo]]="","",VLOOKUP(tblListadoCampos[[#This Row],[Tipo]],tblControles[],2,0))</f>
        <v/>
      </c>
      <c r="E84" t="s">
        <v>309</v>
      </c>
      <c r="F84" t="s">
        <v>315</v>
      </c>
      <c r="G84" t="s">
        <v>447</v>
      </c>
    </row>
    <row r="85" spans="1:7" x14ac:dyDescent="0.25">
      <c r="A85" t="s">
        <v>314</v>
      </c>
      <c r="B85" s="2" t="str">
        <f>IF(tblListadoCampos[[#This Row],[Tipo]]="","",tblListadoCampos[[#This Row],[Abreviatura]]&amp;tblListadoCampos[[#This Row],[Nombre]])</f>
        <v/>
      </c>
      <c r="D85" s="2" t="str">
        <f>IF(tblListadoCampos[[#This Row],[Tipo]]="","",VLOOKUP(tblListadoCampos[[#This Row],[Tipo]],tblControles[],2,0))</f>
        <v/>
      </c>
      <c r="E85" t="s">
        <v>310</v>
      </c>
      <c r="F85" t="s">
        <v>316</v>
      </c>
      <c r="G85" t="s">
        <v>448</v>
      </c>
    </row>
    <row r="86" spans="1:7" x14ac:dyDescent="0.25">
      <c r="A86" t="s">
        <v>314</v>
      </c>
      <c r="B86" s="2" t="str">
        <f>IF(tblListadoCampos[[#This Row],[Tipo]]="","",tblListadoCampos[[#This Row],[Abreviatura]]&amp;tblListadoCampos[[#This Row],[Nombre]])</f>
        <v/>
      </c>
      <c r="D86" s="2" t="str">
        <f>IF(tblListadoCampos[[#This Row],[Tipo]]="","",VLOOKUP(tblListadoCampos[[#This Row],[Tipo]],tblControles[],2,0))</f>
        <v/>
      </c>
      <c r="E86" t="s">
        <v>311</v>
      </c>
      <c r="F86" t="s">
        <v>317</v>
      </c>
      <c r="G86" t="s">
        <v>449</v>
      </c>
    </row>
    <row r="87" spans="1:7" x14ac:dyDescent="0.25">
      <c r="A87" t="s">
        <v>314</v>
      </c>
      <c r="B87" s="2" t="str">
        <f>IF(tblListadoCampos[[#This Row],[Tipo]]="","",tblListadoCampos[[#This Row],[Abreviatura]]&amp;tblListadoCampos[[#This Row],[Nombre]])</f>
        <v/>
      </c>
      <c r="D87" s="2" t="str">
        <f>IF(tblListadoCampos[[#This Row],[Tipo]]="","",VLOOKUP(tblListadoCampos[[#This Row],[Tipo]],tblControles[],2,0))</f>
        <v/>
      </c>
      <c r="E87" t="s">
        <v>312</v>
      </c>
      <c r="F87" t="s">
        <v>318</v>
      </c>
      <c r="G87" t="s">
        <v>450</v>
      </c>
    </row>
    <row r="88" spans="1:7" x14ac:dyDescent="0.25">
      <c r="A88" t="s">
        <v>314</v>
      </c>
      <c r="B88" s="2" t="str">
        <f>IF(tblListadoCampos[[#This Row],[Tipo]]="","",tblListadoCampos[[#This Row],[Abreviatura]]&amp;tblListadoCampos[[#This Row],[Nombre]])</f>
        <v/>
      </c>
      <c r="D88" s="2" t="str">
        <f>IF(tblListadoCampos[[#This Row],[Tipo]]="","",VLOOKUP(tblListadoCampos[[#This Row],[Tipo]],tblControles[],2,0))</f>
        <v/>
      </c>
      <c r="E88" t="s">
        <v>313</v>
      </c>
      <c r="F88" t="s">
        <v>319</v>
      </c>
      <c r="G88" t="s">
        <v>451</v>
      </c>
    </row>
    <row r="89" spans="1:7" x14ac:dyDescent="0.25">
      <c r="A89" t="s">
        <v>335</v>
      </c>
      <c r="B89" s="2" t="str">
        <f>IF(tblListadoCampos[[#This Row],[Tipo]]="","",tblListadoCampos[[#This Row],[Abreviatura]]&amp;tblListadoCampos[[#This Row],[Nombre]])</f>
        <v/>
      </c>
      <c r="D89" s="2" t="str">
        <f>IF(tblListadoCampos[[#This Row],[Tipo]]="","",VLOOKUP(tblListadoCampos[[#This Row],[Tipo]],tblControles[],2,0))</f>
        <v/>
      </c>
      <c r="E89" t="s">
        <v>320</v>
      </c>
      <c r="F89" t="s">
        <v>336</v>
      </c>
      <c r="G89" t="s">
        <v>452</v>
      </c>
    </row>
    <row r="90" spans="1:7" x14ac:dyDescent="0.25">
      <c r="A90" t="s">
        <v>335</v>
      </c>
      <c r="B90" s="2" t="str">
        <f>IF(tblListadoCampos[[#This Row],[Tipo]]="","",tblListadoCampos[[#This Row],[Abreviatura]]&amp;tblListadoCampos[[#This Row],[Nombre]])</f>
        <v/>
      </c>
      <c r="D90" s="2" t="str">
        <f>IF(tblListadoCampos[[#This Row],[Tipo]]="","",VLOOKUP(tblListadoCampos[[#This Row],[Tipo]],tblControles[],2,0))</f>
        <v/>
      </c>
      <c r="E90" t="s">
        <v>321</v>
      </c>
      <c r="F90" t="s">
        <v>337</v>
      </c>
      <c r="G90" t="s">
        <v>453</v>
      </c>
    </row>
    <row r="91" spans="1:7" x14ac:dyDescent="0.25">
      <c r="A91" t="s">
        <v>335</v>
      </c>
      <c r="B91" s="2" t="str">
        <f>IF(tblListadoCampos[[#This Row],[Tipo]]="","",tblListadoCampos[[#This Row],[Abreviatura]]&amp;tblListadoCampos[[#This Row],[Nombre]])</f>
        <v/>
      </c>
      <c r="D91" s="2" t="str">
        <f>IF(tblListadoCampos[[#This Row],[Tipo]]="","",VLOOKUP(tblListadoCampos[[#This Row],[Tipo]],tblControles[],2,0))</f>
        <v/>
      </c>
      <c r="E91" t="s">
        <v>322</v>
      </c>
      <c r="F91" t="s">
        <v>338</v>
      </c>
      <c r="G91" t="s">
        <v>454</v>
      </c>
    </row>
    <row r="92" spans="1:7" x14ac:dyDescent="0.25">
      <c r="A92" t="s">
        <v>335</v>
      </c>
      <c r="B92" s="2" t="str">
        <f>IF(tblListadoCampos[[#This Row],[Tipo]]="","",tblListadoCampos[[#This Row],[Abreviatura]]&amp;tblListadoCampos[[#This Row],[Nombre]])</f>
        <v/>
      </c>
      <c r="D92" s="2" t="str">
        <f>IF(tblListadoCampos[[#This Row],[Tipo]]="","",VLOOKUP(tblListadoCampos[[#This Row],[Tipo]],tblControles[],2,0))</f>
        <v/>
      </c>
      <c r="E92" t="s">
        <v>323</v>
      </c>
      <c r="F92" t="s">
        <v>339</v>
      </c>
      <c r="G92" t="s">
        <v>455</v>
      </c>
    </row>
    <row r="93" spans="1:7" x14ac:dyDescent="0.25">
      <c r="A93" t="s">
        <v>335</v>
      </c>
      <c r="B93" s="2" t="str">
        <f>IF(tblListadoCampos[[#This Row],[Tipo]]="","",tblListadoCampos[[#This Row],[Abreviatura]]&amp;tblListadoCampos[[#This Row],[Nombre]])</f>
        <v/>
      </c>
      <c r="D93" s="2" t="str">
        <f>IF(tblListadoCampos[[#This Row],[Tipo]]="","",VLOOKUP(tblListadoCampos[[#This Row],[Tipo]],tblControles[],2,0))</f>
        <v/>
      </c>
      <c r="E93" t="s">
        <v>295</v>
      </c>
      <c r="F93" t="s">
        <v>298</v>
      </c>
      <c r="G93" t="s">
        <v>442</v>
      </c>
    </row>
    <row r="94" spans="1:7" x14ac:dyDescent="0.25">
      <c r="A94" t="s">
        <v>335</v>
      </c>
      <c r="B94" s="2" t="str">
        <f>IF(tblListadoCampos[[#This Row],[Tipo]]="","",tblListadoCampos[[#This Row],[Abreviatura]]&amp;tblListadoCampos[[#This Row],[Nombre]])</f>
        <v/>
      </c>
      <c r="D94" s="2" t="str">
        <f>IF(tblListadoCampos[[#This Row],[Tipo]]="","",VLOOKUP(tblListadoCampos[[#This Row],[Tipo]],tblControles[],2,0))</f>
        <v/>
      </c>
      <c r="E94" t="s">
        <v>324</v>
      </c>
      <c r="F94" t="s">
        <v>340</v>
      </c>
      <c r="G94" t="s">
        <v>456</v>
      </c>
    </row>
    <row r="95" spans="1:7" x14ac:dyDescent="0.25">
      <c r="A95" t="s">
        <v>335</v>
      </c>
      <c r="B95" s="2" t="str">
        <f>IF(tblListadoCampos[[#This Row],[Tipo]]="","",tblListadoCampos[[#This Row],[Abreviatura]]&amp;tblListadoCampos[[#This Row],[Nombre]])</f>
        <v/>
      </c>
      <c r="D95" s="2" t="str">
        <f>IF(tblListadoCampos[[#This Row],[Tipo]]="","",VLOOKUP(tblListadoCampos[[#This Row],[Tipo]],tblControles[],2,0))</f>
        <v/>
      </c>
      <c r="E95" t="s">
        <v>325</v>
      </c>
      <c r="F95" t="s">
        <v>341</v>
      </c>
      <c r="G95" t="s">
        <v>457</v>
      </c>
    </row>
    <row r="96" spans="1:7" x14ac:dyDescent="0.25">
      <c r="A96" t="s">
        <v>335</v>
      </c>
      <c r="B96" s="2" t="str">
        <f>IF(tblListadoCampos[[#This Row],[Tipo]]="","",tblListadoCampos[[#This Row],[Abreviatura]]&amp;tblListadoCampos[[#This Row],[Nombre]])</f>
        <v/>
      </c>
      <c r="D96" s="2" t="str">
        <f>IF(tblListadoCampos[[#This Row],[Tipo]]="","",VLOOKUP(tblListadoCampos[[#This Row],[Tipo]],tblControles[],2,0))</f>
        <v/>
      </c>
      <c r="E96" t="s">
        <v>326</v>
      </c>
      <c r="F96" t="s">
        <v>342</v>
      </c>
      <c r="G96" t="s">
        <v>458</v>
      </c>
    </row>
    <row r="97" spans="1:7" x14ac:dyDescent="0.25">
      <c r="A97" t="s">
        <v>335</v>
      </c>
      <c r="B97" s="2" t="str">
        <f>IF(tblListadoCampos[[#This Row],[Tipo]]="","",tblListadoCampos[[#This Row],[Abreviatura]]&amp;tblListadoCampos[[#This Row],[Nombre]])</f>
        <v/>
      </c>
      <c r="D97" s="2" t="str">
        <f>IF(tblListadoCampos[[#This Row],[Tipo]]="","",VLOOKUP(tblListadoCampos[[#This Row],[Tipo]],tblControles[],2,0))</f>
        <v/>
      </c>
      <c r="E97" t="s">
        <v>327</v>
      </c>
      <c r="F97" t="s">
        <v>343</v>
      </c>
      <c r="G97" t="s">
        <v>459</v>
      </c>
    </row>
    <row r="98" spans="1:7" x14ac:dyDescent="0.25">
      <c r="A98" t="s">
        <v>335</v>
      </c>
      <c r="B98" s="2" t="str">
        <f>IF(tblListadoCampos[[#This Row],[Tipo]]="","",tblListadoCampos[[#This Row],[Abreviatura]]&amp;tblListadoCampos[[#This Row],[Nombre]])</f>
        <v/>
      </c>
      <c r="D98" s="2" t="str">
        <f>IF(tblListadoCampos[[#This Row],[Tipo]]="","",VLOOKUP(tblListadoCampos[[#This Row],[Tipo]],tblControles[],2,0))</f>
        <v/>
      </c>
      <c r="E98" t="s">
        <v>328</v>
      </c>
      <c r="F98" t="s">
        <v>344</v>
      </c>
      <c r="G98" t="s">
        <v>460</v>
      </c>
    </row>
    <row r="99" spans="1:7" x14ac:dyDescent="0.25">
      <c r="A99" t="s">
        <v>335</v>
      </c>
      <c r="B99" s="2" t="str">
        <f>IF(tblListadoCampos[[#This Row],[Tipo]]="","",tblListadoCampos[[#This Row],[Abreviatura]]&amp;tblListadoCampos[[#This Row],[Nombre]])</f>
        <v/>
      </c>
      <c r="D99" s="2" t="str">
        <f>IF(tblListadoCampos[[#This Row],[Tipo]]="","",VLOOKUP(tblListadoCampos[[#This Row],[Tipo]],tblControles[],2,0))</f>
        <v/>
      </c>
      <c r="E99" t="s">
        <v>329</v>
      </c>
      <c r="F99" t="s">
        <v>345</v>
      </c>
      <c r="G99" t="s">
        <v>461</v>
      </c>
    </row>
    <row r="100" spans="1:7" x14ac:dyDescent="0.25">
      <c r="A100" t="s">
        <v>335</v>
      </c>
      <c r="B100" s="2" t="str">
        <f>IF(tblListadoCampos[[#This Row],[Tipo]]="","",tblListadoCampos[[#This Row],[Abreviatura]]&amp;tblListadoCampos[[#This Row],[Nombre]])</f>
        <v/>
      </c>
      <c r="D100" s="2" t="str">
        <f>IF(tblListadoCampos[[#This Row],[Tipo]]="","",VLOOKUP(tblListadoCampos[[#This Row],[Tipo]],tblControles[],2,0))</f>
        <v/>
      </c>
      <c r="E100" t="s">
        <v>311</v>
      </c>
      <c r="F100" t="s">
        <v>317</v>
      </c>
      <c r="G100" t="s">
        <v>449</v>
      </c>
    </row>
    <row r="101" spans="1:7" x14ac:dyDescent="0.25">
      <c r="A101" t="s">
        <v>335</v>
      </c>
      <c r="B101" s="2" t="str">
        <f>IF(tblListadoCampos[[#This Row],[Tipo]]="","",tblListadoCampos[[#This Row],[Abreviatura]]&amp;tblListadoCampos[[#This Row],[Nombre]])</f>
        <v/>
      </c>
      <c r="D101" s="2" t="str">
        <f>IF(tblListadoCampos[[#This Row],[Tipo]]="","",VLOOKUP(tblListadoCampos[[#This Row],[Tipo]],tblControles[],2,0))</f>
        <v/>
      </c>
      <c r="E101" t="s">
        <v>330</v>
      </c>
      <c r="F101" t="s">
        <v>346</v>
      </c>
      <c r="G101" t="s">
        <v>462</v>
      </c>
    </row>
    <row r="102" spans="1:7" x14ac:dyDescent="0.25">
      <c r="A102" t="s">
        <v>335</v>
      </c>
      <c r="B102" s="2" t="str">
        <f>IF(tblListadoCampos[[#This Row],[Tipo]]="","",tblListadoCampos[[#This Row],[Abreviatura]]&amp;tblListadoCampos[[#This Row],[Nombre]])</f>
        <v/>
      </c>
      <c r="D102" s="2" t="str">
        <f>IF(tblListadoCampos[[#This Row],[Tipo]]="","",VLOOKUP(tblListadoCampos[[#This Row],[Tipo]],tblControles[],2,0))</f>
        <v/>
      </c>
      <c r="E102" t="s">
        <v>331</v>
      </c>
      <c r="F102" t="s">
        <v>347</v>
      </c>
      <c r="G102" t="s">
        <v>463</v>
      </c>
    </row>
    <row r="103" spans="1:7" x14ac:dyDescent="0.25">
      <c r="A103" t="s">
        <v>335</v>
      </c>
      <c r="B103" s="2" t="str">
        <f>IF(tblListadoCampos[[#This Row],[Tipo]]="","",tblListadoCampos[[#This Row],[Abreviatura]]&amp;tblListadoCampos[[#This Row],[Nombre]])</f>
        <v/>
      </c>
      <c r="D103" s="2" t="str">
        <f>IF(tblListadoCampos[[#This Row],[Tipo]]="","",VLOOKUP(tblListadoCampos[[#This Row],[Tipo]],tblControles[],2,0))</f>
        <v/>
      </c>
      <c r="E103" t="s">
        <v>332</v>
      </c>
      <c r="F103" t="s">
        <v>348</v>
      </c>
      <c r="G103" t="s">
        <v>464</v>
      </c>
    </row>
    <row r="104" spans="1:7" x14ac:dyDescent="0.25">
      <c r="A104" t="s">
        <v>335</v>
      </c>
      <c r="B104" s="2" t="str">
        <f>IF(tblListadoCampos[[#This Row],[Tipo]]="","",tblListadoCampos[[#This Row],[Abreviatura]]&amp;tblListadoCampos[[#This Row],[Nombre]])</f>
        <v/>
      </c>
      <c r="D104" s="2" t="str">
        <f>IF(tblListadoCampos[[#This Row],[Tipo]]="","",VLOOKUP(tblListadoCampos[[#This Row],[Tipo]],tblControles[],2,0))</f>
        <v/>
      </c>
      <c r="E104" t="s">
        <v>333</v>
      </c>
      <c r="F104" t="s">
        <v>349</v>
      </c>
      <c r="G104" t="s">
        <v>465</v>
      </c>
    </row>
    <row r="105" spans="1:7" x14ac:dyDescent="0.25">
      <c r="A105" t="s">
        <v>335</v>
      </c>
      <c r="B105" s="2" t="str">
        <f>IF(tblListadoCampos[[#This Row],[Tipo]]="","",tblListadoCampos[[#This Row],[Abreviatura]]&amp;tblListadoCampos[[#This Row],[Nombre]])</f>
        <v/>
      </c>
      <c r="D105" s="2" t="str">
        <f>IF(tblListadoCampos[[#This Row],[Tipo]]="","",VLOOKUP(tblListadoCampos[[#This Row],[Tipo]],tblControles[],2,0))</f>
        <v/>
      </c>
      <c r="E105" t="s">
        <v>334</v>
      </c>
      <c r="F105" t="s">
        <v>350</v>
      </c>
      <c r="G105" t="s">
        <v>466</v>
      </c>
    </row>
    <row r="106" spans="1:7" x14ac:dyDescent="0.25">
      <c r="A106" t="s">
        <v>360</v>
      </c>
      <c r="B106" s="2" t="str">
        <f>IF(tblListadoCampos[[#This Row],[Tipo]]="","",tblListadoCampos[[#This Row],[Abreviatura]]&amp;tblListadoCampos[[#This Row],[Nombre]])</f>
        <v/>
      </c>
      <c r="D106" s="2" t="str">
        <f>IF(tblListadoCampos[[#This Row],[Tipo]]="","",VLOOKUP(tblListadoCampos[[#This Row],[Tipo]],tblControles[],2,0))</f>
        <v/>
      </c>
      <c r="E106" t="s">
        <v>190</v>
      </c>
      <c r="F106" t="s">
        <v>202</v>
      </c>
      <c r="G106" t="s">
        <v>397</v>
      </c>
    </row>
    <row r="107" spans="1:7" x14ac:dyDescent="0.25">
      <c r="A107" t="s">
        <v>360</v>
      </c>
      <c r="B107" s="2" t="str">
        <f>IF(tblListadoCampos[[#This Row],[Tipo]]="","",tblListadoCampos[[#This Row],[Abreviatura]]&amp;tblListadoCampos[[#This Row],[Nombre]])</f>
        <v/>
      </c>
      <c r="D107" s="2" t="str">
        <f>IF(tblListadoCampos[[#This Row],[Tipo]]="","",VLOOKUP(tblListadoCampos[[#This Row],[Tipo]],tblControles[],2,0))</f>
        <v/>
      </c>
      <c r="E107" t="s">
        <v>229</v>
      </c>
      <c r="F107" t="s">
        <v>246</v>
      </c>
      <c r="G107" t="s">
        <v>412</v>
      </c>
    </row>
    <row r="108" spans="1:7" x14ac:dyDescent="0.25">
      <c r="A108" t="s">
        <v>360</v>
      </c>
      <c r="B108" s="2" t="str">
        <f>IF(tblListadoCampos[[#This Row],[Tipo]]="","",tblListadoCampos[[#This Row],[Abreviatura]]&amp;tblListadoCampos[[#This Row],[Nombre]])</f>
        <v/>
      </c>
      <c r="D108" s="2" t="str">
        <f>IF(tblListadoCampos[[#This Row],[Tipo]]="","",VLOOKUP(tblListadoCampos[[#This Row],[Tipo]],tblControles[],2,0))</f>
        <v/>
      </c>
      <c r="E108" t="s">
        <v>351</v>
      </c>
      <c r="F108" t="s">
        <v>361</v>
      </c>
      <c r="G108" t="s">
        <v>467</v>
      </c>
    </row>
    <row r="109" spans="1:7" x14ac:dyDescent="0.25">
      <c r="A109" t="s">
        <v>360</v>
      </c>
      <c r="B109" s="2" t="str">
        <f>IF(tblListadoCampos[[#This Row],[Tipo]]="","",tblListadoCampos[[#This Row],[Abreviatura]]&amp;tblListadoCampos[[#This Row],[Nombre]])</f>
        <v/>
      </c>
      <c r="D109" s="2" t="str">
        <f>IF(tblListadoCampos[[#This Row],[Tipo]]="","",VLOOKUP(tblListadoCampos[[#This Row],[Tipo]],tblControles[],2,0))</f>
        <v/>
      </c>
      <c r="E109" t="s">
        <v>325</v>
      </c>
      <c r="F109" t="s">
        <v>341</v>
      </c>
      <c r="G109" t="s">
        <v>457</v>
      </c>
    </row>
    <row r="110" spans="1:7" x14ac:dyDescent="0.25">
      <c r="A110" t="s">
        <v>360</v>
      </c>
      <c r="B110" s="2" t="str">
        <f>IF(tblListadoCampos[[#This Row],[Tipo]]="","",tblListadoCampos[[#This Row],[Abreviatura]]&amp;tblListadoCampos[[#This Row],[Nombre]])</f>
        <v/>
      </c>
      <c r="D110" s="2" t="str">
        <f>IF(tblListadoCampos[[#This Row],[Tipo]]="","",VLOOKUP(tblListadoCampos[[#This Row],[Tipo]],tblControles[],2,0))</f>
        <v/>
      </c>
      <c r="E110" t="s">
        <v>352</v>
      </c>
      <c r="F110" t="s">
        <v>362</v>
      </c>
      <c r="G110" t="s">
        <v>468</v>
      </c>
    </row>
    <row r="111" spans="1:7" x14ac:dyDescent="0.25">
      <c r="A111" t="s">
        <v>360</v>
      </c>
      <c r="B111" s="2" t="str">
        <f>IF(tblListadoCampos[[#This Row],[Tipo]]="","",tblListadoCampos[[#This Row],[Abreviatura]]&amp;tblListadoCampos[[#This Row],[Nombre]])</f>
        <v/>
      </c>
      <c r="D111" s="2" t="str">
        <f>IF(tblListadoCampos[[#This Row],[Tipo]]="","",VLOOKUP(tblListadoCampos[[#This Row],[Tipo]],tblControles[],2,0))</f>
        <v/>
      </c>
      <c r="E111" t="s">
        <v>264</v>
      </c>
      <c r="F111" t="s">
        <v>273</v>
      </c>
      <c r="G111" t="s">
        <v>430</v>
      </c>
    </row>
    <row r="112" spans="1:7" x14ac:dyDescent="0.25">
      <c r="A112" t="s">
        <v>360</v>
      </c>
      <c r="B112" s="2" t="str">
        <f>IF(tblListadoCampos[[#This Row],[Tipo]]="","",tblListadoCampos[[#This Row],[Abreviatura]]&amp;tblListadoCampos[[#This Row],[Nombre]])</f>
        <v/>
      </c>
      <c r="D112" s="2" t="str">
        <f>IF(tblListadoCampos[[#This Row],[Tipo]]="","",VLOOKUP(tblListadoCampos[[#This Row],[Tipo]],tblControles[],2,0))</f>
        <v/>
      </c>
      <c r="E112" t="s">
        <v>353</v>
      </c>
      <c r="F112" t="s">
        <v>363</v>
      </c>
      <c r="G112" t="s">
        <v>469</v>
      </c>
    </row>
    <row r="113" spans="1:7" x14ac:dyDescent="0.25">
      <c r="A113" t="s">
        <v>360</v>
      </c>
      <c r="B113" s="2" t="str">
        <f>IF(tblListadoCampos[[#This Row],[Tipo]]="","",tblListadoCampos[[#This Row],[Abreviatura]]&amp;tblListadoCampos[[#This Row],[Nombre]])</f>
        <v/>
      </c>
      <c r="D113" s="2" t="str">
        <f>IF(tblListadoCampos[[#This Row],[Tipo]]="","",VLOOKUP(tblListadoCampos[[#This Row],[Tipo]],tblControles[],2,0))</f>
        <v/>
      </c>
      <c r="E113" t="s">
        <v>354</v>
      </c>
      <c r="F113" t="s">
        <v>364</v>
      </c>
      <c r="G113" t="s">
        <v>470</v>
      </c>
    </row>
    <row r="114" spans="1:7" x14ac:dyDescent="0.25">
      <c r="A114" t="s">
        <v>360</v>
      </c>
      <c r="B114" s="2" t="str">
        <f>IF(tblListadoCampos[[#This Row],[Tipo]]="","",tblListadoCampos[[#This Row],[Abreviatura]]&amp;tblListadoCampos[[#This Row],[Nombre]])</f>
        <v/>
      </c>
      <c r="D114" s="2" t="str">
        <f>IF(tblListadoCampos[[#This Row],[Tipo]]="","",VLOOKUP(tblListadoCampos[[#This Row],[Tipo]],tblControles[],2,0))</f>
        <v/>
      </c>
      <c r="E114" t="s">
        <v>311</v>
      </c>
      <c r="F114" t="s">
        <v>317</v>
      </c>
      <c r="G114" t="s">
        <v>449</v>
      </c>
    </row>
    <row r="115" spans="1:7" x14ac:dyDescent="0.25">
      <c r="A115" t="s">
        <v>360</v>
      </c>
      <c r="B115" s="2" t="str">
        <f>IF(tblListadoCampos[[#This Row],[Tipo]]="","",tblListadoCampos[[#This Row],[Abreviatura]]&amp;tblListadoCampos[[#This Row],[Nombre]])</f>
        <v/>
      </c>
      <c r="D115" s="2" t="str">
        <f>IF(tblListadoCampos[[#This Row],[Tipo]]="","",VLOOKUP(tblListadoCampos[[#This Row],[Tipo]],tblControles[],2,0))</f>
        <v/>
      </c>
      <c r="E115" t="s">
        <v>331</v>
      </c>
      <c r="F115" t="s">
        <v>347</v>
      </c>
      <c r="G115" t="s">
        <v>463</v>
      </c>
    </row>
    <row r="116" spans="1:7" x14ac:dyDescent="0.25">
      <c r="A116" t="s">
        <v>360</v>
      </c>
      <c r="B116" s="2" t="str">
        <f>IF(tblListadoCampos[[#This Row],[Tipo]]="","",tblListadoCampos[[#This Row],[Abreviatura]]&amp;tblListadoCampos[[#This Row],[Nombre]])</f>
        <v/>
      </c>
      <c r="D116" s="2" t="str">
        <f>IF(tblListadoCampos[[#This Row],[Tipo]]="","",VLOOKUP(tblListadoCampos[[#This Row],[Tipo]],tblControles[],2,0))</f>
        <v/>
      </c>
      <c r="E116" t="s">
        <v>355</v>
      </c>
      <c r="F116" t="s">
        <v>365</v>
      </c>
      <c r="G116" t="s">
        <v>471</v>
      </c>
    </row>
    <row r="117" spans="1:7" x14ac:dyDescent="0.25">
      <c r="A117" t="s">
        <v>360</v>
      </c>
      <c r="B117" s="2" t="str">
        <f>IF(tblListadoCampos[[#This Row],[Tipo]]="","",tblListadoCampos[[#This Row],[Abreviatura]]&amp;tblListadoCampos[[#This Row],[Nombre]])</f>
        <v/>
      </c>
      <c r="D117" s="2" t="str">
        <f>IF(tblListadoCampos[[#This Row],[Tipo]]="","",VLOOKUP(tblListadoCampos[[#This Row],[Tipo]],tblControles[],2,0))</f>
        <v/>
      </c>
      <c r="E117" t="s">
        <v>356</v>
      </c>
      <c r="F117" t="s">
        <v>366</v>
      </c>
      <c r="G117" t="s">
        <v>472</v>
      </c>
    </row>
    <row r="118" spans="1:7" x14ac:dyDescent="0.25">
      <c r="A118" t="s">
        <v>360</v>
      </c>
      <c r="B118" s="2" t="str">
        <f>IF(tblListadoCampos[[#This Row],[Tipo]]="","",tblListadoCampos[[#This Row],[Abreviatura]]&amp;tblListadoCampos[[#This Row],[Nombre]])</f>
        <v/>
      </c>
      <c r="D118" s="2" t="str">
        <f>IF(tblListadoCampos[[#This Row],[Tipo]]="","",VLOOKUP(tblListadoCampos[[#This Row],[Tipo]],tblControles[],2,0))</f>
        <v/>
      </c>
      <c r="E118" t="s">
        <v>333</v>
      </c>
      <c r="F118" t="s">
        <v>349</v>
      </c>
      <c r="G118" t="s">
        <v>465</v>
      </c>
    </row>
    <row r="119" spans="1:7" x14ac:dyDescent="0.25">
      <c r="A119" t="s">
        <v>360</v>
      </c>
      <c r="B119" s="2" t="str">
        <f>IF(tblListadoCampos[[#This Row],[Tipo]]="","",tblListadoCampos[[#This Row],[Abreviatura]]&amp;tblListadoCampos[[#This Row],[Nombre]])</f>
        <v/>
      </c>
      <c r="D119" s="2" t="str">
        <f>IF(tblListadoCampos[[#This Row],[Tipo]]="","",VLOOKUP(tblListadoCampos[[#This Row],[Tipo]],tblControles[],2,0))</f>
        <v/>
      </c>
      <c r="E119" t="s">
        <v>357</v>
      </c>
      <c r="F119" t="s">
        <v>367</v>
      </c>
      <c r="G119" t="s">
        <v>473</v>
      </c>
    </row>
    <row r="120" spans="1:7" x14ac:dyDescent="0.25">
      <c r="A120" t="s">
        <v>360</v>
      </c>
      <c r="B120" s="2" t="str">
        <f>IF(tblListadoCampos[[#This Row],[Tipo]]="","",tblListadoCampos[[#This Row],[Abreviatura]]&amp;tblListadoCampos[[#This Row],[Nombre]])</f>
        <v/>
      </c>
      <c r="D120" s="2" t="str">
        <f>IF(tblListadoCampos[[#This Row],[Tipo]]="","",VLOOKUP(tblListadoCampos[[#This Row],[Tipo]],tblControles[],2,0))</f>
        <v/>
      </c>
      <c r="E120" t="s">
        <v>358</v>
      </c>
      <c r="F120" t="s">
        <v>368</v>
      </c>
      <c r="G120" t="s">
        <v>474</v>
      </c>
    </row>
    <row r="121" spans="1:7" x14ac:dyDescent="0.25">
      <c r="A121" t="s">
        <v>360</v>
      </c>
      <c r="B121" s="2" t="str">
        <f>IF(tblListadoCampos[[#This Row],[Tipo]]="","",tblListadoCampos[[#This Row],[Abreviatura]]&amp;tblListadoCampos[[#This Row],[Nombre]])</f>
        <v/>
      </c>
      <c r="D121" s="2" t="str">
        <f>IF(tblListadoCampos[[#This Row],[Tipo]]="","",VLOOKUP(tblListadoCampos[[#This Row],[Tipo]],tblControles[],2,0))</f>
        <v/>
      </c>
      <c r="E121" t="s">
        <v>359</v>
      </c>
      <c r="F121" t="s">
        <v>369</v>
      </c>
      <c r="G121" t="s">
        <v>475</v>
      </c>
    </row>
    <row r="122" spans="1:7" x14ac:dyDescent="0.25">
      <c r="A122" t="s">
        <v>371</v>
      </c>
      <c r="B122" s="2" t="str">
        <f>IF(tblListadoCampos[[#This Row],[Tipo]]="","",tblListadoCampos[[#This Row],[Abreviatura]]&amp;tblListadoCampos[[#This Row],[Nombre]])</f>
        <v/>
      </c>
      <c r="D122" s="2" t="str">
        <f>IF(tblListadoCampos[[#This Row],[Tipo]]="","",VLOOKUP(tblListadoCampos[[#This Row],[Tipo]],tblControles[],2,0))</f>
        <v/>
      </c>
      <c r="E122" t="s">
        <v>190</v>
      </c>
      <c r="F122" t="s">
        <v>202</v>
      </c>
      <c r="G122" t="s">
        <v>397</v>
      </c>
    </row>
    <row r="123" spans="1:7" x14ac:dyDescent="0.25">
      <c r="A123" t="s">
        <v>371</v>
      </c>
      <c r="B123" s="2" t="str">
        <f>IF(tblListadoCampos[[#This Row],[Tipo]]="","",tblListadoCampos[[#This Row],[Abreviatura]]&amp;tblListadoCampos[[#This Row],[Nombre]])</f>
        <v/>
      </c>
      <c r="D123" s="2" t="str">
        <f>IF(tblListadoCampos[[#This Row],[Tipo]]="","",VLOOKUP(tblListadoCampos[[#This Row],[Tipo]],tblControles[],2,0))</f>
        <v/>
      </c>
      <c r="E123" t="s">
        <v>370</v>
      </c>
      <c r="F123" t="s">
        <v>372</v>
      </c>
      <c r="G123" t="s">
        <v>476</v>
      </c>
    </row>
    <row r="124" spans="1:7" x14ac:dyDescent="0.25">
      <c r="A124" t="s">
        <v>374</v>
      </c>
      <c r="B124" s="2" t="str">
        <f>IF(tblListadoCampos[[#This Row],[Tipo]]="","",tblListadoCampos[[#This Row],[Abreviatura]]&amp;tblListadoCampos[[#This Row],[Nombre]])</f>
        <v/>
      </c>
      <c r="D124" s="2" t="str">
        <f>IF(tblListadoCampos[[#This Row],[Tipo]]="","",VLOOKUP(tblListadoCampos[[#This Row],[Tipo]],tblControles[],2,0))</f>
        <v/>
      </c>
      <c r="E124" t="s">
        <v>190</v>
      </c>
      <c r="F124" t="s">
        <v>202</v>
      </c>
      <c r="G124" t="s">
        <v>397</v>
      </c>
    </row>
    <row r="125" spans="1:7" x14ac:dyDescent="0.25">
      <c r="A125" t="s">
        <v>374</v>
      </c>
      <c r="B125" s="2" t="str">
        <f>IF(tblListadoCampos[[#This Row],[Tipo]]="","",tblListadoCampos[[#This Row],[Abreviatura]]&amp;tblListadoCampos[[#This Row],[Nombre]])</f>
        <v/>
      </c>
      <c r="D125" s="2" t="str">
        <f>IF(tblListadoCampos[[#This Row],[Tipo]]="","",VLOOKUP(tblListadoCampos[[#This Row],[Tipo]],tblControles[],2,0))</f>
        <v/>
      </c>
      <c r="E125" t="s">
        <v>373</v>
      </c>
      <c r="F125" t="s">
        <v>375</v>
      </c>
      <c r="G125" t="s">
        <v>477</v>
      </c>
    </row>
    <row r="126" spans="1:7" x14ac:dyDescent="0.25">
      <c r="A126" t="s">
        <v>383</v>
      </c>
      <c r="B126" s="2" t="str">
        <f>IF(tblListadoCampos[[#This Row],[Tipo]]="","",tblListadoCampos[[#This Row],[Abreviatura]]&amp;tblListadoCampos[[#This Row],[Nombre]])</f>
        <v/>
      </c>
      <c r="D126" s="2" t="str">
        <f>IF(tblListadoCampos[[#This Row],[Tipo]]="","",VLOOKUP(tblListadoCampos[[#This Row],[Tipo]],tblControles[],2,0))</f>
        <v/>
      </c>
      <c r="E126" t="s">
        <v>376</v>
      </c>
      <c r="F126" t="s">
        <v>384</v>
      </c>
      <c r="G126" t="s">
        <v>478</v>
      </c>
    </row>
    <row r="127" spans="1:7" x14ac:dyDescent="0.25">
      <c r="A127" t="s">
        <v>383</v>
      </c>
      <c r="B127" s="2" t="str">
        <f>IF(tblListadoCampos[[#This Row],[Tipo]]="","",tblListadoCampos[[#This Row],[Abreviatura]]&amp;tblListadoCampos[[#This Row],[Nombre]])</f>
        <v/>
      </c>
      <c r="D127" s="2" t="str">
        <f>IF(tblListadoCampos[[#This Row],[Tipo]]="","",VLOOKUP(tblListadoCampos[[#This Row],[Tipo]],tblControles[],2,0))</f>
        <v/>
      </c>
      <c r="E127" t="s">
        <v>261</v>
      </c>
      <c r="F127" t="s">
        <v>270</v>
      </c>
      <c r="G127" t="s">
        <v>427</v>
      </c>
    </row>
    <row r="128" spans="1:7" x14ac:dyDescent="0.25">
      <c r="A128" t="s">
        <v>383</v>
      </c>
      <c r="B128" s="2" t="str">
        <f>IF(tblListadoCampos[[#This Row],[Tipo]]="","",tblListadoCampos[[#This Row],[Abreviatura]]&amp;tblListadoCampos[[#This Row],[Nombre]])</f>
        <v/>
      </c>
      <c r="D128" s="2" t="str">
        <f>IF(tblListadoCampos[[#This Row],[Tipo]]="","",VLOOKUP(tblListadoCampos[[#This Row],[Tipo]],tblControles[],2,0))</f>
        <v/>
      </c>
      <c r="E128" t="s">
        <v>266</v>
      </c>
      <c r="F128" t="s">
        <v>275</v>
      </c>
      <c r="G128" t="s">
        <v>432</v>
      </c>
    </row>
    <row r="129" spans="1:7" x14ac:dyDescent="0.25">
      <c r="A129" t="s">
        <v>383</v>
      </c>
      <c r="B129" s="2" t="str">
        <f>IF(tblListadoCampos[[#This Row],[Tipo]]="","",tblListadoCampos[[#This Row],[Abreviatura]]&amp;tblListadoCampos[[#This Row],[Nombre]])</f>
        <v/>
      </c>
      <c r="D129" s="2" t="str">
        <f>IF(tblListadoCampos[[#This Row],[Tipo]]="","",VLOOKUP(tblListadoCampos[[#This Row],[Tipo]],tblControles[],2,0))</f>
        <v/>
      </c>
      <c r="E129" t="s">
        <v>377</v>
      </c>
      <c r="F129" t="s">
        <v>385</v>
      </c>
      <c r="G129" t="s">
        <v>479</v>
      </c>
    </row>
    <row r="130" spans="1:7" x14ac:dyDescent="0.25">
      <c r="A130" t="s">
        <v>383</v>
      </c>
      <c r="B130" s="2" t="str">
        <f>IF(tblListadoCampos[[#This Row],[Tipo]]="","",tblListadoCampos[[#This Row],[Abreviatura]]&amp;tblListadoCampos[[#This Row],[Nombre]])</f>
        <v/>
      </c>
      <c r="D130" s="2" t="str">
        <f>IF(tblListadoCampos[[#This Row],[Tipo]]="","",VLOOKUP(tblListadoCampos[[#This Row],[Tipo]],tblControles[],2,0))</f>
        <v/>
      </c>
      <c r="E130" t="s">
        <v>378</v>
      </c>
      <c r="F130" t="s">
        <v>386</v>
      </c>
      <c r="G130" t="s">
        <v>480</v>
      </c>
    </row>
    <row r="131" spans="1:7" x14ac:dyDescent="0.25">
      <c r="A131" t="s">
        <v>383</v>
      </c>
      <c r="B131" s="2" t="str">
        <f>IF(tblListadoCampos[[#This Row],[Tipo]]="","",tblListadoCampos[[#This Row],[Abreviatura]]&amp;tblListadoCampos[[#This Row],[Nombre]])</f>
        <v/>
      </c>
      <c r="D131" s="2" t="str">
        <f>IF(tblListadoCampos[[#This Row],[Tipo]]="","",VLOOKUP(tblListadoCampos[[#This Row],[Tipo]],tblControles[],2,0))</f>
        <v/>
      </c>
      <c r="E131" t="s">
        <v>379</v>
      </c>
      <c r="F131" t="s">
        <v>387</v>
      </c>
      <c r="G131" t="s">
        <v>481</v>
      </c>
    </row>
    <row r="132" spans="1:7" x14ac:dyDescent="0.25">
      <c r="A132" t="s">
        <v>383</v>
      </c>
      <c r="B132" s="2" t="str">
        <f>IF(tblListadoCampos[[#This Row],[Tipo]]="","",tblListadoCampos[[#This Row],[Abreviatura]]&amp;tblListadoCampos[[#This Row],[Nombre]])</f>
        <v/>
      </c>
      <c r="D132" s="2" t="str">
        <f>IF(tblListadoCampos[[#This Row],[Tipo]]="","",VLOOKUP(tblListadoCampos[[#This Row],[Tipo]],tblControles[],2,0))</f>
        <v/>
      </c>
      <c r="E132" t="s">
        <v>380</v>
      </c>
      <c r="F132" t="s">
        <v>388</v>
      </c>
      <c r="G132" t="s">
        <v>482</v>
      </c>
    </row>
    <row r="133" spans="1:7" x14ac:dyDescent="0.25">
      <c r="A133" t="s">
        <v>383</v>
      </c>
      <c r="B133" s="2" t="str">
        <f>IF(tblListadoCampos[[#This Row],[Tipo]]="","",tblListadoCampos[[#This Row],[Abreviatura]]&amp;tblListadoCampos[[#This Row],[Nombre]])</f>
        <v/>
      </c>
      <c r="D133" s="2" t="str">
        <f>IF(tblListadoCampos[[#This Row],[Tipo]]="","",VLOOKUP(tblListadoCampos[[#This Row],[Tipo]],tblControles[],2,0))</f>
        <v/>
      </c>
      <c r="E133" t="s">
        <v>234</v>
      </c>
      <c r="F133" t="s">
        <v>249</v>
      </c>
      <c r="G133" t="s">
        <v>415</v>
      </c>
    </row>
    <row r="134" spans="1:7" x14ac:dyDescent="0.25">
      <c r="A134" t="s">
        <v>383</v>
      </c>
      <c r="B134" s="2" t="str">
        <f>IF(tblListadoCampos[[#This Row],[Tipo]]="","",tblListadoCampos[[#This Row],[Abreviatura]]&amp;tblListadoCampos[[#This Row],[Nombre]])</f>
        <v/>
      </c>
      <c r="D134" s="2" t="str">
        <f>IF(tblListadoCampos[[#This Row],[Tipo]]="","",VLOOKUP(tblListadoCampos[[#This Row],[Tipo]],tblControles[],2,0))</f>
        <v/>
      </c>
      <c r="E134" t="s">
        <v>381</v>
      </c>
      <c r="F134" t="s">
        <v>389</v>
      </c>
      <c r="G134" t="s">
        <v>483</v>
      </c>
    </row>
    <row r="135" spans="1:7" x14ac:dyDescent="0.25">
      <c r="A135" t="s">
        <v>383</v>
      </c>
      <c r="B135" s="2" t="str">
        <f>IF(tblListadoCampos[[#This Row],[Tipo]]="","",tblListadoCampos[[#This Row],[Abreviatura]]&amp;tblListadoCampos[[#This Row],[Nombre]])</f>
        <v/>
      </c>
      <c r="D135" s="2" t="str">
        <f>IF(tblListadoCampos[[#This Row],[Tipo]]="","",VLOOKUP(tblListadoCampos[[#This Row],[Tipo]],tblControles[],2,0))</f>
        <v/>
      </c>
      <c r="E135" t="s">
        <v>382</v>
      </c>
      <c r="F135" t="s">
        <v>390</v>
      </c>
      <c r="G135" t="s">
        <v>484</v>
      </c>
    </row>
    <row r="136" spans="1:7" x14ac:dyDescent="0.25">
      <c r="A136" t="s">
        <v>392</v>
      </c>
      <c r="B136" s="2" t="str">
        <f>IF(tblListadoCampos[[#This Row],[Tipo]]="","",tblListadoCampos[[#This Row],[Abreviatura]]&amp;tblListadoCampos[[#This Row],[Nombre]])</f>
        <v/>
      </c>
      <c r="D136" s="2" t="str">
        <f>IF(tblListadoCampos[[#This Row],[Tipo]]="","",VLOOKUP(tblListadoCampos[[#This Row],[Tipo]],tblControles[],2,0))</f>
        <v/>
      </c>
      <c r="E136" t="s">
        <v>190</v>
      </c>
      <c r="F136" t="s">
        <v>202</v>
      </c>
      <c r="G136" t="s">
        <v>397</v>
      </c>
    </row>
    <row r="137" spans="1:7" x14ac:dyDescent="0.25">
      <c r="A137" t="s">
        <v>392</v>
      </c>
      <c r="B137" s="2" t="str">
        <f>IF(tblListadoCampos[[#This Row],[Tipo]]="","",tblListadoCampos[[#This Row],[Abreviatura]]&amp;tblListadoCampos[[#This Row],[Nombre]])</f>
        <v/>
      </c>
      <c r="D137" s="2" t="str">
        <f>IF(tblListadoCampos[[#This Row],[Tipo]]="","",VLOOKUP(tblListadoCampos[[#This Row],[Tipo]],tblControles[],2,0))</f>
        <v/>
      </c>
      <c r="E137" t="s">
        <v>373</v>
      </c>
      <c r="F137" t="s">
        <v>393</v>
      </c>
      <c r="G137" t="s">
        <v>485</v>
      </c>
    </row>
    <row r="138" spans="1:7" x14ac:dyDescent="0.25">
      <c r="A138" t="s">
        <v>392</v>
      </c>
      <c r="B138" s="2" t="str">
        <f>IF(tblListadoCampos[[#This Row],[Tipo]]="","",tblListadoCampos[[#This Row],[Abreviatura]]&amp;tblListadoCampos[[#This Row],[Nombre]])</f>
        <v/>
      </c>
      <c r="D138" s="2" t="str">
        <f>IF(tblListadoCampos[[#This Row],[Tipo]]="","",VLOOKUP(tblListadoCampos[[#This Row],[Tipo]],tblControles[],2,0))</f>
        <v/>
      </c>
      <c r="E138" t="s">
        <v>5</v>
      </c>
      <c r="F138" t="s">
        <v>205</v>
      </c>
      <c r="G138" t="s">
        <v>6</v>
      </c>
    </row>
    <row r="139" spans="1:7" x14ac:dyDescent="0.25">
      <c r="A139" t="s">
        <v>392</v>
      </c>
      <c r="B139" s="2" t="str">
        <f>IF(tblListadoCampos[[#This Row],[Tipo]]="","",tblListadoCampos[[#This Row],[Abreviatura]]&amp;tblListadoCampos[[#This Row],[Nombre]])</f>
        <v/>
      </c>
      <c r="D139" s="2" t="str">
        <f>IF(tblListadoCampos[[#This Row],[Tipo]]="","",VLOOKUP(tblListadoCampos[[#This Row],[Tipo]],tblControles[],2,0))</f>
        <v/>
      </c>
      <c r="E139" t="s">
        <v>289</v>
      </c>
      <c r="F139" t="s">
        <v>394</v>
      </c>
      <c r="G139" t="s">
        <v>440</v>
      </c>
    </row>
    <row r="140" spans="1:7" x14ac:dyDescent="0.25">
      <c r="A140" t="s">
        <v>392</v>
      </c>
      <c r="B140" s="2" t="str">
        <f>IF(tblListadoCampos[[#This Row],[Tipo]]="","",tblListadoCampos[[#This Row],[Abreviatura]]&amp;tblListadoCampos[[#This Row],[Nombre]])</f>
        <v/>
      </c>
      <c r="D140" s="2" t="str">
        <f>IF(tblListadoCampos[[#This Row],[Tipo]]="","",VLOOKUP(tblListadoCampos[[#This Row],[Tipo]],tblControles[],2,0))</f>
        <v/>
      </c>
      <c r="E140" t="s">
        <v>182</v>
      </c>
      <c r="F140" t="s">
        <v>221</v>
      </c>
      <c r="G140" t="s">
        <v>186</v>
      </c>
    </row>
    <row r="141" spans="1:7" x14ac:dyDescent="0.25">
      <c r="A141" t="s">
        <v>392</v>
      </c>
      <c r="B141" s="2" t="str">
        <f>IF(tblListadoCampos[[#This Row],[Tipo]]="","",tblListadoCampos[[#This Row],[Abreviatura]]&amp;tblListadoCampos[[#This Row],[Nombre]])</f>
        <v/>
      </c>
      <c r="D141" s="2" t="str">
        <f>IF(tblListadoCampos[[#This Row],[Tipo]]="","",VLOOKUP(tblListadoCampos[[#This Row],[Tipo]],tblControles[],2,0))</f>
        <v/>
      </c>
      <c r="E141" t="s">
        <v>181</v>
      </c>
      <c r="F141" t="s">
        <v>220</v>
      </c>
      <c r="G141" t="s">
        <v>185</v>
      </c>
    </row>
    <row r="142" spans="1:7" x14ac:dyDescent="0.25">
      <c r="A142" t="s">
        <v>392</v>
      </c>
      <c r="B142" s="2" t="str">
        <f>IF(tblListadoCampos[[#This Row],[Tipo]]="","",tblListadoCampos[[#This Row],[Abreviatura]]&amp;tblListadoCampos[[#This Row],[Nombre]])</f>
        <v/>
      </c>
      <c r="D142" s="2" t="str">
        <f>IF(tblListadoCampos[[#This Row],[Tipo]]="","",VLOOKUP(tblListadoCampos[[#This Row],[Tipo]],tblControles[],2,0))</f>
        <v/>
      </c>
      <c r="E142" t="s">
        <v>391</v>
      </c>
      <c r="F142" t="s">
        <v>395</v>
      </c>
      <c r="G142" t="s">
        <v>486</v>
      </c>
    </row>
    <row r="143" spans="1:7" x14ac:dyDescent="0.25">
      <c r="A143" t="s">
        <v>392</v>
      </c>
      <c r="B143" s="2" t="str">
        <f>IF(tblListadoCampos[[#This Row],[Tipo]]="","",tblListadoCampos[[#This Row],[Abreviatura]]&amp;tblListadoCampos[[#This Row],[Nombre]])</f>
        <v/>
      </c>
      <c r="D143" s="2" t="str">
        <f>IF(tblListadoCampos[[#This Row],[Tipo]]="","",VLOOKUP(tblListadoCampos[[#This Row],[Tipo]],tblControles[],2,0))</f>
        <v/>
      </c>
      <c r="E143" t="s">
        <v>184</v>
      </c>
      <c r="F143" t="s">
        <v>223</v>
      </c>
      <c r="G143" t="s">
        <v>188</v>
      </c>
    </row>
  </sheetData>
  <pageMargins left="0.7" right="0.7" top="0.75" bottom="0.75" header="0.3" footer="0.3"/>
  <pageSetup paperSize="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'Controles formulario original'!$E$17:$E$36</xm:f>
          </x14:formula1>
          <xm:sqref>C2:C143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showGridLines="0" workbookViewId="0">
      <selection activeCell="M24" sqref="M2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N2:R20"/>
  <sheetViews>
    <sheetView showGridLines="0" topLeftCell="A26" zoomScaleNormal="100" workbookViewId="0">
      <selection activeCell="Q47" sqref="Q47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  <col min="14" max="14" width="18.7109375" bestFit="1" customWidth="1"/>
    <col min="15" max="15" width="11.5703125" bestFit="1" customWidth="1"/>
    <col min="16" max="16" width="17.140625" bestFit="1" customWidth="1"/>
    <col min="17" max="18" width="16.42578125" bestFit="1" customWidth="1"/>
  </cols>
  <sheetData>
    <row r="2" spans="14:18" x14ac:dyDescent="0.25">
      <c r="N2" s="3" t="s">
        <v>0</v>
      </c>
      <c r="O2" s="3" t="s">
        <v>1</v>
      </c>
      <c r="P2" s="3" t="s">
        <v>2</v>
      </c>
      <c r="Q2" s="3" t="s">
        <v>189</v>
      </c>
      <c r="R2" s="3" t="s">
        <v>3</v>
      </c>
    </row>
    <row r="3" spans="14:18" x14ac:dyDescent="0.25">
      <c r="N3" s="4" t="s">
        <v>529</v>
      </c>
      <c r="O3" s="4" t="s">
        <v>504</v>
      </c>
      <c r="P3" s="4" t="s">
        <v>191</v>
      </c>
      <c r="Q3" s="4" t="s">
        <v>216</v>
      </c>
      <c r="R3" s="4" t="s">
        <v>398</v>
      </c>
    </row>
    <row r="4" spans="14:18" x14ac:dyDescent="0.25">
      <c r="N4" s="4" t="s">
        <v>530</v>
      </c>
      <c r="O4" s="4" t="s">
        <v>504</v>
      </c>
      <c r="P4" s="4" t="s">
        <v>192</v>
      </c>
      <c r="Q4" s="4" t="s">
        <v>216</v>
      </c>
      <c r="R4" s="4" t="s">
        <v>399</v>
      </c>
    </row>
    <row r="5" spans="14:18" x14ac:dyDescent="0.25">
      <c r="N5" s="4" t="s">
        <v>531</v>
      </c>
      <c r="O5" s="4" t="s">
        <v>504</v>
      </c>
      <c r="P5" s="4" t="s">
        <v>5</v>
      </c>
      <c r="Q5" s="4" t="s">
        <v>216</v>
      </c>
      <c r="R5" s="4" t="s">
        <v>6</v>
      </c>
    </row>
    <row r="6" spans="14:18" x14ac:dyDescent="0.25">
      <c r="N6" s="4" t="s">
        <v>532</v>
      </c>
      <c r="O6" s="4" t="s">
        <v>504</v>
      </c>
      <c r="P6" s="4" t="s">
        <v>193</v>
      </c>
      <c r="Q6" s="4" t="s">
        <v>216</v>
      </c>
      <c r="R6" s="4" t="s">
        <v>400</v>
      </c>
    </row>
    <row r="7" spans="14:18" x14ac:dyDescent="0.25">
      <c r="N7" s="4" t="s">
        <v>155</v>
      </c>
      <c r="O7" s="4" t="s">
        <v>504</v>
      </c>
      <c r="P7" s="4" t="s">
        <v>179</v>
      </c>
      <c r="Q7" s="4" t="s">
        <v>216</v>
      </c>
      <c r="R7" s="4" t="s">
        <v>180</v>
      </c>
    </row>
    <row r="8" spans="14:18" x14ac:dyDescent="0.25">
      <c r="N8" s="4" t="s">
        <v>533</v>
      </c>
      <c r="O8" s="4" t="s">
        <v>504</v>
      </c>
      <c r="P8" s="4" t="s">
        <v>194</v>
      </c>
      <c r="Q8" s="4" t="s">
        <v>216</v>
      </c>
      <c r="R8" s="4" t="s">
        <v>401</v>
      </c>
    </row>
    <row r="9" spans="14:18" x14ac:dyDescent="0.25">
      <c r="N9" s="4" t="s">
        <v>534</v>
      </c>
      <c r="O9" s="4" t="s">
        <v>504</v>
      </c>
      <c r="P9" s="4" t="s">
        <v>195</v>
      </c>
      <c r="Q9" s="4" t="s">
        <v>216</v>
      </c>
      <c r="R9" s="4" t="s">
        <v>402</v>
      </c>
    </row>
    <row r="10" spans="14:18" x14ac:dyDescent="0.25">
      <c r="N10" s="4" t="s">
        <v>535</v>
      </c>
      <c r="O10" s="4" t="s">
        <v>504</v>
      </c>
      <c r="P10" s="4" t="s">
        <v>196</v>
      </c>
      <c r="Q10" s="4" t="s">
        <v>216</v>
      </c>
      <c r="R10" s="4" t="s">
        <v>403</v>
      </c>
    </row>
    <row r="11" spans="14:18" x14ac:dyDescent="0.25">
      <c r="N11" s="4" t="s">
        <v>536</v>
      </c>
      <c r="O11" s="4" t="s">
        <v>504</v>
      </c>
      <c r="P11" s="4" t="s">
        <v>197</v>
      </c>
      <c r="Q11" s="4" t="s">
        <v>216</v>
      </c>
      <c r="R11" s="4" t="s">
        <v>404</v>
      </c>
    </row>
    <row r="12" spans="14:18" x14ac:dyDescent="0.25">
      <c r="N12" s="4" t="s">
        <v>537</v>
      </c>
      <c r="O12" s="4" t="s">
        <v>504</v>
      </c>
      <c r="P12" s="4" t="s">
        <v>198</v>
      </c>
      <c r="Q12" s="4" t="s">
        <v>216</v>
      </c>
      <c r="R12" s="4" t="s">
        <v>405</v>
      </c>
    </row>
    <row r="13" spans="14:18" x14ac:dyDescent="0.25">
      <c r="N13" s="4" t="s">
        <v>117</v>
      </c>
      <c r="O13" s="4" t="s">
        <v>504</v>
      </c>
      <c r="P13" s="4" t="s">
        <v>199</v>
      </c>
      <c r="Q13" s="4" t="s">
        <v>216</v>
      </c>
      <c r="R13" s="4" t="s">
        <v>406</v>
      </c>
    </row>
    <row r="14" spans="14:18" x14ac:dyDescent="0.25">
      <c r="N14" s="4" t="s">
        <v>538</v>
      </c>
      <c r="O14" s="4" t="s">
        <v>504</v>
      </c>
      <c r="P14" s="4" t="s">
        <v>200</v>
      </c>
      <c r="Q14" s="4" t="s">
        <v>216</v>
      </c>
      <c r="R14" s="4" t="s">
        <v>407</v>
      </c>
    </row>
    <row r="15" spans="14:18" x14ac:dyDescent="0.25">
      <c r="N15" s="4" t="s">
        <v>539</v>
      </c>
      <c r="O15" s="4" t="s">
        <v>504</v>
      </c>
      <c r="P15" s="4" t="s">
        <v>201</v>
      </c>
      <c r="Q15" s="4" t="s">
        <v>216</v>
      </c>
      <c r="R15" s="4" t="s">
        <v>408</v>
      </c>
    </row>
    <row r="16" spans="14:18" x14ac:dyDescent="0.25">
      <c r="N16" s="4" t="s">
        <v>540</v>
      </c>
      <c r="O16" s="4" t="s">
        <v>504</v>
      </c>
      <c r="P16" s="4" t="s">
        <v>218</v>
      </c>
      <c r="Q16" s="4" t="s">
        <v>217</v>
      </c>
      <c r="R16" s="4" t="s">
        <v>409</v>
      </c>
    </row>
    <row r="17" spans="14:18" x14ac:dyDescent="0.25">
      <c r="N17" s="4" t="s">
        <v>541</v>
      </c>
      <c r="O17" s="4" t="s">
        <v>504</v>
      </c>
      <c r="P17" s="4" t="s">
        <v>181</v>
      </c>
      <c r="Q17" s="4" t="s">
        <v>217</v>
      </c>
      <c r="R17" s="4" t="s">
        <v>185</v>
      </c>
    </row>
    <row r="18" spans="14:18" x14ac:dyDescent="0.25">
      <c r="N18" s="4" t="s">
        <v>542</v>
      </c>
      <c r="O18" s="4" t="s">
        <v>504</v>
      </c>
      <c r="P18" s="4" t="s">
        <v>182</v>
      </c>
      <c r="Q18" s="4" t="s">
        <v>217</v>
      </c>
      <c r="R18" s="4" t="s">
        <v>186</v>
      </c>
    </row>
    <row r="19" spans="14:18" x14ac:dyDescent="0.25">
      <c r="N19" s="4" t="s">
        <v>543</v>
      </c>
      <c r="O19" s="4" t="s">
        <v>504</v>
      </c>
      <c r="P19" s="4" t="s">
        <v>183</v>
      </c>
      <c r="Q19" s="4" t="s">
        <v>217</v>
      </c>
      <c r="R19" s="4" t="s">
        <v>187</v>
      </c>
    </row>
    <row r="20" spans="14:18" x14ac:dyDescent="0.25">
      <c r="N20" s="4" t="s">
        <v>544</v>
      </c>
      <c r="O20" s="4" t="s">
        <v>504</v>
      </c>
      <c r="P20" s="4" t="s">
        <v>184</v>
      </c>
      <c r="Q20" s="4" t="s">
        <v>217</v>
      </c>
      <c r="R20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9" tint="0.39997558519241921"/>
  </sheetPr>
  <dimension ref="B28:F35"/>
  <sheetViews>
    <sheetView showGridLines="0" zoomScale="85" zoomScaleNormal="85" workbookViewId="0">
      <selection activeCell="J33" sqref="J33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574</v>
      </c>
      <c r="C29" s="4" t="s">
        <v>504</v>
      </c>
      <c r="D29" s="4" t="s">
        <v>373</v>
      </c>
      <c r="E29" s="4" t="s">
        <v>392</v>
      </c>
      <c r="F29" s="4" t="s">
        <v>485</v>
      </c>
    </row>
    <row r="30" spans="2:6" x14ac:dyDescent="0.25">
      <c r="B30" s="4" t="s">
        <v>531</v>
      </c>
      <c r="C30" s="4" t="s">
        <v>504</v>
      </c>
      <c r="D30" s="4" t="s">
        <v>5</v>
      </c>
      <c r="E30" s="4" t="s">
        <v>392</v>
      </c>
      <c r="F30" s="4" t="s">
        <v>6</v>
      </c>
    </row>
    <row r="31" spans="2:6" x14ac:dyDescent="0.25">
      <c r="B31" s="4" t="s">
        <v>564</v>
      </c>
      <c r="C31" s="4" t="s">
        <v>504</v>
      </c>
      <c r="D31" s="4" t="s">
        <v>289</v>
      </c>
      <c r="E31" s="4" t="s">
        <v>392</v>
      </c>
      <c r="F31" s="4" t="s">
        <v>440</v>
      </c>
    </row>
    <row r="32" spans="2:6" x14ac:dyDescent="0.25">
      <c r="B32" s="4" t="s">
        <v>542</v>
      </c>
      <c r="C32" s="4" t="s">
        <v>504</v>
      </c>
      <c r="D32" s="4" t="s">
        <v>182</v>
      </c>
      <c r="E32" s="4" t="s">
        <v>392</v>
      </c>
      <c r="F32" s="4" t="s">
        <v>186</v>
      </c>
    </row>
    <row r="33" spans="2:6" x14ac:dyDescent="0.25">
      <c r="B33" s="4" t="s">
        <v>541</v>
      </c>
      <c r="C33" s="4" t="s">
        <v>504</v>
      </c>
      <c r="D33" s="4" t="s">
        <v>181</v>
      </c>
      <c r="E33" s="4" t="s">
        <v>392</v>
      </c>
      <c r="F33" s="4" t="s">
        <v>185</v>
      </c>
    </row>
    <row r="34" spans="2:6" x14ac:dyDescent="0.25">
      <c r="B34" s="4" t="s">
        <v>575</v>
      </c>
      <c r="C34" s="4" t="s">
        <v>504</v>
      </c>
      <c r="D34" s="4" t="s">
        <v>391</v>
      </c>
      <c r="E34" s="4" t="s">
        <v>392</v>
      </c>
      <c r="F34" s="4" t="s">
        <v>486</v>
      </c>
    </row>
    <row r="35" spans="2:6" x14ac:dyDescent="0.25">
      <c r="B35" s="4" t="s">
        <v>544</v>
      </c>
      <c r="C35" s="4" t="s">
        <v>504</v>
      </c>
      <c r="D35" s="4" t="s">
        <v>184</v>
      </c>
      <c r="E35" s="4" t="s">
        <v>392</v>
      </c>
      <c r="F35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9" tint="0.39997558519241921"/>
  </sheetPr>
  <dimension ref="B28:F43"/>
  <sheetViews>
    <sheetView showGridLines="0" zoomScale="85" zoomScaleNormal="85" workbookViewId="0">
      <selection activeCell="I29" sqref="I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536</v>
      </c>
      <c r="C30" s="4" t="s">
        <v>504</v>
      </c>
      <c r="D30" s="4" t="s">
        <v>197</v>
      </c>
      <c r="E30" s="4" t="s">
        <v>245</v>
      </c>
      <c r="F30" s="4" t="s">
        <v>404</v>
      </c>
    </row>
    <row r="31" spans="2:6" x14ac:dyDescent="0.25">
      <c r="B31" s="4" t="s">
        <v>91</v>
      </c>
      <c r="C31" s="4" t="s">
        <v>497</v>
      </c>
      <c r="D31" s="4" t="s">
        <v>232</v>
      </c>
      <c r="E31" s="4" t="s">
        <v>245</v>
      </c>
      <c r="F31" s="4" t="s">
        <v>413</v>
      </c>
    </row>
    <row r="32" spans="2:6" x14ac:dyDescent="0.25">
      <c r="B32" s="4" t="s">
        <v>566</v>
      </c>
      <c r="C32" s="4" t="s">
        <v>504</v>
      </c>
      <c r="D32" s="4" t="s">
        <v>233</v>
      </c>
      <c r="E32" s="4" t="s">
        <v>245</v>
      </c>
      <c r="F32" s="4" t="s">
        <v>414</v>
      </c>
    </row>
    <row r="33" spans="2:6" x14ac:dyDescent="0.25">
      <c r="B33" s="4" t="s">
        <v>567</v>
      </c>
      <c r="C33" s="4" t="s">
        <v>504</v>
      </c>
      <c r="D33" s="4" t="s">
        <v>234</v>
      </c>
      <c r="E33" s="4" t="s">
        <v>245</v>
      </c>
      <c r="F33" s="4" t="s">
        <v>415</v>
      </c>
    </row>
    <row r="34" spans="2:6" x14ac:dyDescent="0.25">
      <c r="B34" s="4" t="s">
        <v>568</v>
      </c>
      <c r="C34" s="4" t="s">
        <v>497</v>
      </c>
      <c r="D34" s="4" t="s">
        <v>235</v>
      </c>
      <c r="E34" s="4" t="s">
        <v>245</v>
      </c>
      <c r="F34" s="4" t="s">
        <v>416</v>
      </c>
    </row>
    <row r="35" spans="2:6" x14ac:dyDescent="0.25">
      <c r="B35" s="4" t="s">
        <v>569</v>
      </c>
      <c r="C35" s="4" t="s">
        <v>504</v>
      </c>
      <c r="D35" s="4" t="s">
        <v>236</v>
      </c>
      <c r="E35" s="4" t="s">
        <v>245</v>
      </c>
      <c r="F35" s="4" t="s">
        <v>417</v>
      </c>
    </row>
    <row r="36" spans="2:6" x14ac:dyDescent="0.25">
      <c r="B36" s="4" t="s">
        <v>570</v>
      </c>
      <c r="C36" s="4" t="s">
        <v>504</v>
      </c>
      <c r="D36" s="4" t="s">
        <v>237</v>
      </c>
      <c r="E36" s="4" t="s">
        <v>245</v>
      </c>
      <c r="F36" s="4" t="s">
        <v>418</v>
      </c>
    </row>
    <row r="37" spans="2:6" x14ac:dyDescent="0.25">
      <c r="B37" s="4" t="s">
        <v>571</v>
      </c>
      <c r="C37" s="4" t="s">
        <v>504</v>
      </c>
      <c r="D37" s="4" t="s">
        <v>238</v>
      </c>
      <c r="E37" s="4" t="s">
        <v>245</v>
      </c>
      <c r="F37" s="4" t="s">
        <v>419</v>
      </c>
    </row>
    <row r="38" spans="2:6" x14ac:dyDescent="0.25">
      <c r="B38" s="4" t="s">
        <v>572</v>
      </c>
      <c r="C38" s="4" t="s">
        <v>504</v>
      </c>
      <c r="D38" s="4" t="s">
        <v>239</v>
      </c>
      <c r="E38" s="4" t="s">
        <v>245</v>
      </c>
      <c r="F38" s="4" t="s">
        <v>420</v>
      </c>
    </row>
    <row r="39" spans="2:6" x14ac:dyDescent="0.25">
      <c r="B39" s="4" t="s">
        <v>573</v>
      </c>
      <c r="C39" s="4" t="s">
        <v>504</v>
      </c>
      <c r="D39" s="4" t="s">
        <v>240</v>
      </c>
      <c r="E39" s="4" t="s">
        <v>245</v>
      </c>
      <c r="F39" s="4" t="s">
        <v>421</v>
      </c>
    </row>
    <row r="40" spans="2:6" x14ac:dyDescent="0.25">
      <c r="B40" s="4" t="s">
        <v>129</v>
      </c>
      <c r="C40" s="4" t="s">
        <v>497</v>
      </c>
      <c r="D40" s="4" t="s">
        <v>241</v>
      </c>
      <c r="E40" s="4" t="s">
        <v>245</v>
      </c>
      <c r="F40" s="4" t="s">
        <v>422</v>
      </c>
    </row>
    <row r="41" spans="2:6" x14ac:dyDescent="0.25">
      <c r="B41" s="4" t="s">
        <v>81</v>
      </c>
      <c r="C41" s="4" t="s">
        <v>504</v>
      </c>
      <c r="D41" s="4" t="s">
        <v>242</v>
      </c>
      <c r="E41" s="4" t="s">
        <v>245</v>
      </c>
      <c r="F41" s="4" t="s">
        <v>423</v>
      </c>
    </row>
    <row r="42" spans="2:6" x14ac:dyDescent="0.25">
      <c r="B42" s="4" t="s">
        <v>79</v>
      </c>
      <c r="C42" s="4" t="s">
        <v>504</v>
      </c>
      <c r="D42" s="4" t="s">
        <v>243</v>
      </c>
      <c r="E42" s="4" t="s">
        <v>245</v>
      </c>
      <c r="F42" s="4" t="s">
        <v>424</v>
      </c>
    </row>
    <row r="43" spans="2:6" x14ac:dyDescent="0.25">
      <c r="B43" s="4" t="s">
        <v>77</v>
      </c>
      <c r="C43" s="4" t="s">
        <v>504</v>
      </c>
      <c r="D43" s="4" t="s">
        <v>244</v>
      </c>
      <c r="E43" s="4" t="s">
        <v>245</v>
      </c>
      <c r="F43" s="4" t="s">
        <v>425</v>
      </c>
    </row>
  </sheetData>
  <pageMargins left="0.7" right="0.7" top="0.75" bottom="0.75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9" tint="0.39997558519241921"/>
  </sheetPr>
  <dimension ref="B28:F31"/>
  <sheetViews>
    <sheetView showGridLines="0" tabSelected="1" zoomScale="85" zoomScaleNormal="85" workbookViewId="0">
      <selection activeCell="J38" sqref="J38"/>
    </sheetView>
  </sheetViews>
  <sheetFormatPr baseColWidth="10" defaultRowHeight="15" x14ac:dyDescent="0.25"/>
  <cols>
    <col min="2" max="2" width="19.5703125" customWidth="1"/>
    <col min="3" max="3" width="11.5703125" bestFit="1" customWidth="1"/>
    <col min="4" max="4" width="18.28515625" bestFit="1" customWidth="1"/>
    <col min="5" max="5" width="16.7109375" customWidth="1"/>
    <col min="6" max="6" width="17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291</v>
      </c>
      <c r="F29" s="4" t="s">
        <v>396</v>
      </c>
    </row>
    <row r="30" spans="2:6" x14ac:dyDescent="0.25">
      <c r="B30" s="4" t="s">
        <v>564</v>
      </c>
      <c r="C30" s="4" t="s">
        <v>504</v>
      </c>
      <c r="D30" s="4" t="s">
        <v>289</v>
      </c>
      <c r="E30" s="4" t="s">
        <v>291</v>
      </c>
      <c r="F30" s="4" t="s">
        <v>440</v>
      </c>
    </row>
    <row r="31" spans="2:6" x14ac:dyDescent="0.25">
      <c r="B31" s="4" t="s">
        <v>565</v>
      </c>
      <c r="C31" s="4" t="s">
        <v>504</v>
      </c>
      <c r="D31" s="4" t="s">
        <v>290</v>
      </c>
      <c r="E31" s="4" t="s">
        <v>291</v>
      </c>
      <c r="F31" s="4" t="s">
        <v>441</v>
      </c>
    </row>
  </sheetData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9" tint="0.39997558519241921"/>
  </sheetPr>
  <dimension ref="B28:F38"/>
  <sheetViews>
    <sheetView showGridLines="0" zoomScale="85" zoomScaleNormal="85" workbookViewId="0">
      <selection activeCell="V27" sqref="V27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529</v>
      </c>
      <c r="C30" s="4" t="s">
        <v>504</v>
      </c>
      <c r="D30" s="4" t="s">
        <v>191</v>
      </c>
      <c r="E30" s="4" t="s">
        <v>226</v>
      </c>
      <c r="F30" s="4" t="s">
        <v>398</v>
      </c>
    </row>
    <row r="31" spans="2:6" x14ac:dyDescent="0.25">
      <c r="B31" s="4" t="s">
        <v>530</v>
      </c>
      <c r="C31" s="4" t="s">
        <v>504</v>
      </c>
      <c r="D31" s="4" t="s">
        <v>192</v>
      </c>
      <c r="E31" s="4" t="s">
        <v>226</v>
      </c>
      <c r="F31" s="4" t="s">
        <v>399</v>
      </c>
    </row>
    <row r="32" spans="2:6" x14ac:dyDescent="0.25">
      <c r="B32" s="4" t="s">
        <v>155</v>
      </c>
      <c r="C32" s="4" t="s">
        <v>504</v>
      </c>
      <c r="D32" s="4" t="s">
        <v>179</v>
      </c>
      <c r="E32" s="4" t="s">
        <v>226</v>
      </c>
      <c r="F32" s="4" t="s">
        <v>180</v>
      </c>
    </row>
    <row r="33" spans="2:6" x14ac:dyDescent="0.25">
      <c r="B33" s="4" t="s">
        <v>532</v>
      </c>
      <c r="C33" s="4" t="s">
        <v>504</v>
      </c>
      <c r="D33" s="4" t="s">
        <v>193</v>
      </c>
      <c r="E33" s="4" t="s">
        <v>226</v>
      </c>
      <c r="F33" s="4" t="s">
        <v>400</v>
      </c>
    </row>
    <row r="34" spans="2:6" x14ac:dyDescent="0.25">
      <c r="B34" s="4" t="s">
        <v>562</v>
      </c>
      <c r="C34" s="4" t="s">
        <v>504</v>
      </c>
      <c r="D34" s="4" t="s">
        <v>225</v>
      </c>
      <c r="E34" s="4" t="s">
        <v>226</v>
      </c>
      <c r="F34" s="4" t="s">
        <v>563</v>
      </c>
    </row>
    <row r="35" spans="2:6" x14ac:dyDescent="0.25">
      <c r="B35" s="4" t="s">
        <v>541</v>
      </c>
      <c r="C35" s="4" t="s">
        <v>504</v>
      </c>
      <c r="D35" s="4" t="s">
        <v>181</v>
      </c>
      <c r="E35" s="4" t="s">
        <v>230</v>
      </c>
      <c r="F35" s="4" t="s">
        <v>185</v>
      </c>
    </row>
    <row r="36" spans="2:6" x14ac:dyDescent="0.25">
      <c r="B36" s="4" t="s">
        <v>542</v>
      </c>
      <c r="C36" s="4" t="s">
        <v>504</v>
      </c>
      <c r="D36" s="4" t="s">
        <v>182</v>
      </c>
      <c r="E36" s="4" t="s">
        <v>230</v>
      </c>
      <c r="F36" s="4" t="s">
        <v>186</v>
      </c>
    </row>
    <row r="37" spans="2:6" x14ac:dyDescent="0.25">
      <c r="B37" s="4" t="s">
        <v>543</v>
      </c>
      <c r="C37" s="4" t="s">
        <v>504</v>
      </c>
      <c r="D37" s="4" t="s">
        <v>183</v>
      </c>
      <c r="E37" s="4" t="s">
        <v>230</v>
      </c>
      <c r="F37" s="4" t="s">
        <v>187</v>
      </c>
    </row>
    <row r="38" spans="2:6" x14ac:dyDescent="0.25">
      <c r="B38" s="4" t="s">
        <v>544</v>
      </c>
      <c r="C38" s="4" t="s">
        <v>504</v>
      </c>
      <c r="D38" s="4" t="s">
        <v>184</v>
      </c>
      <c r="E38" s="4" t="s">
        <v>230</v>
      </c>
      <c r="F38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9" tint="0.39997558519241921"/>
  </sheetPr>
  <dimension ref="B28:F33"/>
  <sheetViews>
    <sheetView showGridLines="0" zoomScale="85" zoomScaleNormal="85" workbookViewId="0">
      <selection activeCell="S27" sqref="S27"/>
    </sheetView>
  </sheetViews>
  <sheetFormatPr baseColWidth="10" defaultRowHeight="15" x14ac:dyDescent="0.25"/>
  <cols>
    <col min="2" max="2" width="19.5703125" bestFit="1" customWidth="1"/>
    <col min="3" max="3" width="20.1406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561</v>
      </c>
      <c r="C29" s="4" t="s">
        <v>497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541</v>
      </c>
      <c r="C30" s="4" t="s">
        <v>504</v>
      </c>
      <c r="D30" s="4" t="s">
        <v>181</v>
      </c>
      <c r="E30" s="4" t="s">
        <v>230</v>
      </c>
      <c r="F30" s="4" t="s">
        <v>185</v>
      </c>
    </row>
    <row r="31" spans="2:6" x14ac:dyDescent="0.25">
      <c r="B31" s="4" t="s">
        <v>542</v>
      </c>
      <c r="C31" s="4" t="s">
        <v>504</v>
      </c>
      <c r="D31" s="4" t="s">
        <v>182</v>
      </c>
      <c r="E31" s="4" t="s">
        <v>230</v>
      </c>
      <c r="F31" s="4" t="s">
        <v>186</v>
      </c>
    </row>
    <row r="32" spans="2:6" x14ac:dyDescent="0.25">
      <c r="B32" s="4" t="s">
        <v>543</v>
      </c>
      <c r="C32" s="4" t="s">
        <v>504</v>
      </c>
      <c r="D32" s="4" t="s">
        <v>183</v>
      </c>
      <c r="E32" s="4" t="s">
        <v>230</v>
      </c>
      <c r="F32" s="4" t="s">
        <v>187</v>
      </c>
    </row>
    <row r="33" spans="2:6" x14ac:dyDescent="0.25">
      <c r="B33" s="4" t="s">
        <v>544</v>
      </c>
      <c r="C33" s="4" t="s">
        <v>504</v>
      </c>
      <c r="D33" s="4" t="s">
        <v>184</v>
      </c>
      <c r="E33" s="4" t="s">
        <v>230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B28:F33"/>
  <sheetViews>
    <sheetView showGridLines="0" zoomScale="85" zoomScaleNormal="85" workbookViewId="0">
      <selection activeCell="U29" sqref="U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4</v>
      </c>
      <c r="C29" s="4" t="s">
        <v>497</v>
      </c>
      <c r="D29" s="4" t="s">
        <v>5</v>
      </c>
      <c r="E29" s="4" t="s">
        <v>216</v>
      </c>
      <c r="F29" s="4" t="s">
        <v>6</v>
      </c>
    </row>
    <row r="30" spans="2:6" x14ac:dyDescent="0.25">
      <c r="B30" s="4" t="s">
        <v>541</v>
      </c>
      <c r="C30" s="4" t="s">
        <v>504</v>
      </c>
      <c r="D30" s="4" t="s">
        <v>181</v>
      </c>
      <c r="E30" s="4" t="s">
        <v>217</v>
      </c>
      <c r="F30" s="4" t="s">
        <v>185</v>
      </c>
    </row>
    <row r="31" spans="2:6" x14ac:dyDescent="0.25">
      <c r="B31" s="4" t="s">
        <v>542</v>
      </c>
      <c r="C31" s="4" t="s">
        <v>504</v>
      </c>
      <c r="D31" s="4" t="s">
        <v>182</v>
      </c>
      <c r="E31" s="4" t="s">
        <v>217</v>
      </c>
      <c r="F31" s="4" t="s">
        <v>186</v>
      </c>
    </row>
    <row r="32" spans="2:6" x14ac:dyDescent="0.25">
      <c r="B32" s="4" t="s">
        <v>543</v>
      </c>
      <c r="C32" s="4" t="s">
        <v>504</v>
      </c>
      <c r="D32" s="4" t="s">
        <v>183</v>
      </c>
      <c r="E32" s="4" t="s">
        <v>217</v>
      </c>
      <c r="F32" s="4" t="s">
        <v>187</v>
      </c>
    </row>
    <row r="33" spans="2:6" x14ac:dyDescent="0.25">
      <c r="B33" s="4" t="s">
        <v>544</v>
      </c>
      <c r="C33" s="4" t="s">
        <v>504</v>
      </c>
      <c r="D33" s="4" t="s">
        <v>184</v>
      </c>
      <c r="E33" s="4" t="s">
        <v>217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9" tint="0.39997558519241921"/>
  </sheetPr>
  <dimension ref="B28:F45"/>
  <sheetViews>
    <sheetView showGridLines="0" zoomScale="85" zoomScaleNormal="85" workbookViewId="0">
      <selection activeCell="S39" sqref="S3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529</v>
      </c>
      <c r="C29" s="4" t="s">
        <v>504</v>
      </c>
      <c r="D29" s="4" t="s">
        <v>191</v>
      </c>
      <c r="E29" s="4" t="s">
        <v>216</v>
      </c>
      <c r="F29" s="4" t="s">
        <v>398</v>
      </c>
    </row>
    <row r="30" spans="2:6" x14ac:dyDescent="0.25">
      <c r="B30" s="4" t="s">
        <v>530</v>
      </c>
      <c r="C30" s="4" t="s">
        <v>504</v>
      </c>
      <c r="D30" s="4" t="s">
        <v>192</v>
      </c>
      <c r="E30" s="4" t="s">
        <v>216</v>
      </c>
      <c r="F30" s="4" t="s">
        <v>399</v>
      </c>
    </row>
    <row r="31" spans="2:6" x14ac:dyDescent="0.25">
      <c r="B31" s="4" t="s">
        <v>531</v>
      </c>
      <c r="C31" s="4" t="s">
        <v>504</v>
      </c>
      <c r="D31" s="4" t="s">
        <v>5</v>
      </c>
      <c r="E31" s="4" t="s">
        <v>216</v>
      </c>
      <c r="F31" s="4" t="s">
        <v>6</v>
      </c>
    </row>
    <row r="32" spans="2:6" x14ac:dyDescent="0.25">
      <c r="B32" s="4" t="s">
        <v>532</v>
      </c>
      <c r="C32" s="4" t="s">
        <v>504</v>
      </c>
      <c r="D32" s="4" t="s">
        <v>193</v>
      </c>
      <c r="E32" s="4" t="s">
        <v>216</v>
      </c>
      <c r="F32" s="4" t="s">
        <v>400</v>
      </c>
    </row>
    <row r="33" spans="2:6" x14ac:dyDescent="0.25">
      <c r="B33" s="4" t="s">
        <v>155</v>
      </c>
      <c r="C33" s="4" t="s">
        <v>504</v>
      </c>
      <c r="D33" s="4" t="s">
        <v>179</v>
      </c>
      <c r="E33" s="4" t="s">
        <v>216</v>
      </c>
      <c r="F33" s="4" t="s">
        <v>180</v>
      </c>
    </row>
    <row r="34" spans="2:6" x14ac:dyDescent="0.25">
      <c r="B34" s="4" t="s">
        <v>533</v>
      </c>
      <c r="C34" s="4" t="s">
        <v>504</v>
      </c>
      <c r="D34" s="4" t="s">
        <v>194</v>
      </c>
      <c r="E34" s="4" t="s">
        <v>216</v>
      </c>
      <c r="F34" s="4" t="s">
        <v>401</v>
      </c>
    </row>
    <row r="35" spans="2:6" x14ac:dyDescent="0.25">
      <c r="B35" s="4" t="s">
        <v>534</v>
      </c>
      <c r="C35" s="4" t="s">
        <v>504</v>
      </c>
      <c r="D35" s="4" t="s">
        <v>195</v>
      </c>
      <c r="E35" s="4" t="s">
        <v>216</v>
      </c>
      <c r="F35" s="4" t="s">
        <v>402</v>
      </c>
    </row>
    <row r="36" spans="2:6" x14ac:dyDescent="0.25">
      <c r="B36" s="4" t="s">
        <v>535</v>
      </c>
      <c r="C36" s="4" t="s">
        <v>504</v>
      </c>
      <c r="D36" s="4" t="s">
        <v>196</v>
      </c>
      <c r="E36" s="4" t="s">
        <v>216</v>
      </c>
      <c r="F36" s="4" t="s">
        <v>403</v>
      </c>
    </row>
    <row r="37" spans="2:6" x14ac:dyDescent="0.25">
      <c r="B37" s="4" t="s">
        <v>536</v>
      </c>
      <c r="C37" s="4" t="s">
        <v>504</v>
      </c>
      <c r="D37" s="4" t="s">
        <v>197</v>
      </c>
      <c r="E37" s="4" t="s">
        <v>216</v>
      </c>
      <c r="F37" s="4" t="s">
        <v>404</v>
      </c>
    </row>
    <row r="38" spans="2:6" x14ac:dyDescent="0.25">
      <c r="B38" s="4" t="s">
        <v>537</v>
      </c>
      <c r="C38" s="4" t="s">
        <v>504</v>
      </c>
      <c r="D38" s="4" t="s">
        <v>198</v>
      </c>
      <c r="E38" s="4" t="s">
        <v>216</v>
      </c>
      <c r="F38" s="4" t="s">
        <v>405</v>
      </c>
    </row>
    <row r="39" spans="2:6" x14ac:dyDescent="0.25">
      <c r="B39" s="4" t="s">
        <v>117</v>
      </c>
      <c r="C39" s="4" t="s">
        <v>504</v>
      </c>
      <c r="D39" s="4" t="s">
        <v>199</v>
      </c>
      <c r="E39" s="4" t="s">
        <v>216</v>
      </c>
      <c r="F39" s="4" t="s">
        <v>406</v>
      </c>
    </row>
    <row r="40" spans="2:6" x14ac:dyDescent="0.25">
      <c r="B40" s="4" t="s">
        <v>538</v>
      </c>
      <c r="C40" s="4" t="s">
        <v>504</v>
      </c>
      <c r="D40" s="4" t="s">
        <v>200</v>
      </c>
      <c r="E40" s="4" t="s">
        <v>216</v>
      </c>
      <c r="F40" s="4" t="s">
        <v>407</v>
      </c>
    </row>
    <row r="41" spans="2:6" x14ac:dyDescent="0.25">
      <c r="B41" s="4" t="s">
        <v>539</v>
      </c>
      <c r="C41" s="4" t="s">
        <v>504</v>
      </c>
      <c r="D41" s="4" t="s">
        <v>201</v>
      </c>
      <c r="E41" s="4" t="s">
        <v>216</v>
      </c>
      <c r="F41" s="4" t="s">
        <v>408</v>
      </c>
    </row>
    <row r="42" spans="2:6" x14ac:dyDescent="0.25">
      <c r="B42" s="4" t="s">
        <v>541</v>
      </c>
      <c r="C42" s="4" t="s">
        <v>504</v>
      </c>
      <c r="D42" s="4" t="s">
        <v>181</v>
      </c>
      <c r="E42" s="4" t="s">
        <v>217</v>
      </c>
      <c r="F42" s="4" t="s">
        <v>185</v>
      </c>
    </row>
    <row r="43" spans="2:6" x14ac:dyDescent="0.25">
      <c r="B43" s="4" t="s">
        <v>542</v>
      </c>
      <c r="C43" s="4" t="s">
        <v>504</v>
      </c>
      <c r="D43" s="4" t="s">
        <v>182</v>
      </c>
      <c r="E43" s="4" t="s">
        <v>217</v>
      </c>
      <c r="F43" s="4" t="s">
        <v>186</v>
      </c>
    </row>
    <row r="44" spans="2:6" x14ac:dyDescent="0.25">
      <c r="B44" s="4" t="s">
        <v>543</v>
      </c>
      <c r="C44" s="4" t="s">
        <v>504</v>
      </c>
      <c r="D44" s="4" t="s">
        <v>183</v>
      </c>
      <c r="E44" s="4" t="s">
        <v>217</v>
      </c>
      <c r="F44" s="4" t="s">
        <v>187</v>
      </c>
    </row>
    <row r="45" spans="2:6" x14ac:dyDescent="0.25">
      <c r="B45" s="4" t="s">
        <v>544</v>
      </c>
      <c r="C45" s="4" t="s">
        <v>504</v>
      </c>
      <c r="D45" s="4" t="s">
        <v>184</v>
      </c>
      <c r="E45" s="4" t="s">
        <v>217</v>
      </c>
      <c r="F45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86"/>
  <sheetViews>
    <sheetView showGridLines="0" workbookViewId="0">
      <selection activeCell="F23" sqref="F23"/>
    </sheetView>
  </sheetViews>
  <sheetFormatPr baseColWidth="10" defaultRowHeight="15" x14ac:dyDescent="0.25"/>
  <cols>
    <col min="1" max="1" width="36.140625" bestFit="1" customWidth="1"/>
    <col min="2" max="2" width="44.42578125" bestFit="1" customWidth="1"/>
    <col min="3" max="3" width="25.5703125" customWidth="1"/>
    <col min="5" max="5" width="19.85546875" bestFit="1" customWidth="1"/>
    <col min="6" max="6" width="13.5703125" customWidth="1"/>
  </cols>
  <sheetData>
    <row r="1" spans="1:6" x14ac:dyDescent="0.25">
      <c r="A1" t="s">
        <v>178</v>
      </c>
      <c r="C1" t="s">
        <v>177</v>
      </c>
    </row>
    <row r="2" spans="1:6" x14ac:dyDescent="0.25">
      <c r="B2" t="s">
        <v>176</v>
      </c>
      <c r="C2" t="s">
        <v>175</v>
      </c>
    </row>
    <row r="3" spans="1:6" x14ac:dyDescent="0.25">
      <c r="B3" t="s">
        <v>174</v>
      </c>
      <c r="C3" t="s">
        <v>173</v>
      </c>
    </row>
    <row r="4" spans="1:6" x14ac:dyDescent="0.25">
      <c r="B4" t="s">
        <v>172</v>
      </c>
      <c r="C4" t="s">
        <v>171</v>
      </c>
    </row>
    <row r="5" spans="1:6" x14ac:dyDescent="0.25">
      <c r="B5" t="s">
        <v>170</v>
      </c>
      <c r="C5" t="s">
        <v>169</v>
      </c>
    </row>
    <row r="6" spans="1:6" x14ac:dyDescent="0.25">
      <c r="B6" t="s">
        <v>168</v>
      </c>
      <c r="C6" t="s">
        <v>167</v>
      </c>
    </row>
    <row r="7" spans="1:6" x14ac:dyDescent="0.25">
      <c r="B7" t="s">
        <v>166</v>
      </c>
      <c r="C7" t="s">
        <v>165</v>
      </c>
    </row>
    <row r="8" spans="1:6" x14ac:dyDescent="0.25">
      <c r="B8" t="s">
        <v>164</v>
      </c>
      <c r="C8" t="s">
        <v>163</v>
      </c>
    </row>
    <row r="9" spans="1:6" x14ac:dyDescent="0.25">
      <c r="A9" t="s">
        <v>162</v>
      </c>
      <c r="C9" t="s">
        <v>161</v>
      </c>
    </row>
    <row r="10" spans="1:6" x14ac:dyDescent="0.25">
      <c r="B10" t="s">
        <v>160</v>
      </c>
      <c r="C10" t="s">
        <v>159</v>
      </c>
    </row>
    <row r="11" spans="1:6" x14ac:dyDescent="0.25">
      <c r="B11" t="s">
        <v>158</v>
      </c>
      <c r="C11" t="s">
        <v>157</v>
      </c>
    </row>
    <row r="12" spans="1:6" x14ac:dyDescent="0.25">
      <c r="B12" t="s">
        <v>156</v>
      </c>
      <c r="C12" t="s">
        <v>155</v>
      </c>
    </row>
    <row r="13" spans="1:6" x14ac:dyDescent="0.25">
      <c r="B13" t="s">
        <v>154</v>
      </c>
      <c r="C13" t="s">
        <v>153</v>
      </c>
    </row>
    <row r="14" spans="1:6" x14ac:dyDescent="0.25">
      <c r="B14" t="s">
        <v>152</v>
      </c>
      <c r="C14" t="s">
        <v>151</v>
      </c>
    </row>
    <row r="15" spans="1:6" x14ac:dyDescent="0.25">
      <c r="B15" t="s">
        <v>150</v>
      </c>
      <c r="C15" t="s">
        <v>149</v>
      </c>
    </row>
    <row r="16" spans="1:6" x14ac:dyDescent="0.25">
      <c r="B16" t="s">
        <v>148</v>
      </c>
      <c r="C16" t="s">
        <v>147</v>
      </c>
      <c r="E16" t="s">
        <v>527</v>
      </c>
      <c r="F16" t="s">
        <v>528</v>
      </c>
    </row>
    <row r="17" spans="1:6" x14ac:dyDescent="0.25">
      <c r="B17" t="s">
        <v>146</v>
      </c>
      <c r="C17" t="s">
        <v>145</v>
      </c>
      <c r="E17" t="s">
        <v>487</v>
      </c>
      <c r="F17" t="s">
        <v>506</v>
      </c>
    </row>
    <row r="18" spans="1:6" x14ac:dyDescent="0.25">
      <c r="B18" t="s">
        <v>144</v>
      </c>
      <c r="C18" t="s">
        <v>143</v>
      </c>
      <c r="E18" t="s">
        <v>497</v>
      </c>
      <c r="F18" t="s">
        <v>516</v>
      </c>
    </row>
    <row r="19" spans="1:6" x14ac:dyDescent="0.25">
      <c r="B19" t="s">
        <v>142</v>
      </c>
      <c r="C19" t="s">
        <v>141</v>
      </c>
      <c r="E19" t="s">
        <v>488</v>
      </c>
      <c r="F19" t="s">
        <v>507</v>
      </c>
    </row>
    <row r="20" spans="1:6" x14ac:dyDescent="0.25">
      <c r="B20" t="s">
        <v>140</v>
      </c>
      <c r="C20" t="s">
        <v>139</v>
      </c>
      <c r="E20" t="s">
        <v>498</v>
      </c>
      <c r="F20" t="s">
        <v>517</v>
      </c>
    </row>
    <row r="21" spans="1:6" x14ac:dyDescent="0.25">
      <c r="B21" t="s">
        <v>138</v>
      </c>
      <c r="C21" t="s">
        <v>137</v>
      </c>
      <c r="E21" t="s">
        <v>489</v>
      </c>
      <c r="F21" t="s">
        <v>508</v>
      </c>
    </row>
    <row r="22" spans="1:6" x14ac:dyDescent="0.25">
      <c r="B22" t="s">
        <v>136</v>
      </c>
      <c r="C22" t="s">
        <v>135</v>
      </c>
      <c r="E22" t="s">
        <v>524</v>
      </c>
      <c r="F22" t="s">
        <v>518</v>
      </c>
    </row>
    <row r="23" spans="1:6" x14ac:dyDescent="0.25">
      <c r="A23" t="s">
        <v>134</v>
      </c>
      <c r="C23" t="s">
        <v>133</v>
      </c>
      <c r="E23" t="s">
        <v>490</v>
      </c>
      <c r="F23" t="s">
        <v>509</v>
      </c>
    </row>
    <row r="24" spans="1:6" x14ac:dyDescent="0.25">
      <c r="B24" t="s">
        <v>132</v>
      </c>
      <c r="C24" t="s">
        <v>131</v>
      </c>
      <c r="E24" t="s">
        <v>499</v>
      </c>
      <c r="F24" t="s">
        <v>519</v>
      </c>
    </row>
    <row r="25" spans="1:6" x14ac:dyDescent="0.25">
      <c r="B25" t="s">
        <v>130</v>
      </c>
      <c r="C25" t="s">
        <v>129</v>
      </c>
      <c r="E25" t="s">
        <v>491</v>
      </c>
      <c r="F25" t="s">
        <v>510</v>
      </c>
    </row>
    <row r="26" spans="1:6" x14ac:dyDescent="0.25">
      <c r="B26" t="s">
        <v>128</v>
      </c>
      <c r="C26" t="s">
        <v>127</v>
      </c>
      <c r="E26" t="s">
        <v>500</v>
      </c>
      <c r="F26" t="s">
        <v>520</v>
      </c>
    </row>
    <row r="27" spans="1:6" x14ac:dyDescent="0.25">
      <c r="B27" t="s">
        <v>126</v>
      </c>
      <c r="C27" t="s">
        <v>125</v>
      </c>
      <c r="E27" t="s">
        <v>492</v>
      </c>
      <c r="F27" t="s">
        <v>511</v>
      </c>
    </row>
    <row r="28" spans="1:6" x14ac:dyDescent="0.25">
      <c r="B28" t="s">
        <v>124</v>
      </c>
      <c r="C28" t="s">
        <v>123</v>
      </c>
      <c r="E28" t="s">
        <v>501</v>
      </c>
      <c r="F28" t="s">
        <v>521</v>
      </c>
    </row>
    <row r="29" spans="1:6" x14ac:dyDescent="0.25">
      <c r="B29" t="s">
        <v>122</v>
      </c>
      <c r="C29" t="s">
        <v>121</v>
      </c>
      <c r="E29" t="s">
        <v>493</v>
      </c>
      <c r="F29" t="s">
        <v>512</v>
      </c>
    </row>
    <row r="30" spans="1:6" x14ac:dyDescent="0.25">
      <c r="B30" t="s">
        <v>120</v>
      </c>
      <c r="C30" t="s">
        <v>119</v>
      </c>
      <c r="E30" t="s">
        <v>502</v>
      </c>
      <c r="F30" t="s">
        <v>522</v>
      </c>
    </row>
    <row r="31" spans="1:6" x14ac:dyDescent="0.25">
      <c r="B31" t="s">
        <v>118</v>
      </c>
      <c r="C31" t="s">
        <v>117</v>
      </c>
      <c r="E31" t="s">
        <v>494</v>
      </c>
      <c r="F31" t="s">
        <v>513</v>
      </c>
    </row>
    <row r="32" spans="1:6" x14ac:dyDescent="0.25">
      <c r="B32" t="s">
        <v>116</v>
      </c>
      <c r="C32" t="s">
        <v>115</v>
      </c>
      <c r="E32" t="s">
        <v>503</v>
      </c>
      <c r="F32" t="s">
        <v>523</v>
      </c>
    </row>
    <row r="33" spans="1:6" x14ac:dyDescent="0.25">
      <c r="B33" t="s">
        <v>114</v>
      </c>
      <c r="C33" t="s">
        <v>113</v>
      </c>
      <c r="E33" t="s">
        <v>495</v>
      </c>
      <c r="F33" t="s">
        <v>514</v>
      </c>
    </row>
    <row r="34" spans="1:6" x14ac:dyDescent="0.25">
      <c r="B34" t="s">
        <v>112</v>
      </c>
      <c r="C34" t="s">
        <v>111</v>
      </c>
      <c r="E34" t="s">
        <v>504</v>
      </c>
      <c r="F34" t="s">
        <v>525</v>
      </c>
    </row>
    <row r="35" spans="1:6" x14ac:dyDescent="0.25">
      <c r="B35" t="s">
        <v>110</v>
      </c>
      <c r="C35" t="s">
        <v>109</v>
      </c>
      <c r="E35" t="s">
        <v>496</v>
      </c>
      <c r="F35" t="s">
        <v>515</v>
      </c>
    </row>
    <row r="36" spans="1:6" x14ac:dyDescent="0.25">
      <c r="A36" t="s">
        <v>108</v>
      </c>
      <c r="C36" t="s">
        <v>107</v>
      </c>
      <c r="E36" t="s">
        <v>505</v>
      </c>
      <c r="F36" t="s">
        <v>526</v>
      </c>
    </row>
    <row r="37" spans="1:6" x14ac:dyDescent="0.25">
      <c r="B37" t="s">
        <v>106</v>
      </c>
      <c r="C37" t="s">
        <v>105</v>
      </c>
    </row>
    <row r="38" spans="1:6" x14ac:dyDescent="0.25">
      <c r="B38" t="s">
        <v>104</v>
      </c>
      <c r="C38" t="s">
        <v>103</v>
      </c>
    </row>
    <row r="39" spans="1:6" x14ac:dyDescent="0.25">
      <c r="B39" t="s">
        <v>102</v>
      </c>
      <c r="C39" t="s">
        <v>101</v>
      </c>
    </row>
    <row r="40" spans="1:6" x14ac:dyDescent="0.25">
      <c r="B40" t="s">
        <v>100</v>
      </c>
      <c r="C40" t="s">
        <v>99</v>
      </c>
    </row>
    <row r="41" spans="1:6" x14ac:dyDescent="0.25">
      <c r="B41" t="s">
        <v>98</v>
      </c>
      <c r="C41" t="s">
        <v>97</v>
      </c>
    </row>
    <row r="42" spans="1:6" x14ac:dyDescent="0.25">
      <c r="B42" t="s">
        <v>96</v>
      </c>
      <c r="C42" t="s">
        <v>95</v>
      </c>
    </row>
    <row r="43" spans="1:6" x14ac:dyDescent="0.25">
      <c r="B43" t="s">
        <v>94</v>
      </c>
      <c r="C43" t="s">
        <v>93</v>
      </c>
    </row>
    <row r="44" spans="1:6" x14ac:dyDescent="0.25">
      <c r="B44" t="s">
        <v>92</v>
      </c>
      <c r="C44" t="s">
        <v>91</v>
      </c>
    </row>
    <row r="45" spans="1:6" x14ac:dyDescent="0.25">
      <c r="B45" t="s">
        <v>90</v>
      </c>
      <c r="C45" t="s">
        <v>89</v>
      </c>
    </row>
    <row r="46" spans="1:6" x14ac:dyDescent="0.25">
      <c r="B46" t="s">
        <v>88</v>
      </c>
      <c r="C46" t="s">
        <v>87</v>
      </c>
    </row>
    <row r="47" spans="1:6" x14ac:dyDescent="0.25">
      <c r="B47" t="s">
        <v>86</v>
      </c>
      <c r="C47" t="s">
        <v>85</v>
      </c>
    </row>
    <row r="48" spans="1:6" x14ac:dyDescent="0.25">
      <c r="A48" t="s">
        <v>84</v>
      </c>
      <c r="C48" t="s">
        <v>83</v>
      </c>
    </row>
    <row r="49" spans="1:3" x14ac:dyDescent="0.25">
      <c r="B49" t="s">
        <v>82</v>
      </c>
      <c r="C49" t="s">
        <v>81</v>
      </c>
    </row>
    <row r="50" spans="1:3" x14ac:dyDescent="0.25">
      <c r="B50" t="s">
        <v>80</v>
      </c>
      <c r="C50" t="s">
        <v>79</v>
      </c>
    </row>
    <row r="51" spans="1:3" x14ac:dyDescent="0.25">
      <c r="B51" t="s">
        <v>78</v>
      </c>
      <c r="C51" t="s">
        <v>77</v>
      </c>
    </row>
    <row r="52" spans="1:3" x14ac:dyDescent="0.25">
      <c r="A52" t="s">
        <v>76</v>
      </c>
      <c r="C52" t="s">
        <v>75</v>
      </c>
    </row>
    <row r="53" spans="1:3" x14ac:dyDescent="0.25">
      <c r="B53" t="s">
        <v>74</v>
      </c>
      <c r="C53" t="s">
        <v>73</v>
      </c>
    </row>
    <row r="54" spans="1:3" x14ac:dyDescent="0.25">
      <c r="B54" t="s">
        <v>72</v>
      </c>
      <c r="C54" t="s">
        <v>71</v>
      </c>
    </row>
    <row r="55" spans="1:3" x14ac:dyDescent="0.25">
      <c r="B55" t="s">
        <v>70</v>
      </c>
      <c r="C55" t="s">
        <v>69</v>
      </c>
    </row>
    <row r="56" spans="1:3" x14ac:dyDescent="0.25">
      <c r="B56" t="s">
        <v>68</v>
      </c>
      <c r="C56" t="s">
        <v>67</v>
      </c>
    </row>
    <row r="57" spans="1:3" x14ac:dyDescent="0.25">
      <c r="B57" t="s">
        <v>66</v>
      </c>
      <c r="C57" t="s">
        <v>65</v>
      </c>
    </row>
    <row r="58" spans="1:3" x14ac:dyDescent="0.25">
      <c r="B58" t="s">
        <v>64</v>
      </c>
      <c r="C58" t="s">
        <v>63</v>
      </c>
    </row>
    <row r="59" spans="1:3" x14ac:dyDescent="0.25">
      <c r="A59" t="s">
        <v>62</v>
      </c>
      <c r="C59" t="s">
        <v>61</v>
      </c>
    </row>
    <row r="60" spans="1:3" x14ac:dyDescent="0.25">
      <c r="B60" t="s">
        <v>60</v>
      </c>
      <c r="C60" t="s">
        <v>59</v>
      </c>
    </row>
    <row r="61" spans="1:3" x14ac:dyDescent="0.25">
      <c r="A61" t="s">
        <v>58</v>
      </c>
      <c r="C61" t="s">
        <v>57</v>
      </c>
    </row>
    <row r="62" spans="1:3" x14ac:dyDescent="0.25">
      <c r="B62" t="s">
        <v>56</v>
      </c>
      <c r="C62" t="s">
        <v>55</v>
      </c>
    </row>
    <row r="63" spans="1:3" x14ac:dyDescent="0.25">
      <c r="B63" t="s">
        <v>54</v>
      </c>
      <c r="C63" t="s">
        <v>53</v>
      </c>
    </row>
    <row r="64" spans="1:3" x14ac:dyDescent="0.25">
      <c r="B64" t="s">
        <v>52</v>
      </c>
      <c r="C64" t="s">
        <v>51</v>
      </c>
    </row>
    <row r="65" spans="1:3" x14ac:dyDescent="0.25">
      <c r="B65" t="s">
        <v>50</v>
      </c>
      <c r="C65" t="s">
        <v>49</v>
      </c>
    </row>
    <row r="66" spans="1:3" x14ac:dyDescent="0.25">
      <c r="B66" t="s">
        <v>48</v>
      </c>
      <c r="C66" t="s">
        <v>47</v>
      </c>
    </row>
    <row r="67" spans="1:3" x14ac:dyDescent="0.25">
      <c r="B67" t="s">
        <v>46</v>
      </c>
      <c r="C67" t="s">
        <v>45</v>
      </c>
    </row>
    <row r="68" spans="1:3" x14ac:dyDescent="0.25">
      <c r="B68" t="s">
        <v>44</v>
      </c>
      <c r="C68" t="s">
        <v>43</v>
      </c>
    </row>
    <row r="69" spans="1:3" x14ac:dyDescent="0.25">
      <c r="B69" t="s">
        <v>42</v>
      </c>
      <c r="C69" t="s">
        <v>41</v>
      </c>
    </row>
    <row r="70" spans="1:3" x14ac:dyDescent="0.25">
      <c r="B70" t="s">
        <v>40</v>
      </c>
      <c r="C70" t="s">
        <v>39</v>
      </c>
    </row>
    <row r="71" spans="1:3" x14ac:dyDescent="0.25">
      <c r="B71" t="s">
        <v>38</v>
      </c>
      <c r="C71" t="s">
        <v>37</v>
      </c>
    </row>
    <row r="72" spans="1:3" x14ac:dyDescent="0.25">
      <c r="A72" t="s">
        <v>36</v>
      </c>
      <c r="C72" t="s">
        <v>35</v>
      </c>
    </row>
    <row r="73" spans="1:3" x14ac:dyDescent="0.25">
      <c r="B73" t="s">
        <v>34</v>
      </c>
      <c r="C73" t="s">
        <v>33</v>
      </c>
    </row>
    <row r="74" spans="1:3" x14ac:dyDescent="0.25">
      <c r="B74" t="s">
        <v>32</v>
      </c>
      <c r="C74" t="s">
        <v>31</v>
      </c>
    </row>
    <row r="75" spans="1:3" x14ac:dyDescent="0.25">
      <c r="B75" t="s">
        <v>30</v>
      </c>
      <c r="C75" t="s">
        <v>29</v>
      </c>
    </row>
    <row r="76" spans="1:3" x14ac:dyDescent="0.25">
      <c r="B76" t="s">
        <v>28</v>
      </c>
      <c r="C76" t="s">
        <v>27</v>
      </c>
    </row>
    <row r="77" spans="1:3" x14ac:dyDescent="0.25">
      <c r="A77" t="s">
        <v>26</v>
      </c>
      <c r="C77" t="s">
        <v>25</v>
      </c>
    </row>
    <row r="78" spans="1:3" x14ac:dyDescent="0.25">
      <c r="B78" t="s">
        <v>24</v>
      </c>
      <c r="C78" t="s">
        <v>23</v>
      </c>
    </row>
    <row r="79" spans="1:3" x14ac:dyDescent="0.25">
      <c r="B79" t="s">
        <v>22</v>
      </c>
      <c r="C79" t="s">
        <v>21</v>
      </c>
    </row>
    <row r="80" spans="1:3" x14ac:dyDescent="0.25">
      <c r="B80" t="s">
        <v>20</v>
      </c>
      <c r="C80" t="s">
        <v>19</v>
      </c>
    </row>
    <row r="81" spans="1:3" x14ac:dyDescent="0.25">
      <c r="B81" t="s">
        <v>18</v>
      </c>
      <c r="C81" t="s">
        <v>17</v>
      </c>
    </row>
    <row r="82" spans="1:3" x14ac:dyDescent="0.25">
      <c r="B82" t="s">
        <v>16</v>
      </c>
      <c r="C82" t="s">
        <v>15</v>
      </c>
    </row>
    <row r="83" spans="1:3" x14ac:dyDescent="0.25">
      <c r="A83" t="s">
        <v>14</v>
      </c>
      <c r="C83" t="s">
        <v>13</v>
      </c>
    </row>
    <row r="84" spans="1:3" x14ac:dyDescent="0.25">
      <c r="B84" t="s">
        <v>12</v>
      </c>
      <c r="C84" t="s">
        <v>11</v>
      </c>
    </row>
    <row r="85" spans="1:3" x14ac:dyDescent="0.25">
      <c r="B85" t="s">
        <v>10</v>
      </c>
      <c r="C85" t="s">
        <v>9</v>
      </c>
    </row>
    <row r="86" spans="1:3" x14ac:dyDescent="0.25">
      <c r="B86" t="s">
        <v>8</v>
      </c>
      <c r="C86" t="s">
        <v>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2"/>
  <sheetViews>
    <sheetView workbookViewId="0">
      <selection activeCell="F17" sqref="F17"/>
    </sheetView>
  </sheetViews>
  <sheetFormatPr baseColWidth="10" defaultRowHeight="15" x14ac:dyDescent="0.25"/>
  <cols>
    <col min="1" max="1" width="10.28515625" bestFit="1" customWidth="1"/>
    <col min="2" max="2" width="13.5703125" bestFit="1" customWidth="1"/>
  </cols>
  <sheetData>
    <row r="1" spans="1:3" x14ac:dyDescent="0.25">
      <c r="A1" t="s">
        <v>194</v>
      </c>
      <c r="B1" t="s">
        <v>548</v>
      </c>
      <c r="C1" t="s">
        <v>402</v>
      </c>
    </row>
    <row r="2" spans="1:3" x14ac:dyDescent="0.25">
      <c r="A2" t="s">
        <v>545</v>
      </c>
      <c r="B2" t="s">
        <v>549</v>
      </c>
    </row>
    <row r="3" spans="1:3" x14ac:dyDescent="0.25">
      <c r="A3" t="s">
        <v>546</v>
      </c>
      <c r="B3" t="s">
        <v>550</v>
      </c>
    </row>
    <row r="4" spans="1:3" x14ac:dyDescent="0.25">
      <c r="A4" t="s">
        <v>547</v>
      </c>
      <c r="B4" t="s">
        <v>551</v>
      </c>
    </row>
    <row r="5" spans="1:3" x14ac:dyDescent="0.25">
      <c r="B5" t="s">
        <v>552</v>
      </c>
      <c r="C5" t="s">
        <v>554</v>
      </c>
    </row>
    <row r="6" spans="1:3" x14ac:dyDescent="0.25">
      <c r="B6" t="s">
        <v>553</v>
      </c>
    </row>
    <row r="7" spans="1:3" x14ac:dyDescent="0.25">
      <c r="B7" t="s">
        <v>555</v>
      </c>
    </row>
    <row r="8" spans="1:3" x14ac:dyDescent="0.25">
      <c r="B8" t="s">
        <v>556</v>
      </c>
    </row>
    <row r="9" spans="1:3" x14ac:dyDescent="0.25">
      <c r="B9" t="s">
        <v>557</v>
      </c>
    </row>
    <row r="10" spans="1:3" x14ac:dyDescent="0.25">
      <c r="B10" t="s">
        <v>558</v>
      </c>
    </row>
    <row r="11" spans="1:3" x14ac:dyDescent="0.25">
      <c r="B11" t="s">
        <v>560</v>
      </c>
    </row>
    <row r="12" spans="1:3" x14ac:dyDescent="0.25">
      <c r="B12" t="s">
        <v>559</v>
      </c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listado campos base</vt:lpstr>
      <vt:lpstr>Notas desarrollo</vt:lpstr>
      <vt:lpstr>frmDatosCotizacion</vt:lpstr>
      <vt:lpstr>frmTransportadores</vt:lpstr>
      <vt:lpstr>frmProducto</vt:lpstr>
      <vt:lpstr>frmEmpleado</vt:lpstr>
      <vt:lpstr>frmDatosCompletosProveedor</vt:lpstr>
      <vt:lpstr>frmContactoProveedor</vt:lpstr>
      <vt:lpstr>frmContactoCliente</vt:lpstr>
      <vt:lpstr>frmDatosCompletosCliente</vt:lpstr>
      <vt:lpstr>Controles formulario original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2018-12-11T20:58:47Z</dcterms:created>
  <dcterms:modified xsi:type="dcterms:W3CDTF">2018-12-22T18:54:07Z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821114b9-2bd0-45af-ae2b-f418ffb2bd18</vt:lpwstr>
  </property>
</Properties>
</file>