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/>
  </bookViews>
  <sheets>
    <sheet name="frmDatosClienteFactura" sheetId="1" r:id="rId1"/>
    <sheet name="frmDatosCompletosCliente" sheetId="4" r:id="rId2"/>
    <sheet name="listado campos base" sheetId="3" r:id="rId3"/>
    <sheet name="Controles formulario original" sheetId="2" r:id="rId4"/>
    <sheet name="Hoja5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3" l="1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D2" i="3"/>
  <c r="B2" i="3" s="1"/>
  <c r="D3" i="3"/>
  <c r="B3" i="3" s="1"/>
  <c r="D4" i="3"/>
  <c r="B4" i="3" s="1"/>
  <c r="D5" i="3"/>
  <c r="B5" i="3" s="1"/>
  <c r="D6" i="3"/>
  <c r="B6" i="3" s="1"/>
  <c r="D7" i="3"/>
  <c r="B7" i="3" s="1"/>
  <c r="D8" i="3"/>
  <c r="B8" i="3" s="1"/>
  <c r="D9" i="3"/>
  <c r="B9" i="3" s="1"/>
  <c r="D10" i="3"/>
  <c r="B10" i="3" s="1"/>
  <c r="D11" i="3"/>
  <c r="B11" i="3" s="1"/>
  <c r="D12" i="3"/>
  <c r="B12" i="3" s="1"/>
  <c r="D13" i="3"/>
  <c r="B13" i="3" s="1"/>
  <c r="D14" i="3"/>
  <c r="B14" i="3" s="1"/>
  <c r="D15" i="3"/>
  <c r="B15" i="3" s="1"/>
  <c r="D16" i="3"/>
  <c r="B16" i="3" s="1"/>
  <c r="D17" i="3"/>
  <c r="B17" i="3" s="1"/>
  <c r="D18" i="3"/>
  <c r="B18" i="3" s="1"/>
  <c r="D19" i="3"/>
  <c r="B19" i="3" s="1"/>
  <c r="D20" i="3"/>
  <c r="B20" i="3" s="1"/>
  <c r="D21" i="3"/>
  <c r="B21" i="3" s="1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</calcChain>
</file>

<file path=xl/sharedStrings.xml><?xml version="1.0" encoding="utf-8"?>
<sst xmlns="http://schemas.openxmlformats.org/spreadsheetml/2006/main" count="970" uniqueCount="568">
  <si>
    <t>Nombre control</t>
  </si>
  <si>
    <t>Tipo</t>
  </si>
  <si>
    <t>Campo tabla</t>
  </si>
  <si>
    <t>Propiedad clase</t>
  </si>
  <si>
    <t>cboNombreContacto</t>
  </si>
  <si>
    <t>ComboBox</t>
  </si>
  <si>
    <t>nombre_contacto</t>
  </si>
  <si>
    <t>NombreContacto</t>
  </si>
  <si>
    <t>lstResumenCliente1</t>
  </si>
  <si>
    <t>resumencliente1_amarillo ListBox</t>
  </si>
  <si>
    <t>lstNumCotPers</t>
  </si>
  <si>
    <t>numcotpers_amarillo ListBox</t>
  </si>
  <si>
    <t>lstFechaCliente</t>
  </si>
  <si>
    <t>fechacliente_amarillo ListBox</t>
  </si>
  <si>
    <t>fraResumenPedidocliente</t>
  </si>
  <si>
    <t>resumenpedidocliente_amarillo Frame</t>
  </si>
  <si>
    <t>lstResumenPedido</t>
  </si>
  <si>
    <t>resumenpedido_amarillo ListBox</t>
  </si>
  <si>
    <t>lstCodigosPedido</t>
  </si>
  <si>
    <t>codigospedido_amarillo ListBox</t>
  </si>
  <si>
    <t>cboItemPedido1</t>
  </si>
  <si>
    <t>itempedido1_amarillo ComboBox</t>
  </si>
  <si>
    <t>cmdIr</t>
  </si>
  <si>
    <t>ir_amarillo CommandButton</t>
  </si>
  <si>
    <t>cboItemPedido</t>
  </si>
  <si>
    <t>itempedido_amarillo ComboBox</t>
  </si>
  <si>
    <t>fraResumen</t>
  </si>
  <si>
    <t>resumen_amarillo Frame</t>
  </si>
  <si>
    <t>cmdImprimir</t>
  </si>
  <si>
    <t>imprimir_amarillo CommandButton</t>
  </si>
  <si>
    <t>cmdEditacot</t>
  </si>
  <si>
    <t>editacot_amarillo CommandButton</t>
  </si>
  <si>
    <t>cboImpresion</t>
  </si>
  <si>
    <t>impresion_amarillo ComboBox</t>
  </si>
  <si>
    <t>cmdGuardacot</t>
  </si>
  <si>
    <t>guardacot_amarillo CommandButton</t>
  </si>
  <si>
    <t>fraBotones</t>
  </si>
  <si>
    <t>botones_amarillo Frame</t>
  </si>
  <si>
    <t>txtPendienteFactura</t>
  </si>
  <si>
    <t>pendientefactura_amarillo TextBox</t>
  </si>
  <si>
    <t>txtNotas</t>
  </si>
  <si>
    <t>notas_amarillo TextBox</t>
  </si>
  <si>
    <t>txtCruzaConFv</t>
  </si>
  <si>
    <t>cruzaconfv_amarillo TextBox</t>
  </si>
  <si>
    <t>lstFechaElaboracion</t>
  </si>
  <si>
    <t>ListBox1 ListBox</t>
  </si>
  <si>
    <t>txtRevisado</t>
  </si>
  <si>
    <t>revisado_amarillo TextBox</t>
  </si>
  <si>
    <t>txtAuxiliarBodegaResponsable</t>
  </si>
  <si>
    <t>auxiliarbodegaresponsable_amarillo TextBox</t>
  </si>
  <si>
    <t>txtConsecutivoCotizado1</t>
  </si>
  <si>
    <t>consecutivocotizado1_amarillo TextBox</t>
  </si>
  <si>
    <t>lstFecha</t>
  </si>
  <si>
    <t>fecha_amarillo ListBox</t>
  </si>
  <si>
    <t>txtColorAsesora</t>
  </si>
  <si>
    <t>colorasesora_amarillo TextBox</t>
  </si>
  <si>
    <t>txtAsesoraResponsable</t>
  </si>
  <si>
    <t>asesoraresponsable_amarillo TextBox</t>
  </si>
  <si>
    <t>fraInfop</t>
  </si>
  <si>
    <t>infop_amarillo Frame</t>
  </si>
  <si>
    <t>lstCodigosProductos</t>
  </si>
  <si>
    <t>codigosproductos_amarillo ListBox</t>
  </si>
  <si>
    <t>fraListaDeCodigos</t>
  </si>
  <si>
    <t>listadecodigos_amarillo Frame</t>
  </si>
  <si>
    <t>cmdEditaritem</t>
  </si>
  <si>
    <t>editaritem_amarillo CommandButton</t>
  </si>
  <si>
    <t>txtSubtotal</t>
  </si>
  <si>
    <t>subtotal_amarillo TextBox</t>
  </si>
  <si>
    <t>cmdAgregaraPedido</t>
  </si>
  <si>
    <t>agregarapedido_amarillo CommandButton</t>
  </si>
  <si>
    <t>txtSolicitadoMetros1</t>
  </si>
  <si>
    <t>solicitadometros1_amarillo TextBox</t>
  </si>
  <si>
    <t>txtSolicitadoUnidades1</t>
  </si>
  <si>
    <t>solicitadounidades1_amarillo TextBox</t>
  </si>
  <si>
    <t>txtSidecimal</t>
  </si>
  <si>
    <t>sidecimal_amarillo TextBox</t>
  </si>
  <si>
    <t>fraPedido</t>
  </si>
  <si>
    <t>pedido_amarillo Frame</t>
  </si>
  <si>
    <t>txtPedir</t>
  </si>
  <si>
    <t>pedir_amarillo TextBox</t>
  </si>
  <si>
    <t>txtStock</t>
  </si>
  <si>
    <t>stock_amarillo TextBox</t>
  </si>
  <si>
    <t>txtDisponible</t>
  </si>
  <si>
    <t>disponible_amarillo TextBox</t>
  </si>
  <si>
    <t>fraInventario</t>
  </si>
  <si>
    <t>inventario_amarillo Frame</t>
  </si>
  <si>
    <t>txtPrecioUnitario</t>
  </si>
  <si>
    <t>preciounitario_amarillo TextBox</t>
  </si>
  <si>
    <t>cboCantidad</t>
  </si>
  <si>
    <t>cantidad_amarillo ComboBox</t>
  </si>
  <si>
    <t>cboMedida</t>
  </si>
  <si>
    <t>medida_amarillo Combobox</t>
  </si>
  <si>
    <t>cboColor</t>
  </si>
  <si>
    <t>color_amarillo ComboBox</t>
  </si>
  <si>
    <t>cboProducto</t>
  </si>
  <si>
    <t>producto_amarillo ComboBox</t>
  </si>
  <si>
    <t>cboContacto</t>
  </si>
  <si>
    <t>contacto_amarillo ComboBox</t>
  </si>
  <si>
    <t>txtContacto1</t>
  </si>
  <si>
    <t>contacto1_amarillo TextBox</t>
  </si>
  <si>
    <t>cboCodigoProveedor</t>
  </si>
  <si>
    <t>codigoproveedor_amarillo ComboBox</t>
  </si>
  <si>
    <t>cboCodigoProducto1</t>
  </si>
  <si>
    <t>codigoproducto1_amarillo ComboBox</t>
  </si>
  <si>
    <t>cmdBuscaCodigo</t>
  </si>
  <si>
    <t>buscacodigo_amarillo CommandButton</t>
  </si>
  <si>
    <t>cboCodigoProducto</t>
  </si>
  <si>
    <t>codigoproducto_amarillo ComboBox</t>
  </si>
  <si>
    <t>fraSelectorProducto</t>
  </si>
  <si>
    <t>selectorproducto_amarillo Frame</t>
  </si>
  <si>
    <t>txtSaldoCupo</t>
  </si>
  <si>
    <t>saldocupo_amarillo TextBox</t>
  </si>
  <si>
    <t>txtSoloIva</t>
  </si>
  <si>
    <t>soloiva_amarillo TextBox</t>
  </si>
  <si>
    <t>txtCreditoSolicitado</t>
  </si>
  <si>
    <t>creditosolicitado_amarillo TextBox</t>
  </si>
  <si>
    <t>cboInteres</t>
  </si>
  <si>
    <t>interes_amarillo ComboBox</t>
  </si>
  <si>
    <t>txtCupo</t>
  </si>
  <si>
    <t>cupo_amarillo TextBox</t>
  </si>
  <si>
    <t>cboNumeroDeDias</t>
  </si>
  <si>
    <t>numerodedias_amarillo ComboBox</t>
  </si>
  <si>
    <t>cmdSiguienteCondiciones</t>
  </si>
  <si>
    <t>siguientecondiciones_amarillo CommandButton</t>
  </si>
  <si>
    <t>cboPrioridad</t>
  </si>
  <si>
    <t>prioridad_amarillo ComboBox</t>
  </si>
  <si>
    <t>cboPorcentaje</t>
  </si>
  <si>
    <t>porcentaje_amarillo ComboBox</t>
  </si>
  <si>
    <t>chkIva</t>
  </si>
  <si>
    <t>iva_amarillo CheckBox</t>
  </si>
  <si>
    <t>cboCategoria</t>
  </si>
  <si>
    <t>categoria_amarillo ComboBox</t>
  </si>
  <si>
    <t>cboFormadePago</t>
  </si>
  <si>
    <t>formadepago_amarillo ComboBox</t>
  </si>
  <si>
    <t>fraCondiciones</t>
  </si>
  <si>
    <t>condiciones_amarillo Frame</t>
  </si>
  <si>
    <t>cmdAtras</t>
  </si>
  <si>
    <t>atras_amarillo CommandButton</t>
  </si>
  <si>
    <t>txtFiador</t>
  </si>
  <si>
    <t>fiador_amarillo TextBox</t>
  </si>
  <si>
    <t>cboNicho</t>
  </si>
  <si>
    <t>nicho_amarillo ComboBox</t>
  </si>
  <si>
    <t>cboBarrio</t>
  </si>
  <si>
    <t>barrio_amarillo ComboBox</t>
  </si>
  <si>
    <t>cboZona</t>
  </si>
  <si>
    <t>zona_amarillo ComboBox</t>
  </si>
  <si>
    <t>cboCiudad</t>
  </si>
  <si>
    <t>ciudad_amarillo ComboBox</t>
  </si>
  <si>
    <t>txtCodigoCliente</t>
  </si>
  <si>
    <t>codigocliente_amarillo TextBox</t>
  </si>
  <si>
    <t>txtWhatsapp</t>
  </si>
  <si>
    <t>WhatsApp_amarillo TextBox</t>
  </si>
  <si>
    <t>txtNitRut</t>
  </si>
  <si>
    <t>nitrut_amarillo TextBox</t>
  </si>
  <si>
    <t>txtCc</t>
  </si>
  <si>
    <t>CC_amarillo TextBox</t>
  </si>
  <si>
    <t>txtRazonSocial</t>
  </si>
  <si>
    <t>razonsocial_amarillo TextBox</t>
  </si>
  <si>
    <t>txtDireccionEnvio</t>
  </si>
  <si>
    <t xml:space="preserve">direccionenvio_amarillo TextBox </t>
  </si>
  <si>
    <t>txtNombre</t>
  </si>
  <si>
    <t>nombre_amarillo TextBox</t>
  </si>
  <si>
    <t>fraCliente</t>
  </si>
  <si>
    <t>cliente_amarillo Frame</t>
  </si>
  <si>
    <t>lstAmarilloResumen</t>
  </si>
  <si>
    <t>amarillo_resumen ListBox</t>
  </si>
  <si>
    <t>cmdSiguienteBuscador</t>
  </si>
  <si>
    <t>siguientebuscador_amarillo CommandButton</t>
  </si>
  <si>
    <t>cmdSiguienteBuscador1</t>
  </si>
  <si>
    <t>siguientebuscador1_amarillo CommandButton</t>
  </si>
  <si>
    <t>cboComodinResumen</t>
  </si>
  <si>
    <t>comodinresumen_amarillo Combobox</t>
  </si>
  <si>
    <t>cboUsuario1</t>
  </si>
  <si>
    <t>usuario1_amarillo ComboBox</t>
  </si>
  <si>
    <t>cboBuscaCotizacion</t>
  </si>
  <si>
    <t>buscacotizacion_amarillo ComboBox</t>
  </si>
  <si>
    <t>cboBuscaCliente</t>
  </si>
  <si>
    <t>buscacliente_amarillo ComboBox</t>
  </si>
  <si>
    <t>fraBuscador</t>
  </si>
  <si>
    <t>buscador_amarillo Frame</t>
  </si>
  <si>
    <t>TextBox</t>
  </si>
  <si>
    <t>razon_social</t>
  </si>
  <si>
    <t>RazonSocial</t>
  </si>
  <si>
    <t>telefono</t>
  </si>
  <si>
    <t>direccion</t>
  </si>
  <si>
    <t>barrio</t>
  </si>
  <si>
    <t>ciudad</t>
  </si>
  <si>
    <t>cboTelefono</t>
  </si>
  <si>
    <t>cboDireccion</t>
  </si>
  <si>
    <t>Telefono</t>
  </si>
  <si>
    <t>Direccion</t>
  </si>
  <si>
    <t>Barrio</t>
  </si>
  <si>
    <t>Ciudad</t>
  </si>
  <si>
    <t>Tabla</t>
  </si>
  <si>
    <t>id</t>
  </si>
  <si>
    <t>tipo_documento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</si>
  <si>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</si>
  <si>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</si>
  <si>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</si>
  <si>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</si>
  <si>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</si>
  <si>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</si>
  <si>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</si>
  <si>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</si>
  <si>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</si>
  <si>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</si>
  <si>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private pId as integer</t>
  </si>
  <si>
    <t>private pTipoDocumento as string</t>
  </si>
  <si>
    <t>private pDocumento as string</t>
  </si>
  <si>
    <t>private pNombreContacto as string</t>
  </si>
  <si>
    <t>private pNit as string</t>
  </si>
  <si>
    <t>private pRazonSocial as string</t>
  </si>
  <si>
    <t>private pComercio as string</t>
  </si>
  <si>
    <t>private pNicho as string</t>
  </si>
  <si>
    <t>private pSegmentacion as string</t>
  </si>
  <si>
    <t>private pProducto as string</t>
  </si>
  <si>
    <t>private pDistribucion as string</t>
  </si>
  <si>
    <t>private pCupo as currency</t>
  </si>
  <si>
    <t>private pCredito as currency</t>
  </si>
  <si>
    <t>private pSaldo as currency</t>
  </si>
  <si>
    <t>clientes</t>
  </si>
  <si>
    <t>contacto_cliente</t>
  </si>
  <si>
    <t>id_cliente</t>
  </si>
  <si>
    <t>private pIdCliente as integer</t>
  </si>
  <si>
    <t>private pTelefono as string</t>
  </si>
  <si>
    <t>private pDireccion as string</t>
  </si>
  <si>
    <t>private pBarrio as string</t>
  </si>
  <si>
    <t>private pCiudad as string</t>
  </si>
  <si>
    <t>nombre</t>
  </si>
  <si>
    <t>forma_pago</t>
  </si>
  <si>
    <t>proveedores</t>
  </si>
  <si>
    <t>private pNombre as string</t>
  </si>
  <si>
    <t>private pFormaPago as string</t>
  </si>
  <si>
    <t>id_proveedor</t>
  </si>
  <si>
    <t>contacto_proveedor</t>
  </si>
  <si>
    <t>private pIdproveedor as integer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</si>
  <si>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</si>
  <si>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</si>
  <si>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</si>
  <si>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</si>
  <si>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</si>
  <si>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</si>
  <si>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</si>
  <si>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</si>
  <si>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venta_iva</t>
  </si>
  <si>
    <t>categoria</t>
  </si>
  <si>
    <t>disponible</t>
  </si>
  <si>
    <t>stock</t>
  </si>
  <si>
    <t>pedir</t>
  </si>
  <si>
    <t>productos</t>
  </si>
  <si>
    <t>private pIdProveedor as integer</t>
  </si>
  <si>
    <t>private pColor as string</t>
  </si>
  <si>
    <t>private pMedida as string</t>
  </si>
  <si>
    <t>private pCantidad as double</t>
  </si>
  <si>
    <t>private pPresentacion as string</t>
  </si>
  <si>
    <t>private pCosto as currency</t>
  </si>
  <si>
    <t>private pUtilidad as double</t>
  </si>
  <si>
    <t>private pVenta as currency</t>
  </si>
  <si>
    <t>private pIva as double</t>
  </si>
  <si>
    <t>private pVentaIva as currency</t>
  </si>
  <si>
    <t>private pCategoria as string</t>
  </si>
  <si>
    <t>private pDisponible as double</t>
  </si>
  <si>
    <t>private pStock as double</t>
  </si>
  <si>
    <t>private pPedir as double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</si>
  <si>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</si>
  <si>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</si>
  <si>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</si>
  <si>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</si>
  <si>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</si>
  <si>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</si>
  <si>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</si>
  <si>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</si>
  <si>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detalles_pedido</t>
  </si>
  <si>
    <t>private pIdPedido as integer</t>
  </si>
  <si>
    <t>private pIdProducto as integer</t>
  </si>
  <si>
    <t>private pPrecio as currency</t>
  </si>
  <si>
    <t>private pDescuento as currency</t>
  </si>
  <si>
    <t>private pIdSituacion as integer</t>
  </si>
  <si>
    <t>private pFechaAsignacion as date</t>
  </si>
  <si>
    <t>private pIdPedidoCompra as integer</t>
  </si>
  <si>
    <t>private pIdDeInventario as integer</t>
  </si>
  <si>
    <t>id_pedido_de_compra</t>
  </si>
  <si>
    <t>costo_unitario</t>
  </si>
  <si>
    <t>fecha_recepcion</t>
  </si>
  <si>
    <t>publicado_en _inventario</t>
  </si>
  <si>
    <t>id_inventario</t>
  </si>
  <si>
    <t>detalles_pedido_compra</t>
  </si>
  <si>
    <t>private pIdPedidoDeCompra as integer</t>
  </si>
  <si>
    <t>private pIdproducto as integer</t>
  </si>
  <si>
    <t>private pCostoUnitario as currency</t>
  </si>
  <si>
    <t>private pFechaRecepcion as date</t>
  </si>
  <si>
    <t>private pPublicadoEnInventario as boolean</t>
  </si>
  <si>
    <t>private pIdInventario as integer</t>
  </si>
  <si>
    <t>cargo</t>
  </si>
  <si>
    <t>telefono_empresa</t>
  </si>
  <si>
    <t>empleados</t>
  </si>
  <si>
    <t>private pNombre as String</t>
  </si>
  <si>
    <t>private pCargo as String</t>
  </si>
  <si>
    <t>private pTelefonoEmpresa as string</t>
  </si>
  <si>
    <t>id_de_situacion</t>
  </si>
  <si>
    <t>nombre_del_estado</t>
  </si>
  <si>
    <t>estado_de_detalles_de_pedidos</t>
  </si>
  <si>
    <t>private pIdDeSituacion as integer</t>
  </si>
  <si>
    <t>private pNombreDelEstado as string</t>
  </si>
  <si>
    <t>nombre_estado_impuestos</t>
  </si>
  <si>
    <t>estado_de_impuestos_de_pedidos</t>
  </si>
  <si>
    <t>private pNombreEstadoImpuestos as string</t>
  </si>
  <si>
    <t>nombre_de_estado</t>
  </si>
  <si>
    <t>estado_de_pedidos</t>
  </si>
  <si>
    <t>private pNombreDeEstado as string</t>
  </si>
  <si>
    <t>estado</t>
  </si>
  <si>
    <t>estado_de_pedidos_de_compra</t>
  </si>
  <si>
    <t>private pEstado as string</t>
  </si>
  <si>
    <t>fecha</t>
  </si>
  <si>
    <t>fecha_vencimiento</t>
  </si>
  <si>
    <t>impuestos</t>
  </si>
  <si>
    <t>envio</t>
  </si>
  <si>
    <t>importe_debido</t>
  </si>
  <si>
    <t>factura</t>
  </si>
  <si>
    <t>private pFecha as date</t>
  </si>
  <si>
    <t>private pFechaVencimiento as date</t>
  </si>
  <si>
    <t>private pImpuestos as currency</t>
  </si>
  <si>
    <t>private pEnvio as currency</t>
  </si>
  <si>
    <t>private pImporteDebido as currency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</si>
  <si>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</si>
  <si>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</si>
  <si>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</si>
  <si>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</si>
  <si>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</si>
  <si>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</si>
  <si>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</si>
  <si>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</si>
  <si>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</si>
  <si>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</si>
  <si>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</si>
  <si>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</si>
  <si>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prioridad</t>
  </si>
  <si>
    <t>notas</t>
  </si>
  <si>
    <t>estado_de_impuestos</t>
  </si>
  <si>
    <t>pedidos</t>
  </si>
  <si>
    <t>private pIdDePedido as integer</t>
  </si>
  <si>
    <t>private pIdDeEmpleado as integer</t>
  </si>
  <si>
    <t>private pIdDeCliente as integer</t>
  </si>
  <si>
    <t>private pIdDeTransportista as integer</t>
  </si>
  <si>
    <t>private pFechaDePedido as date</t>
  </si>
  <si>
    <t>private pFechaDeEnvio as date</t>
  </si>
  <si>
    <t>private pNombreDeEnvio as string</t>
  </si>
  <si>
    <t>private pDireccionDeEnvio as string</t>
  </si>
  <si>
    <t>private pCiudadDestino as string</t>
  </si>
  <si>
    <t>private pGastosDeEnvio as currency</t>
  </si>
  <si>
    <t>private pTipoDePago as integer</t>
  </si>
  <si>
    <t>private pFechaDePago as date</t>
  </si>
  <si>
    <t>private pPrioridad as string</t>
  </si>
  <si>
    <t>private pNotas as string</t>
  </si>
  <si>
    <t>private pEstadoDeImpuestos as integer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</si>
  <si>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</si>
  <si>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</si>
  <si>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</si>
  <si>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</si>
  <si>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</si>
  <si>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</si>
  <si>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</si>
  <si>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</si>
  <si>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</si>
  <si>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pedidos_de_compra</t>
  </si>
  <si>
    <t>private pCreadoPor as integer</t>
  </si>
  <si>
    <t>private pFechaDeCreacion as date</t>
  </si>
  <si>
    <t>private pFechaPrevista as date</t>
  </si>
  <si>
    <t>private pGastosEnvio as currency</t>
  </si>
  <si>
    <t>private pImporteDePago as currency</t>
  </si>
  <si>
    <t>private pModoDePago as string</t>
  </si>
  <si>
    <t>private pAprobadoPor as integer</t>
  </si>
  <si>
    <t>private pFechaDeAprobacion as date</t>
  </si>
  <si>
    <t>private pEnviadoPor as intege</t>
  </si>
  <si>
    <t>nombre_del_tipo</t>
  </si>
  <si>
    <t>tipo_de_transacciones_de_invent</t>
  </si>
  <si>
    <t>private pNombreDelTipo as string</t>
  </si>
  <si>
    <t>empresa</t>
  </si>
  <si>
    <t>ubicacion_producto</t>
  </si>
  <si>
    <t>private pUbicacion as string</t>
  </si>
  <si>
    <t>id_transacciones_de_inventario</t>
  </si>
  <si>
    <t>id_pedido_cliente</t>
  </si>
  <si>
    <t>tipo_de_transaccion</t>
  </si>
  <si>
    <t>fecha_de_creacion_de_transaccion</t>
  </si>
  <si>
    <t>fecha_de_modificacion_de_transaccion</t>
  </si>
  <si>
    <t>comentarios</t>
  </si>
  <si>
    <t>id_ubicacion</t>
  </si>
  <si>
    <t>transacciones_de_inventario</t>
  </si>
  <si>
    <t>private pIdTransaccionesDeInventario as integer</t>
  </si>
  <si>
    <t>private pIdPedidoCliente as integer</t>
  </si>
  <si>
    <t>private pTipoDeTransaccion as integer</t>
  </si>
  <si>
    <t>private pFechaDeCreacionDeTransaccion as date</t>
  </si>
  <si>
    <t>private pFechaDeModificacionDeInventrio as date</t>
  </si>
  <si>
    <t>private pComentarios as string</t>
  </si>
  <si>
    <t>private pIdUbicacion as integer</t>
  </si>
  <si>
    <t>correo</t>
  </si>
  <si>
    <t>transportadores</t>
  </si>
  <si>
    <t>private pEmpresa as string</t>
  </si>
  <si>
    <t>private pCargo as string</t>
  </si>
  <si>
    <t>private pCorreo as string</t>
  </si>
  <si>
    <t>Nombre</t>
  </si>
  <si>
    <t>Id</t>
  </si>
  <si>
    <t>TipoDocumento</t>
  </si>
  <si>
    <t>Documento</t>
  </si>
  <si>
    <t>Nit</t>
  </si>
  <si>
    <t>Comercio</t>
  </si>
  <si>
    <t>Nicho</t>
  </si>
  <si>
    <t>Segmentacion</t>
  </si>
  <si>
    <t>Producto</t>
  </si>
  <si>
    <t>Distribucion</t>
  </si>
  <si>
    <t>Cupo</t>
  </si>
  <si>
    <t>Credito</t>
  </si>
  <si>
    <t>Saldo</t>
  </si>
  <si>
    <t>IdCliente</t>
  </si>
  <si>
    <t>FormaPago</t>
  </si>
  <si>
    <t>Idproveedor</t>
  </si>
  <si>
    <t>IdProveedor</t>
  </si>
  <si>
    <t>Color</t>
  </si>
  <si>
    <t>Medida</t>
  </si>
  <si>
    <t>Cantidad</t>
  </si>
  <si>
    <t>Presentacion</t>
  </si>
  <si>
    <t>Costo</t>
  </si>
  <si>
    <t>Utilidad</t>
  </si>
  <si>
    <t>Venta</t>
  </si>
  <si>
    <t>Iva</t>
  </si>
  <si>
    <t>VentaIva</t>
  </si>
  <si>
    <t>Categoria</t>
  </si>
  <si>
    <t>Disponible</t>
  </si>
  <si>
    <t>Stock</t>
  </si>
  <si>
    <t>Pedir</t>
  </si>
  <si>
    <t>IdPedido</t>
  </si>
  <si>
    <t>IdProducto</t>
  </si>
  <si>
    <t>Precio</t>
  </si>
  <si>
    <t>Descuento</t>
  </si>
  <si>
    <t>IdSituacion</t>
  </si>
  <si>
    <t>FechaAsignacion</t>
  </si>
  <si>
    <t>IdPedidoCompra</t>
  </si>
  <si>
    <t>IdDeInventario</t>
  </si>
  <si>
    <t>IdPedidoDeCompra</t>
  </si>
  <si>
    <t>Idproducto</t>
  </si>
  <si>
    <t>CostoUnitario</t>
  </si>
  <si>
    <t>FechaRecepcion</t>
  </si>
  <si>
    <t>PublicadoEnInventario</t>
  </si>
  <si>
    <t>IdInventario</t>
  </si>
  <si>
    <t>Cargo</t>
  </si>
  <si>
    <t>TelefonoEmpresa</t>
  </si>
  <si>
    <t>IdDeSituacion</t>
  </si>
  <si>
    <t>NombreDelEstado</t>
  </si>
  <si>
    <t>NombreEstadoImpuestos</t>
  </si>
  <si>
    <t>NombreDeEstado</t>
  </si>
  <si>
    <t>Estado</t>
  </si>
  <si>
    <t>Fecha</t>
  </si>
  <si>
    <t>FechaVencimiento</t>
  </si>
  <si>
    <t>Impuestos</t>
  </si>
  <si>
    <t>Envio</t>
  </si>
  <si>
    <t>ImporteDebido</t>
  </si>
  <si>
    <t>IdDePedido</t>
  </si>
  <si>
    <t>IdDeEmpleado</t>
  </si>
  <si>
    <t>IdDeCliente</t>
  </si>
  <si>
    <t>IdDeTransportista</t>
  </si>
  <si>
    <t>FechaDePedido</t>
  </si>
  <si>
    <t>FechaDeEnvio</t>
  </si>
  <si>
    <t>NombreDeEnvio</t>
  </si>
  <si>
    <t>DireccionDeEnvio</t>
  </si>
  <si>
    <t>CiudadDestino</t>
  </si>
  <si>
    <t>GastosDeEnvio</t>
  </si>
  <si>
    <t>TipoDePago</t>
  </si>
  <si>
    <t>FechaDePago</t>
  </si>
  <si>
    <t>Prioridad</t>
  </si>
  <si>
    <t>Notas</t>
  </si>
  <si>
    <t>EstadoDeImpuestos</t>
  </si>
  <si>
    <t>CreadoPor</t>
  </si>
  <si>
    <t>FechaDeCreacion</t>
  </si>
  <si>
    <t>FechaPrevista</t>
  </si>
  <si>
    <t>GastosEnvio</t>
  </si>
  <si>
    <t>ImporteDePago</t>
  </si>
  <si>
    <t>ModoDePago</t>
  </si>
  <si>
    <t>AprobadoPor</t>
  </si>
  <si>
    <t>FechaDeAprobacion</t>
  </si>
  <si>
    <t>EnviadoPor</t>
  </si>
  <si>
    <t>NombreDelTipo</t>
  </si>
  <si>
    <t>Ubicacion</t>
  </si>
  <si>
    <t>IdTransaccionesDeInventario</t>
  </si>
  <si>
    <t>IdPedidoCliente</t>
  </si>
  <si>
    <t>TipoDeTransaccion</t>
  </si>
  <si>
    <t>FechaDeCreacionDeTransaccion</t>
  </si>
  <si>
    <t>FechaDeModificacionDeInventrio</t>
  </si>
  <si>
    <t>Comentarios</t>
  </si>
  <si>
    <t>IdUbicacion</t>
  </si>
  <si>
    <t>Empresa</t>
  </si>
  <si>
    <t>Correo</t>
  </si>
  <si>
    <t>CheckBox</t>
  </si>
  <si>
    <t>CommandButton</t>
  </si>
  <si>
    <t>DriveListBox</t>
  </si>
  <si>
    <t>Form</t>
  </si>
  <si>
    <t>HorizontalScrollBar</t>
  </si>
  <si>
    <t>Label</t>
  </si>
  <si>
    <t>List</t>
  </si>
  <si>
    <t>OptionButton</t>
  </si>
  <si>
    <t>Shape</t>
  </si>
  <si>
    <t>Timer</t>
  </si>
  <si>
    <t>Combo y DropListBox</t>
  </si>
  <si>
    <t>DirListBox</t>
  </si>
  <si>
    <t>Frame</t>
  </si>
  <si>
    <t>Image</t>
  </si>
  <si>
    <t>Line</t>
  </si>
  <si>
    <t>Menu</t>
  </si>
  <si>
    <t>PictureBox</t>
  </si>
  <si>
    <t>TextEditBox</t>
  </si>
  <si>
    <t>VerticalScrollBar</t>
  </si>
  <si>
    <t>chk</t>
  </si>
  <si>
    <t>cmd</t>
  </si>
  <si>
    <t>drv</t>
  </si>
  <si>
    <t>frm</t>
  </si>
  <si>
    <t>hsb</t>
  </si>
  <si>
    <t>lbl</t>
  </si>
  <si>
    <t>lst</t>
  </si>
  <si>
    <t>opt</t>
  </si>
  <si>
    <t>shp</t>
  </si>
  <si>
    <t>tmr</t>
  </si>
  <si>
    <t>cbo</t>
  </si>
  <si>
    <t>dir</t>
  </si>
  <si>
    <t>fil</t>
  </si>
  <si>
    <t>fra</t>
  </si>
  <si>
    <t>img</t>
  </si>
  <si>
    <t>lin</t>
  </si>
  <si>
    <t>mnu</t>
  </si>
  <si>
    <t>pct</t>
  </si>
  <si>
    <t>FileListBox</t>
  </si>
  <si>
    <t>txt</t>
  </si>
  <si>
    <t>vsb</t>
  </si>
  <si>
    <t>Control</t>
  </si>
  <si>
    <t>Abreviatura</t>
  </si>
  <si>
    <t>formularios</t>
  </si>
  <si>
    <t>frmDatosClienteFactura</t>
  </si>
  <si>
    <t>txtId</t>
  </si>
  <si>
    <t>txtTipoDocumento</t>
  </si>
  <si>
    <t>txtDocumento</t>
  </si>
  <si>
    <t>txtNombreContacto</t>
  </si>
  <si>
    <t>txtNit</t>
  </si>
  <si>
    <t>txtComercio</t>
  </si>
  <si>
    <t>txtNicho</t>
  </si>
  <si>
    <t>txtSegmentacion</t>
  </si>
  <si>
    <t>txtProducto</t>
  </si>
  <si>
    <t>txtDistribucion</t>
  </si>
  <si>
    <t>txtCredito</t>
  </si>
  <si>
    <t>txtSaldo</t>
  </si>
  <si>
    <t>txtIdCliente</t>
  </si>
  <si>
    <t>txtTelefono</t>
  </si>
  <si>
    <t>txtDireccion</t>
  </si>
  <si>
    <t>txtBarrio</t>
  </si>
  <si>
    <t>txtCiudad</t>
  </si>
  <si>
    <t>Peleteria</t>
  </si>
  <si>
    <t>Proveedor</t>
  </si>
  <si>
    <t>Detal</t>
  </si>
  <si>
    <t>Segmento</t>
  </si>
  <si>
    <t>Marroquinería</t>
  </si>
  <si>
    <t>Vestuario</t>
  </si>
  <si>
    <t>Hogar</t>
  </si>
  <si>
    <t>Calzado</t>
  </si>
  <si>
    <t>Construcción</t>
  </si>
  <si>
    <t>Tenis, Zapatos, Botas Industriales, Botas Militares,Calzado Infantil</t>
  </si>
  <si>
    <t>Animales</t>
  </si>
  <si>
    <t>Belleza</t>
  </si>
  <si>
    <t>Autos</t>
  </si>
  <si>
    <t>Aseo</t>
  </si>
  <si>
    <t>Museo</t>
  </si>
  <si>
    <t>Música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</si>
</sst>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ont="1"/>
    <xf numFmtId="0" fontId="0" fillId="2" borderId="0" xfId="0" applyFill="1"/>
    <xf numFmtId="0" fontId="1" fillId="0" borderId="1" xfId="0" applyFont="1" applyBorder="1" applyAlignment="1"/>
    <xf numFmtId="0" fontId="0" fillId="0" borderId="1" xfId="0" applyBorder="1" applyAlignment="1"/>
  </cellXfs>
  <cellStyles count="1">
    <cellStyle name="Normal" xfId="0" builtinId="0"/>
  </cellStyles>
  <dxfs count="4"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Básicos del Cliente</a:t>
          </a:r>
        </a:p>
        <a:p>
          <a:r>
            <a:rPr lang="es-ES" sz="1400"/>
            <a:t>frmDatosClienteFactura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Los datos básicos para la factura son: </a:t>
          </a:r>
        </a:p>
        <a:p>
          <a:r>
            <a:rPr lang="es-ES" sz="1400"/>
            <a:t>nombre_contacto,razon_social,telefono,direccion,barrio,ciudad</a:t>
          </a:r>
        </a:p>
        <a:p>
          <a:r>
            <a:rPr lang="es-ES" sz="1400"/>
            <a:t>Se utilizan combo box para traer los datos de contacto si el cliente cuenta con más de una dirección o teléfono.</a:t>
          </a:r>
        </a:p>
        <a:p>
          <a:r>
            <a:rPr lang="es-ES" sz="1400"/>
            <a:t>Se utiliza para consulta y cargue de datos para el encabezado de factura.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Si no se ubica el cliente se dispara evento para llamar el formulario de creación de cliente</a:t>
          </a:r>
        </a:p>
        <a:p>
          <a:r>
            <a:rPr lang="es-ES" sz="1400"/>
            <a:t>Si se encuentra el cliente se continua con el proceso y se llama al formulario de datos de crédito de la factura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B0CFAA74-1705-4C53-9FC9-FB62B430F3E3}" type="doc">
      <dgm:prSet loTypeId="urn:microsoft.com/office/officeart/2008/layout/Lined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ES"/>
        </a:p>
      </dgm:t>
    </dgm:pt>
    <dgm:pt modelId="{7DDBA12A-926F-4598-976C-EAC65CD99E61}">
      <dgm:prSet phldrT="[Texto]" custT="1"/>
      <dgm:spPr/>
      <dgm:t>
        <a:bodyPr/>
        <a:lstStyle/>
        <a:p>
          <a:r>
            <a:rPr lang="es-ES" sz="1400"/>
            <a:t>Formulario Datos Completos del Cliente</a:t>
          </a:r>
        </a:p>
        <a:p>
          <a:r>
            <a:rPr lang="es-ES" sz="1400"/>
            <a:t>frmDatosCompletosCliente</a:t>
          </a:r>
        </a:p>
        <a:p>
          <a:endParaRPr lang="es-ES" sz="1400"/>
        </a:p>
      </dgm:t>
    </dgm:pt>
    <dgm:pt modelId="{72309546-AACC-4340-A4C5-5832BC6C78F1}" type="parTrans" cxnId="{94AC5EC6-4860-4BAE-AF01-3DA69083BAA9}">
      <dgm:prSet/>
      <dgm:spPr/>
      <dgm:t>
        <a:bodyPr/>
        <a:lstStyle/>
        <a:p>
          <a:endParaRPr lang="es-ES" sz="1400"/>
        </a:p>
      </dgm:t>
    </dgm:pt>
    <dgm:pt modelId="{CCDC777E-32F6-4278-AE54-FD236B6BCDE9}" type="sibTrans" cxnId="{94AC5EC6-4860-4BAE-AF01-3DA69083BAA9}">
      <dgm:prSet/>
      <dgm:spPr/>
      <dgm:t>
        <a:bodyPr/>
        <a:lstStyle/>
        <a:p>
          <a:endParaRPr lang="es-ES" sz="1400"/>
        </a:p>
      </dgm:t>
    </dgm:pt>
    <dgm:pt modelId="{1F504500-15A7-46D9-8D5D-939BA31DB63C}">
      <dgm:prSet phldrT="[Texto]" custT="1"/>
      <dgm:spPr/>
      <dgm:t>
        <a:bodyPr/>
        <a:lstStyle/>
        <a:p>
          <a:r>
            <a:rPr lang="es-ES" sz="1400"/>
            <a:t>Los datos del cliente se almacenan en dos tablas:</a:t>
          </a:r>
        </a:p>
        <a:p>
          <a:r>
            <a:rPr lang="es-ES" sz="1400"/>
            <a:t>clientes :  </a:t>
          </a:r>
          <a:r>
            <a:rPr lang="es-CO" sz="1400" b="0" i="0" u="none"/>
            <a:t>id,tipo_documento,documento,nombre_contacto,nit, razon_social,comercio,nicho,segmentacion,producto,distribucion,cupo,credito,saldo</a:t>
          </a:r>
        </a:p>
        <a:p>
          <a:r>
            <a:rPr lang="es-CO" sz="1400" b="0" i="0" u="none"/>
            <a:t>contacto_cliente : id,id_cliente,telefono,direccion,barrio,ciudad</a:t>
          </a:r>
        </a:p>
        <a:p>
          <a:endParaRPr lang="es-ES" sz="1400"/>
        </a:p>
      </dgm:t>
    </dgm:pt>
    <dgm:pt modelId="{63F103C3-B659-40FE-8AD8-EC4721989792}" type="parTrans" cxnId="{FC4278A2-E18D-44A9-9C5B-E190022E2B5E}">
      <dgm:prSet/>
      <dgm:spPr/>
      <dgm:t>
        <a:bodyPr/>
        <a:lstStyle/>
        <a:p>
          <a:endParaRPr lang="es-ES" sz="1400"/>
        </a:p>
      </dgm:t>
    </dgm:pt>
    <dgm:pt modelId="{F308EE23-17D0-4E3D-9072-2F3116563692}" type="sibTrans" cxnId="{FC4278A2-E18D-44A9-9C5B-E190022E2B5E}">
      <dgm:prSet/>
      <dgm:spPr/>
      <dgm:t>
        <a:bodyPr/>
        <a:lstStyle/>
        <a:p>
          <a:endParaRPr lang="es-ES" sz="1400"/>
        </a:p>
      </dgm:t>
    </dgm:pt>
    <dgm:pt modelId="{04A9A2BC-C7B6-406B-9625-10F7346A25B9}">
      <dgm:prSet phldrT="[Texto]" custT="1"/>
      <dgm:spPr/>
      <dgm:t>
        <a:bodyPr/>
        <a:lstStyle/>
        <a:p>
          <a:r>
            <a:rPr lang="es-ES" sz="1400"/>
            <a:t>Se utiliza para inclusión de datos del cliente por primera vez.</a:t>
          </a:r>
        </a:p>
        <a:p>
          <a:endParaRPr lang="es-ES" sz="1400"/>
        </a:p>
        <a:p>
          <a:endParaRPr lang="es-ES" sz="1400"/>
        </a:p>
      </dgm:t>
    </dgm:pt>
    <dgm:pt modelId="{6F647E6B-5A7C-4D11-B800-D1B2401D9BE2}" type="parTrans" cxnId="{0A66C578-CD37-456E-BF29-793C4D6BE4F0}">
      <dgm:prSet/>
      <dgm:spPr/>
      <dgm:t>
        <a:bodyPr/>
        <a:lstStyle/>
        <a:p>
          <a:endParaRPr lang="es-ES" sz="1400"/>
        </a:p>
      </dgm:t>
    </dgm:pt>
    <dgm:pt modelId="{6BE1D9EE-9B85-4FEB-BDAB-8114509A2BF1}" type="sibTrans" cxnId="{0A66C578-CD37-456E-BF29-793C4D6BE4F0}">
      <dgm:prSet/>
      <dgm:spPr/>
      <dgm:t>
        <a:bodyPr/>
        <a:lstStyle/>
        <a:p>
          <a:endParaRPr lang="es-ES" sz="1400"/>
        </a:p>
      </dgm:t>
    </dgm:pt>
    <dgm:pt modelId="{1553B53F-BCC5-48E2-B5F8-3CB9A0A23003}">
      <dgm:prSet phldrT="[Texto]" custT="1"/>
      <dgm:spPr/>
      <dgm:t>
        <a:bodyPr/>
        <a:lstStyle/>
        <a:p>
          <a:r>
            <a:rPr lang="es-ES" sz="1400"/>
            <a:t>Debe confirmar ingreso de datos y verificar que el cliente no se encuentre grabado ya en las tablas.</a:t>
          </a:r>
        </a:p>
        <a:p>
          <a:r>
            <a:rPr lang="es-ES" sz="1400"/>
            <a:t>Los campos id deben generarse automaticamente y guardarse en las tablas respectivas para mantener la relación</a:t>
          </a:r>
        </a:p>
      </dgm:t>
    </dgm:pt>
    <dgm:pt modelId="{F6791BB5-41AF-4D78-BBA2-701010FDE399}" type="parTrans" cxnId="{4322D8E5-5155-4141-8D1E-8346B937DD50}">
      <dgm:prSet/>
      <dgm:spPr/>
      <dgm:t>
        <a:bodyPr/>
        <a:lstStyle/>
        <a:p>
          <a:endParaRPr lang="es-ES" sz="1400"/>
        </a:p>
      </dgm:t>
    </dgm:pt>
    <dgm:pt modelId="{7E8EC452-3B06-4597-95D7-B6E483F4E8A6}" type="sibTrans" cxnId="{4322D8E5-5155-4141-8D1E-8346B937DD50}">
      <dgm:prSet/>
      <dgm:spPr/>
      <dgm:t>
        <a:bodyPr/>
        <a:lstStyle/>
        <a:p>
          <a:endParaRPr lang="es-ES" sz="1400"/>
        </a:p>
      </dgm:t>
    </dgm:pt>
    <dgm:pt modelId="{65A8CD71-4749-48F3-BBB5-3AC73D59C19C}" type="pres">
      <dgm:prSet presAssocID="{B0CFAA74-1705-4C53-9FC9-FB62B430F3E3}" presName="vert0" presStyleCnt="0">
        <dgm:presLayoutVars>
          <dgm:dir/>
          <dgm:animOne val="branch"/>
          <dgm:animLvl val="lvl"/>
        </dgm:presLayoutVars>
      </dgm:prSet>
      <dgm:spPr/>
      <dgm:t>
        <a:bodyPr/>
        <a:lstStyle/>
        <a:p>
          <a:endParaRPr lang="es-ES"/>
        </a:p>
      </dgm:t>
    </dgm:pt>
    <dgm:pt modelId="{86170B62-C4AA-49BE-A81F-FBA698A8179D}" type="pres">
      <dgm:prSet presAssocID="{7DDBA12A-926F-4598-976C-EAC65CD99E61}" presName="thickLine" presStyleLbl="alignNode1" presStyleIdx="0" presStyleCnt="1"/>
      <dgm:spPr/>
    </dgm:pt>
    <dgm:pt modelId="{C6C85B8F-FC7E-4A46-A737-ECFEC69BA758}" type="pres">
      <dgm:prSet presAssocID="{7DDBA12A-926F-4598-976C-EAC65CD99E61}" presName="horz1" presStyleCnt="0"/>
      <dgm:spPr/>
    </dgm:pt>
    <dgm:pt modelId="{78A8CF05-E29D-4492-99FF-D4ABB18B7BF5}" type="pres">
      <dgm:prSet presAssocID="{7DDBA12A-926F-4598-976C-EAC65CD99E61}" presName="tx1" presStyleLbl="revTx" presStyleIdx="0" presStyleCnt="4" custScaleX="114239"/>
      <dgm:spPr/>
      <dgm:t>
        <a:bodyPr/>
        <a:lstStyle/>
        <a:p>
          <a:endParaRPr lang="es-ES"/>
        </a:p>
      </dgm:t>
    </dgm:pt>
    <dgm:pt modelId="{C311F99F-12B0-4CA2-9624-D1762141B33F}" type="pres">
      <dgm:prSet presAssocID="{7DDBA12A-926F-4598-976C-EAC65CD99E61}" presName="vert1" presStyleCnt="0"/>
      <dgm:spPr/>
    </dgm:pt>
    <dgm:pt modelId="{3954094D-4804-4961-8F1D-6CF4608A8406}" type="pres">
      <dgm:prSet presAssocID="{1F504500-15A7-46D9-8D5D-939BA31DB63C}" presName="vertSpace2a" presStyleCnt="0"/>
      <dgm:spPr/>
    </dgm:pt>
    <dgm:pt modelId="{D3B3EE33-307B-4A00-AE10-CC357EEC6223}" type="pres">
      <dgm:prSet presAssocID="{1F504500-15A7-46D9-8D5D-939BA31DB63C}" presName="horz2" presStyleCnt="0"/>
      <dgm:spPr/>
    </dgm:pt>
    <dgm:pt modelId="{1E23BAB5-6216-4A5C-B4C4-BB4FD850B55A}" type="pres">
      <dgm:prSet presAssocID="{1F504500-15A7-46D9-8D5D-939BA31DB63C}" presName="horzSpace2" presStyleCnt="0"/>
      <dgm:spPr/>
    </dgm:pt>
    <dgm:pt modelId="{894FA575-7D25-463F-A4B7-6E71A2DC2346}" type="pres">
      <dgm:prSet presAssocID="{1F504500-15A7-46D9-8D5D-939BA31DB63C}" presName="tx2" presStyleLbl="revTx" presStyleIdx="1" presStyleCnt="4"/>
      <dgm:spPr/>
      <dgm:t>
        <a:bodyPr/>
        <a:lstStyle/>
        <a:p>
          <a:endParaRPr lang="es-ES"/>
        </a:p>
      </dgm:t>
    </dgm:pt>
    <dgm:pt modelId="{59BE4752-C7EF-468D-ADB5-7C1D42DD4753}" type="pres">
      <dgm:prSet presAssocID="{1F504500-15A7-46D9-8D5D-939BA31DB63C}" presName="vert2" presStyleCnt="0"/>
      <dgm:spPr/>
    </dgm:pt>
    <dgm:pt modelId="{E52B736D-3406-40C3-BCA2-DABB4E28858F}" type="pres">
      <dgm:prSet presAssocID="{1F504500-15A7-46D9-8D5D-939BA31DB63C}" presName="thinLine2b" presStyleLbl="callout" presStyleIdx="0" presStyleCnt="3"/>
      <dgm:spPr/>
    </dgm:pt>
    <dgm:pt modelId="{FED1879A-8D46-4D69-A5BE-FB3FE40384F6}" type="pres">
      <dgm:prSet presAssocID="{1F504500-15A7-46D9-8D5D-939BA31DB63C}" presName="vertSpace2b" presStyleCnt="0"/>
      <dgm:spPr/>
    </dgm:pt>
    <dgm:pt modelId="{1C76C970-D244-433E-961A-96D1FA3A3776}" type="pres">
      <dgm:prSet presAssocID="{04A9A2BC-C7B6-406B-9625-10F7346A25B9}" presName="horz2" presStyleCnt="0"/>
      <dgm:spPr/>
    </dgm:pt>
    <dgm:pt modelId="{7875EA35-FD63-4288-BDBC-E96C910C8C30}" type="pres">
      <dgm:prSet presAssocID="{04A9A2BC-C7B6-406B-9625-10F7346A25B9}" presName="horzSpace2" presStyleCnt="0"/>
      <dgm:spPr/>
    </dgm:pt>
    <dgm:pt modelId="{2B0F8EEB-C1D9-4534-AE55-548FF42C91B0}" type="pres">
      <dgm:prSet presAssocID="{04A9A2BC-C7B6-406B-9625-10F7346A25B9}" presName="tx2" presStyleLbl="revTx" presStyleIdx="2" presStyleCnt="4"/>
      <dgm:spPr/>
      <dgm:t>
        <a:bodyPr/>
        <a:lstStyle/>
        <a:p>
          <a:endParaRPr lang="es-ES"/>
        </a:p>
      </dgm:t>
    </dgm:pt>
    <dgm:pt modelId="{BE72125B-D1F1-4B19-8FD6-8344E844D322}" type="pres">
      <dgm:prSet presAssocID="{04A9A2BC-C7B6-406B-9625-10F7346A25B9}" presName="vert2" presStyleCnt="0"/>
      <dgm:spPr/>
    </dgm:pt>
    <dgm:pt modelId="{1046048D-80F2-4B5A-A166-1BB4EEBCD7CC}" type="pres">
      <dgm:prSet presAssocID="{04A9A2BC-C7B6-406B-9625-10F7346A25B9}" presName="thinLine2b" presStyleLbl="callout" presStyleIdx="1" presStyleCnt="3"/>
      <dgm:spPr/>
    </dgm:pt>
    <dgm:pt modelId="{C615798A-F1CA-480F-9D78-5AF5FAB9EA14}" type="pres">
      <dgm:prSet presAssocID="{04A9A2BC-C7B6-406B-9625-10F7346A25B9}" presName="vertSpace2b" presStyleCnt="0"/>
      <dgm:spPr/>
    </dgm:pt>
    <dgm:pt modelId="{0BB45834-2804-4B30-9A4E-E739813C8474}" type="pres">
      <dgm:prSet presAssocID="{1553B53F-BCC5-48E2-B5F8-3CB9A0A23003}" presName="horz2" presStyleCnt="0"/>
      <dgm:spPr/>
    </dgm:pt>
    <dgm:pt modelId="{0C4A8EC1-EC23-4B0A-A1D9-2B042973245D}" type="pres">
      <dgm:prSet presAssocID="{1553B53F-BCC5-48E2-B5F8-3CB9A0A23003}" presName="horzSpace2" presStyleCnt="0"/>
      <dgm:spPr/>
    </dgm:pt>
    <dgm:pt modelId="{049952A5-D1CC-4DC4-B120-384016ACA654}" type="pres">
      <dgm:prSet presAssocID="{1553B53F-BCC5-48E2-B5F8-3CB9A0A23003}" presName="tx2" presStyleLbl="revTx" presStyleIdx="3" presStyleCnt="4"/>
      <dgm:spPr/>
      <dgm:t>
        <a:bodyPr/>
        <a:lstStyle/>
        <a:p>
          <a:endParaRPr lang="es-ES"/>
        </a:p>
      </dgm:t>
    </dgm:pt>
    <dgm:pt modelId="{3D279050-A9DE-4968-8341-CE3E58063BED}" type="pres">
      <dgm:prSet presAssocID="{1553B53F-BCC5-48E2-B5F8-3CB9A0A23003}" presName="vert2" presStyleCnt="0"/>
      <dgm:spPr/>
    </dgm:pt>
    <dgm:pt modelId="{CC21E947-E839-46DB-80FE-6A6E0349CFC5}" type="pres">
      <dgm:prSet presAssocID="{1553B53F-BCC5-48E2-B5F8-3CB9A0A23003}" presName="thinLine2b" presStyleLbl="callout" presStyleIdx="2" presStyleCnt="3"/>
      <dgm:spPr/>
    </dgm:pt>
    <dgm:pt modelId="{3074841D-23DA-47AC-8612-FA4C112BA25F}" type="pres">
      <dgm:prSet presAssocID="{1553B53F-BCC5-48E2-B5F8-3CB9A0A23003}" presName="vertSpace2b" presStyleCnt="0"/>
      <dgm:spPr/>
    </dgm:pt>
  </dgm:ptLst>
  <dgm:cxnLst>
    <dgm:cxn modelId="{73660D45-984F-45C9-89B3-DDAB04F4F9F4}" type="presOf" srcId="{04A9A2BC-C7B6-406B-9625-10F7346A25B9}" destId="{2B0F8EEB-C1D9-4534-AE55-548FF42C91B0}" srcOrd="0" destOrd="0" presId="urn:microsoft.com/office/officeart/2008/layout/LinedList"/>
    <dgm:cxn modelId="{72C3EC61-5CD0-45F9-9F64-BA905DA2855C}" type="presOf" srcId="{1553B53F-BCC5-48E2-B5F8-3CB9A0A23003}" destId="{049952A5-D1CC-4DC4-B120-384016ACA654}" srcOrd="0" destOrd="0" presId="urn:microsoft.com/office/officeart/2008/layout/LinedList"/>
    <dgm:cxn modelId="{0A66C578-CD37-456E-BF29-793C4D6BE4F0}" srcId="{7DDBA12A-926F-4598-976C-EAC65CD99E61}" destId="{04A9A2BC-C7B6-406B-9625-10F7346A25B9}" srcOrd="1" destOrd="0" parTransId="{6F647E6B-5A7C-4D11-B800-D1B2401D9BE2}" sibTransId="{6BE1D9EE-9B85-4FEB-BDAB-8114509A2BF1}"/>
    <dgm:cxn modelId="{84429A7F-AC09-4989-B1A5-5130FF235B9D}" type="presOf" srcId="{B0CFAA74-1705-4C53-9FC9-FB62B430F3E3}" destId="{65A8CD71-4749-48F3-BBB5-3AC73D59C19C}" srcOrd="0" destOrd="0" presId="urn:microsoft.com/office/officeart/2008/layout/LinedList"/>
    <dgm:cxn modelId="{FC4278A2-E18D-44A9-9C5B-E190022E2B5E}" srcId="{7DDBA12A-926F-4598-976C-EAC65CD99E61}" destId="{1F504500-15A7-46D9-8D5D-939BA31DB63C}" srcOrd="0" destOrd="0" parTransId="{63F103C3-B659-40FE-8AD8-EC4721989792}" sibTransId="{F308EE23-17D0-4E3D-9072-2F3116563692}"/>
    <dgm:cxn modelId="{94AC5EC6-4860-4BAE-AF01-3DA69083BAA9}" srcId="{B0CFAA74-1705-4C53-9FC9-FB62B430F3E3}" destId="{7DDBA12A-926F-4598-976C-EAC65CD99E61}" srcOrd="0" destOrd="0" parTransId="{72309546-AACC-4340-A4C5-5832BC6C78F1}" sibTransId="{CCDC777E-32F6-4278-AE54-FD236B6BCDE9}"/>
    <dgm:cxn modelId="{1F365BFB-D73B-49A9-8001-81867820633C}" type="presOf" srcId="{7DDBA12A-926F-4598-976C-EAC65CD99E61}" destId="{78A8CF05-E29D-4492-99FF-D4ABB18B7BF5}" srcOrd="0" destOrd="0" presId="urn:microsoft.com/office/officeart/2008/layout/LinedList"/>
    <dgm:cxn modelId="{8D4332E3-3EB3-4DEC-BC15-62A3281B2592}" type="presOf" srcId="{1F504500-15A7-46D9-8D5D-939BA31DB63C}" destId="{894FA575-7D25-463F-A4B7-6E71A2DC2346}" srcOrd="0" destOrd="0" presId="urn:microsoft.com/office/officeart/2008/layout/LinedList"/>
    <dgm:cxn modelId="{4322D8E5-5155-4141-8D1E-8346B937DD50}" srcId="{7DDBA12A-926F-4598-976C-EAC65CD99E61}" destId="{1553B53F-BCC5-48E2-B5F8-3CB9A0A23003}" srcOrd="2" destOrd="0" parTransId="{F6791BB5-41AF-4D78-BBA2-701010FDE399}" sibTransId="{7E8EC452-3B06-4597-95D7-B6E483F4E8A6}"/>
    <dgm:cxn modelId="{FDF0029E-C4E4-47EA-AB14-4F6F84138929}" type="presParOf" srcId="{65A8CD71-4749-48F3-BBB5-3AC73D59C19C}" destId="{86170B62-C4AA-49BE-A81F-FBA698A8179D}" srcOrd="0" destOrd="0" presId="urn:microsoft.com/office/officeart/2008/layout/LinedList"/>
    <dgm:cxn modelId="{BF84A3E5-ABDB-44BE-B5E5-877B1D45C883}" type="presParOf" srcId="{65A8CD71-4749-48F3-BBB5-3AC73D59C19C}" destId="{C6C85B8F-FC7E-4A46-A737-ECFEC69BA758}" srcOrd="1" destOrd="0" presId="urn:microsoft.com/office/officeart/2008/layout/LinedList"/>
    <dgm:cxn modelId="{6D61FE95-5978-451F-A635-28CA0C59A319}" type="presParOf" srcId="{C6C85B8F-FC7E-4A46-A737-ECFEC69BA758}" destId="{78A8CF05-E29D-4492-99FF-D4ABB18B7BF5}" srcOrd="0" destOrd="0" presId="urn:microsoft.com/office/officeart/2008/layout/LinedList"/>
    <dgm:cxn modelId="{74F6E8EB-848E-4BA1-AC77-E567CC52BF96}" type="presParOf" srcId="{C6C85B8F-FC7E-4A46-A737-ECFEC69BA758}" destId="{C311F99F-12B0-4CA2-9624-D1762141B33F}" srcOrd="1" destOrd="0" presId="urn:microsoft.com/office/officeart/2008/layout/LinedList"/>
    <dgm:cxn modelId="{498F6C56-1155-49C5-BBCA-68AC8BB5DD5F}" type="presParOf" srcId="{C311F99F-12B0-4CA2-9624-D1762141B33F}" destId="{3954094D-4804-4961-8F1D-6CF4608A8406}" srcOrd="0" destOrd="0" presId="urn:microsoft.com/office/officeart/2008/layout/LinedList"/>
    <dgm:cxn modelId="{9949F837-0434-4190-9123-6848911A3D02}" type="presParOf" srcId="{C311F99F-12B0-4CA2-9624-D1762141B33F}" destId="{D3B3EE33-307B-4A00-AE10-CC357EEC6223}" srcOrd="1" destOrd="0" presId="urn:microsoft.com/office/officeart/2008/layout/LinedList"/>
    <dgm:cxn modelId="{DA7F468B-F299-4FA9-82DC-AAA498582F19}" type="presParOf" srcId="{D3B3EE33-307B-4A00-AE10-CC357EEC6223}" destId="{1E23BAB5-6216-4A5C-B4C4-BB4FD850B55A}" srcOrd="0" destOrd="0" presId="urn:microsoft.com/office/officeart/2008/layout/LinedList"/>
    <dgm:cxn modelId="{1E37968B-28B8-40B7-B4DE-93E6DCFD217E}" type="presParOf" srcId="{D3B3EE33-307B-4A00-AE10-CC357EEC6223}" destId="{894FA575-7D25-463F-A4B7-6E71A2DC2346}" srcOrd="1" destOrd="0" presId="urn:microsoft.com/office/officeart/2008/layout/LinedList"/>
    <dgm:cxn modelId="{5747B890-6DF6-4406-969D-A5812E5756B1}" type="presParOf" srcId="{D3B3EE33-307B-4A00-AE10-CC357EEC6223}" destId="{59BE4752-C7EF-468D-ADB5-7C1D42DD4753}" srcOrd="2" destOrd="0" presId="urn:microsoft.com/office/officeart/2008/layout/LinedList"/>
    <dgm:cxn modelId="{9CC5B9C0-7B85-4612-B415-CE75D7D0096D}" type="presParOf" srcId="{C311F99F-12B0-4CA2-9624-D1762141B33F}" destId="{E52B736D-3406-40C3-BCA2-DABB4E28858F}" srcOrd="2" destOrd="0" presId="urn:microsoft.com/office/officeart/2008/layout/LinedList"/>
    <dgm:cxn modelId="{B10251A1-AAC2-4180-A144-B41AF7B3EEBE}" type="presParOf" srcId="{C311F99F-12B0-4CA2-9624-D1762141B33F}" destId="{FED1879A-8D46-4D69-A5BE-FB3FE40384F6}" srcOrd="3" destOrd="0" presId="urn:microsoft.com/office/officeart/2008/layout/LinedList"/>
    <dgm:cxn modelId="{387A9502-64CE-4861-A5FA-1269BFA02511}" type="presParOf" srcId="{C311F99F-12B0-4CA2-9624-D1762141B33F}" destId="{1C76C970-D244-433E-961A-96D1FA3A3776}" srcOrd="4" destOrd="0" presId="urn:microsoft.com/office/officeart/2008/layout/LinedList"/>
    <dgm:cxn modelId="{CA2B1234-DA9D-4BCB-ACBA-AEF508E25C35}" type="presParOf" srcId="{1C76C970-D244-433E-961A-96D1FA3A3776}" destId="{7875EA35-FD63-4288-BDBC-E96C910C8C30}" srcOrd="0" destOrd="0" presId="urn:microsoft.com/office/officeart/2008/layout/LinedList"/>
    <dgm:cxn modelId="{E3B7EF59-AE95-4EE8-A201-D7D1247F38EE}" type="presParOf" srcId="{1C76C970-D244-433E-961A-96D1FA3A3776}" destId="{2B0F8EEB-C1D9-4534-AE55-548FF42C91B0}" srcOrd="1" destOrd="0" presId="urn:microsoft.com/office/officeart/2008/layout/LinedList"/>
    <dgm:cxn modelId="{43D53344-B05D-48D1-99DF-94B108F039BE}" type="presParOf" srcId="{1C76C970-D244-433E-961A-96D1FA3A3776}" destId="{BE72125B-D1F1-4B19-8FD6-8344E844D322}" srcOrd="2" destOrd="0" presId="urn:microsoft.com/office/officeart/2008/layout/LinedList"/>
    <dgm:cxn modelId="{79216E6C-2BB7-4267-9BDD-D61AA903ABEA}" type="presParOf" srcId="{C311F99F-12B0-4CA2-9624-D1762141B33F}" destId="{1046048D-80F2-4B5A-A166-1BB4EEBCD7CC}" srcOrd="5" destOrd="0" presId="urn:microsoft.com/office/officeart/2008/layout/LinedList"/>
    <dgm:cxn modelId="{31E2D265-328E-49AE-AC64-9A996C6E3BC6}" type="presParOf" srcId="{C311F99F-12B0-4CA2-9624-D1762141B33F}" destId="{C615798A-F1CA-480F-9D78-5AF5FAB9EA14}" srcOrd="6" destOrd="0" presId="urn:microsoft.com/office/officeart/2008/layout/LinedList"/>
    <dgm:cxn modelId="{FD9E3894-C361-403E-A441-15BC996309AB}" type="presParOf" srcId="{C311F99F-12B0-4CA2-9624-D1762141B33F}" destId="{0BB45834-2804-4B30-9A4E-E739813C8474}" srcOrd="7" destOrd="0" presId="urn:microsoft.com/office/officeart/2008/layout/LinedList"/>
    <dgm:cxn modelId="{3336AF1D-2313-46A3-8733-A6511944E1D6}" type="presParOf" srcId="{0BB45834-2804-4B30-9A4E-E739813C8474}" destId="{0C4A8EC1-EC23-4B0A-A1D9-2B042973245D}" srcOrd="0" destOrd="0" presId="urn:microsoft.com/office/officeart/2008/layout/LinedList"/>
    <dgm:cxn modelId="{F2AE5F04-4776-445F-99A0-1F317D21C2E2}" type="presParOf" srcId="{0BB45834-2804-4B30-9A4E-E739813C8474}" destId="{049952A5-D1CC-4DC4-B120-384016ACA654}" srcOrd="1" destOrd="0" presId="urn:microsoft.com/office/officeart/2008/layout/LinedList"/>
    <dgm:cxn modelId="{1EEE7617-BE8A-4F5D-9FAB-B60F779E5626}" type="presParOf" srcId="{0BB45834-2804-4B30-9A4E-E739813C8474}" destId="{3D279050-A9DE-4968-8341-CE3E58063BED}" srcOrd="2" destOrd="0" presId="urn:microsoft.com/office/officeart/2008/layout/LinedList"/>
    <dgm:cxn modelId="{94FA6086-899F-49E3-B005-DF1E81B048D7}" type="presParOf" srcId="{C311F99F-12B0-4CA2-9624-D1762141B33F}" destId="{CC21E947-E839-46DB-80FE-6A6E0349CFC5}" srcOrd="8" destOrd="0" presId="urn:microsoft.com/office/officeart/2008/layout/LinedList"/>
    <dgm:cxn modelId="{866A2176-1FB5-4B23-B8EB-431BD9A44213}" type="presParOf" srcId="{C311F99F-12B0-4CA2-9624-D1762141B33F}" destId="{3074841D-23DA-47AC-8612-FA4C112BA25F}" srcOrd="9" destOrd="0" presId="urn:microsoft.com/office/officeart/2008/layout/Lined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2164"/>
          <a:ext cx="12350563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2164"/>
          <a:ext cx="2470112" cy="442759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Básicos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frmDatosClienteFactura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2164"/>
        <a:ext cx="2470112" cy="4427598"/>
      </dsp:txXfrm>
    </dsp:sp>
    <dsp:sp modelId="{894FA575-7D25-463F-A4B7-6E71A2DC2346}">
      <dsp:nvSpPr>
        <dsp:cNvPr id="0" name=""/>
        <dsp:cNvSpPr/>
      </dsp:nvSpPr>
      <dsp:spPr>
        <a:xfrm>
          <a:off x="2655371" y="71345"/>
          <a:ext cx="9695191" cy="1383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55371" y="71345"/>
        <a:ext cx="9695191" cy="1383624"/>
      </dsp:txXfrm>
    </dsp:sp>
    <dsp:sp modelId="{E52B736D-3406-40C3-BCA2-DABB4E28858F}">
      <dsp:nvSpPr>
        <dsp:cNvPr id="0" name=""/>
        <dsp:cNvSpPr/>
      </dsp:nvSpPr>
      <dsp:spPr>
        <a:xfrm>
          <a:off x="2470112" y="1454969"/>
          <a:ext cx="988045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655371" y="1524151"/>
          <a:ext cx="9695191" cy="1383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básicos para la factura son: 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nombre_contacto,razon_social,telefono,direccion,barrio,ciudad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utilizan combo box para traer los datos de contacto si el cliente cuenta con más de una dirección o teléfono.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consulta y cargue de datos para el encabezado de factura.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655371" y="1524151"/>
        <a:ext cx="9695191" cy="1383624"/>
      </dsp:txXfrm>
    </dsp:sp>
    <dsp:sp modelId="{1046048D-80F2-4B5A-A166-1BB4EEBCD7CC}">
      <dsp:nvSpPr>
        <dsp:cNvPr id="0" name=""/>
        <dsp:cNvSpPr/>
      </dsp:nvSpPr>
      <dsp:spPr>
        <a:xfrm>
          <a:off x="2470112" y="2907775"/>
          <a:ext cx="988045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655371" y="2976957"/>
          <a:ext cx="9695191" cy="13836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Si no se ubica el cliente se dispara evento para llamar el formulario de creación de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Si se encuentra el cliente se continua con el proceso y se llama al formulario de datos de crédito de la factura</a:t>
          </a:r>
        </a:p>
      </dsp:txBody>
      <dsp:txXfrm>
        <a:off x="2655371" y="2976957"/>
        <a:ext cx="9695191" cy="1383624"/>
      </dsp:txXfrm>
    </dsp:sp>
    <dsp:sp modelId="{CC21E947-E839-46DB-80FE-6A6E0349CFC5}">
      <dsp:nvSpPr>
        <dsp:cNvPr id="0" name=""/>
        <dsp:cNvSpPr/>
      </dsp:nvSpPr>
      <dsp:spPr>
        <a:xfrm>
          <a:off x="2470112" y="4360581"/>
          <a:ext cx="9880450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86170B62-C4AA-49BE-A81F-FBA698A8179D}">
      <dsp:nvSpPr>
        <dsp:cNvPr id="0" name=""/>
        <dsp:cNvSpPr/>
      </dsp:nvSpPr>
      <dsp:spPr>
        <a:xfrm>
          <a:off x="0" y="0"/>
          <a:ext cx="9358032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78A8CF05-E29D-4492-99FF-D4ABB18B7BF5}">
      <dsp:nvSpPr>
        <dsp:cNvPr id="0" name=""/>
        <dsp:cNvSpPr/>
      </dsp:nvSpPr>
      <dsp:spPr>
        <a:xfrm>
          <a:off x="0" y="0"/>
          <a:ext cx="2077552" cy="445433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Formulario Datos Completos del 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frmDatosCompletosCliente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0" y="0"/>
        <a:ext cx="2077552" cy="4454338"/>
      </dsp:txXfrm>
    </dsp:sp>
    <dsp:sp modelId="{894FA575-7D25-463F-A4B7-6E71A2DC2346}">
      <dsp:nvSpPr>
        <dsp:cNvPr id="0" name=""/>
        <dsp:cNvSpPr/>
      </dsp:nvSpPr>
      <dsp:spPr>
        <a:xfrm>
          <a:off x="2213947" y="69599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datos del cliente se almacenan en dos tablas: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clientes :  </a:t>
          </a:r>
          <a:r>
            <a:rPr lang="es-CO" sz="1400" b="0" i="0" u="none" kern="1200"/>
            <a:t>id,tipo_documento,documento,nombre_contacto,nit, razon_social,comercio,nicho,segmentacion,producto,distribucion,cupo,credito,saldo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CO" sz="1400" b="0" i="0" u="none" kern="1200"/>
            <a:t>contacto_cliente : id,id_cliente,telefono,direccion,barrio,ciudad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69599"/>
        <a:ext cx="7138012" cy="1391980"/>
      </dsp:txXfrm>
    </dsp:sp>
    <dsp:sp modelId="{E52B736D-3406-40C3-BCA2-DABB4E28858F}">
      <dsp:nvSpPr>
        <dsp:cNvPr id="0" name=""/>
        <dsp:cNvSpPr/>
      </dsp:nvSpPr>
      <dsp:spPr>
        <a:xfrm>
          <a:off x="2077552" y="146157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2B0F8EEB-C1D9-4534-AE55-548FF42C91B0}">
      <dsp:nvSpPr>
        <dsp:cNvPr id="0" name=""/>
        <dsp:cNvSpPr/>
      </dsp:nvSpPr>
      <dsp:spPr>
        <a:xfrm>
          <a:off x="2213947" y="1531178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Se utiliza para inclusión de datos del cliente por primera vez.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s-ES" sz="1400" kern="1200"/>
        </a:p>
      </dsp:txBody>
      <dsp:txXfrm>
        <a:off x="2213947" y="1531178"/>
        <a:ext cx="7138012" cy="1391980"/>
      </dsp:txXfrm>
    </dsp:sp>
    <dsp:sp modelId="{1046048D-80F2-4B5A-A166-1BB4EEBCD7CC}">
      <dsp:nvSpPr>
        <dsp:cNvPr id="0" name=""/>
        <dsp:cNvSpPr/>
      </dsp:nvSpPr>
      <dsp:spPr>
        <a:xfrm>
          <a:off x="2077552" y="2923159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049952A5-D1CC-4DC4-B120-384016ACA654}">
      <dsp:nvSpPr>
        <dsp:cNvPr id="0" name=""/>
        <dsp:cNvSpPr/>
      </dsp:nvSpPr>
      <dsp:spPr>
        <a:xfrm>
          <a:off x="2213947" y="2992758"/>
          <a:ext cx="7138012" cy="139198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3340" tIns="53340" rIns="53340" bIns="53340" numCol="1" spcCol="1270" anchor="t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Debe confirmar ingreso de datos y verificar que el cliente no se encuentre grabado ya en las tablas.</a:t>
          </a:r>
        </a:p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s-ES" sz="1400" kern="1200"/>
            <a:t>Los campos id deben generarse automaticamente y guardarse en las tablas respectivas para mantener la relación</a:t>
          </a:r>
        </a:p>
      </dsp:txBody>
      <dsp:txXfrm>
        <a:off x="2213947" y="2992758"/>
        <a:ext cx="7138012" cy="1391980"/>
      </dsp:txXfrm>
    </dsp:sp>
    <dsp:sp modelId="{CC21E947-E839-46DB-80FE-6A6E0349CFC5}">
      <dsp:nvSpPr>
        <dsp:cNvPr id="0" name=""/>
        <dsp:cNvSpPr/>
      </dsp:nvSpPr>
      <dsp:spPr>
        <a:xfrm>
          <a:off x="2077552" y="4384738"/>
          <a:ext cx="7274407" cy="0"/>
        </a:xfrm>
        <a:prstGeom prst="lin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tint val="5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8/layout/LinedList">
  <dgm:title val=""/>
  <dgm:desc val=""/>
  <dgm:catLst>
    <dgm:cat type="hierarchy" pri="8000"/>
    <dgm:cat type="list" pri="2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13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  <dgm:cxn modelId="5" srcId="1" destId="13" srcOrd="2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2" srcId="0" destId="1" srcOrd="0" destOrd="0"/>
        <dgm:cxn modelId="3" srcId="1" destId="11" srcOrd="0" destOrd="0"/>
        <dgm:cxn modelId="4" srcId="1" destId="12" srcOrd="1" destOrd="0"/>
      </dgm:cxnLst>
      <dgm:bg/>
      <dgm:whole/>
    </dgm:dataModel>
  </dgm:clrData>
  <dgm:layoutNode name="vert0">
    <dgm:varLst>
      <dgm:dir/>
      <dgm:animOne val="branch"/>
      <dgm:animLvl val="lvl"/>
    </dgm:varLst>
    <dgm:choose name="Name0">
      <dgm:if name="Name1" func="var" arg="dir" op="equ" val="norm">
        <dgm:alg type="lin">
          <dgm:param type="linDir" val="fromT"/>
          <dgm:param type="nodeHorzAlign" val="l"/>
        </dgm:alg>
      </dgm:if>
      <dgm:else name="Name2">
        <dgm:alg type="lin">
          <dgm:param type="linDir" val="fromT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horz1" refType="w"/>
      <dgm:constr type="h" for="ch" forName="horz1" refType="h"/>
      <dgm:constr type="h" for="des" forName="vert1" refType="h"/>
      <dgm:constr type="h" for="des" forName="tx1" refType="h"/>
      <dgm:constr type="h" for="des" forName="horz2" refType="h"/>
      <dgm:constr type="h" for="des" forName="vert2" refType="h"/>
      <dgm:constr type="h" for="des" forName="horz3" refType="h"/>
      <dgm:constr type="h" for="des" forName="vert3" refType="h"/>
      <dgm:constr type="h" for="des" forName="horz4" refType="h"/>
      <dgm:constr type="h" for="des" ptType="node" refType="h"/>
      <dgm:constr type="primFontSz" for="des" forName="tx1" op="equ" val="65"/>
      <dgm:constr type="primFontSz" for="des" forName="tx2" op="equ" val="65"/>
      <dgm:constr type="primFontSz" for="des" forName="tx3" op="equ" val="65"/>
      <dgm:constr type="primFontSz" for="des" forName="tx4" op="equ" val="65"/>
      <dgm:constr type="w" for="des" forName="thickLine" refType="w"/>
      <dgm:constr type="h" for="des" forName="thickLine"/>
      <dgm:constr type="h" for="des" forName="thinLine1"/>
      <dgm:constr type="h" for="des" forName="thinLine2b"/>
      <dgm:constr type="h" for="des" forName="thinLine3"/>
      <dgm:constr type="h" for="des" forName="vertSpace2a" refType="h" fact="0.05"/>
      <dgm:constr type="h" for="des" forName="vertSpace2b" refType="h" refFor="des" refForName="vertSpace2a"/>
    </dgm:constrLst>
    <dgm:forEach name="Name3" axis="ch" ptType="node">
      <dgm:layoutNode name="thickLine" styleLbl="alignNode1">
        <dgm:alg type="sp"/>
        <dgm:shape xmlns:r="http://schemas.openxmlformats.org/officeDocument/2006/relationships" type="line" r:blip="">
          <dgm:adjLst/>
        </dgm:shape>
        <dgm:presOf/>
      </dgm:layoutNode>
      <dgm:layoutNode name="horz1">
        <dgm:choose name="Name4">
          <dgm:if name="Name5" func="var" arg="dir" op="equ" val="norm">
            <dgm:alg type="lin">
              <dgm:param type="linDir" val="fromL"/>
              <dgm:param type="nodeVertAlign" val="t"/>
            </dgm:alg>
          </dgm:if>
          <dgm:else name="Name6">
            <dgm:alg type="lin">
              <dgm:param type="linDir" val="fromR"/>
              <dgm:param type="nodeVertAlign" val="t"/>
            </dgm:alg>
          </dgm:else>
        </dgm:choose>
        <dgm:shape xmlns:r="http://schemas.openxmlformats.org/officeDocument/2006/relationships" r:blip="">
          <dgm:adjLst/>
        </dgm:shape>
        <dgm:presOf/>
        <dgm:choose name="Name7">
          <dgm:if name="Name8" axis="root des" func="maxDepth" op="equ" val="1">
            <dgm:constrLst>
              <dgm:constr type="w" for="ch" forName="tx1" refType="w"/>
            </dgm:constrLst>
          </dgm:if>
          <dgm:if name="Name9" axis="root des" func="maxDepth" op="equ" val="2">
            <dgm:constrLst>
              <dgm:constr type="w" for="ch" forName="tx1" refType="w" fact="0.2"/>
              <dgm:constr type="w" for="des" forName="tx2" refType="w" fact="0.785"/>
              <dgm:constr type="w" for="des" forName="horzSpace2" refType="w" fact="0.015"/>
              <dgm:constr type="w" for="des" forName="thinLine2b" refType="w" fact="0.8"/>
            </dgm:constrLst>
          </dgm:if>
          <dgm:if name="Name10" axis="root des" func="maxDepth" op="equ" val="3">
            <dgm:constrLst>
              <dgm:constr type="w" for="ch" forName="tx1" refType="w" fact="0.2"/>
              <dgm:constr type="w" for="des" forName="tx2" refType="w" fact="0.385"/>
              <dgm:constr type="w" for="des" forName="tx3" refType="w" fact="0.385"/>
              <dgm:constr type="w" for="des" forName="horzSpace2" refType="w" fact="0.015"/>
              <dgm:constr type="w" for="des" forName="horzSpace3" refType="w" fact="0.015"/>
              <dgm:constr type="w" for="des" forName="thinLine2b" refType="w" fact="0.8"/>
              <dgm:constr type="w" for="des" forName="thinLine3" refType="w" fact="0.385"/>
            </dgm:constrLst>
          </dgm:if>
          <dgm:if name="Name11" axis="root des" func="maxDepth" op="gte" val="4">
            <dgm:constrLst>
              <dgm:constr type="w" for="ch" forName="tx1" refType="w" fact="0.2"/>
              <dgm:constr type="w" for="des" forName="tx2" refType="w" fact="0.2516"/>
              <dgm:constr type="w" for="des" forName="tx3" refType="w" fact="0.2516"/>
              <dgm:constr type="w" for="des" forName="tx4" refType="w" fact="0.2516"/>
              <dgm:constr type="w" for="des" forName="horzSpace2" refType="w" fact="0.015"/>
              <dgm:constr type="w" for="des" forName="horzSpace3" refType="w" fact="0.015"/>
              <dgm:constr type="w" for="des" forName="horzSpace4" refType="w" fact="0.015"/>
              <dgm:constr type="w" for="des" forName="thinLine2b" refType="w" fact="0.8"/>
              <dgm:constr type="w" for="des" forName="thinLine3" refType="w" fact="0.5332"/>
            </dgm:constrLst>
          </dgm:if>
          <dgm:else name="Name12"/>
        </dgm:choose>
        <dgm:layoutNode name="tx1" styleLbl="revTx"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>
            <dgm:adjLst/>
          </dgm:shape>
          <dgm:presOf axis="self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vert1">
          <dgm:choose name="Name13">
            <dgm:if name="Name14" func="var" arg="dir" op="equ" val="norm">
              <dgm:alg type="lin">
                <dgm:param type="linDir" val="fromT"/>
                <dgm:param type="nodeHorzAlign" val="l"/>
              </dgm:alg>
            </dgm:if>
            <dgm:else name="Name15">
              <dgm:alg type="lin">
                <dgm:param type="linDir" val="fromT"/>
                <dgm:param type="nodeHorzAlign" val="r"/>
              </dgm:alg>
            </dgm:else>
          </dgm:choose>
          <dgm:shape xmlns:r="http://schemas.openxmlformats.org/officeDocument/2006/relationships" r:blip="">
            <dgm:adjLst/>
          </dgm:shape>
          <dgm:presOf/>
          <dgm:forEach name="Name16" axis="ch" ptType="node">
            <dgm:choose name="Name17">
              <dgm:if name="Name18" axis="self" ptType="node" func="pos" op="equ" val="1">
                <dgm:layoutNode name="vertSpace2a">
                  <dgm:alg type="sp"/>
                  <dgm:shape xmlns:r="http://schemas.openxmlformats.org/officeDocument/2006/relationships" r:blip="">
                    <dgm:adjLst/>
                  </dgm:shape>
                  <dgm:presOf/>
                </dgm:layoutNode>
              </dgm:if>
              <dgm:else name="Name19"/>
            </dgm:choose>
            <dgm:layoutNode name="horz2">
              <dgm:choose name="Name20">
                <dgm:if name="Name21" func="var" arg="dir" op="equ" val="norm">
                  <dgm:alg type="lin">
                    <dgm:param type="linDir" val="fromL"/>
                    <dgm:param type="nodeVertAlign" val="t"/>
                  </dgm:alg>
                </dgm:if>
                <dgm:else name="Name22">
                  <dgm:alg type="lin">
                    <dgm:param type="linDir" val="fromR"/>
                    <dgm:param type="nodeVertAlign" val="t"/>
                  </dgm:alg>
                </dgm:else>
              </dgm:choose>
              <dgm:shape xmlns:r="http://schemas.openxmlformats.org/officeDocument/2006/relationships" r:blip="">
                <dgm:adjLst/>
              </dgm:shape>
              <dgm:presOf/>
              <dgm:layoutNode name="horzSpace2">
                <dgm:alg type="sp"/>
                <dgm:shape xmlns:r="http://schemas.openxmlformats.org/officeDocument/2006/relationships" r:blip="">
                  <dgm:adjLst/>
                </dgm:shape>
                <dgm:presOf/>
              </dgm:layoutNode>
              <dgm:layoutNode name="tx2" styleLbl="revTx">
                <dgm:alg type="tx">
                  <dgm:param type="parTxLTRAlign" val="l"/>
                  <dgm:param type="parTxRTLAlign" val="r"/>
                  <dgm:param type="txAnchorVert" val="t"/>
                </dgm:alg>
                <dgm:shape xmlns:r="http://schemas.openxmlformats.org/officeDocument/2006/relationships" type="rect" r:blip="">
                  <dgm:adjLst/>
                </dgm:shape>
                <dgm:presOf axis="self"/>
                <dgm:constrLst>
                  <dgm:constr type="tMarg" refType="primFontSz" fact="0.3"/>
                  <dgm:constr type="bMarg" refType="primFontSz" fact="0.3"/>
                  <dgm:constr type="lMarg" refType="primFontSz" fact="0.3"/>
                  <dgm:constr type="rMarg" refType="primFontSz" fact="0.3"/>
                </dgm:constrLst>
                <dgm:ruleLst>
                  <dgm:rule type="primFontSz" val="5" fact="NaN" max="NaN"/>
                </dgm:ruleLst>
              </dgm:layoutNode>
              <dgm:layoutNode name="vert2">
                <dgm:choose name="Name23">
                  <dgm:if name="Name24" func="var" arg="dir" op="equ" val="norm">
                    <dgm:alg type="lin">
                      <dgm:param type="linDir" val="fromT"/>
                      <dgm:param type="nodeHorzAlign" val="l"/>
                    </dgm:alg>
                  </dgm:if>
                  <dgm:else name="Name25">
                    <dgm:alg type="lin">
                      <dgm:param type="linDir" val="fromT"/>
                      <dgm:param type="nodeHorzAlign" val="r"/>
                    </dgm:alg>
                  </dgm:else>
                </dgm:choose>
                <dgm:shape xmlns:r="http://schemas.openxmlformats.org/officeDocument/2006/relationships" r:blip="">
                  <dgm:adjLst/>
                </dgm:shape>
                <dgm:presOf/>
                <dgm:forEach name="Name26" axis="ch" ptType="node">
                  <dgm:layoutNode name="horz3">
                    <dgm:choose name="Name27">
                      <dgm:if name="Name28" func="var" arg="dir" op="equ" val="norm">
                        <dgm:alg type="lin">
                          <dgm:param type="linDir" val="fromL"/>
                          <dgm:param type="nodeVertAlign" val="t"/>
                        </dgm:alg>
                      </dgm:if>
                      <dgm:else name="Name29">
                        <dgm:alg type="lin">
                          <dgm:param type="linDir" val="fromR"/>
                          <dgm:param type="nodeVertAlign" val="t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layoutNode name="horzSpace3">
                      <dgm:alg type="sp"/>
                      <dgm:shape xmlns:r="http://schemas.openxmlformats.org/officeDocument/2006/relationships" r:blip="">
                        <dgm:adjLst/>
                      </dgm:shape>
                      <dgm:presOf/>
                    </dgm:layoutNode>
                    <dgm:layoutNode name="tx3" styleLbl="revTx">
                      <dgm:alg type="tx">
                        <dgm:param type="parTxLTRAlign" val="l"/>
                        <dgm:param type="parTxRTLAlign" val="r"/>
                        <dgm:param type="txAnchorVert" val="t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vert3">
                      <dgm:choose name="Name30">
                        <dgm:if name="Name31" func="var" arg="dir" op="equ" val="norm">
                          <dgm:alg type="lin">
                            <dgm:param type="linDir" val="fromT"/>
                            <dgm:param type="nodeHorzAlign" val="l"/>
                          </dgm:alg>
                        </dgm:if>
                        <dgm:else name="Name32">
                          <dgm:alg type="lin">
                            <dgm:param type="linDir" val="fromT"/>
                            <dgm:param type="nodeHorzAlign" val="r"/>
                          </dgm:alg>
                        </dgm:else>
                      </dgm:choose>
                      <dgm:shape xmlns:r="http://schemas.openxmlformats.org/officeDocument/2006/relationships" r:blip="">
                        <dgm:adjLst/>
                      </dgm:shape>
                      <dgm:presOf/>
                      <dgm:forEach name="Name33" axis="ch" ptType="node">
                        <dgm:layoutNode name="horz4">
                          <dgm:choose name="Name34">
                            <dgm:if name="Name35" func="var" arg="dir" op="equ" val="norm">
                              <dgm:alg type="lin">
                                <dgm:param type="linDir" val="fromL"/>
                                <dgm:param type="nodeVertAlign" val="t"/>
                              </dgm:alg>
                            </dgm:if>
                            <dgm:else name="Name36">
                              <dgm:alg type="lin">
                                <dgm:param type="linDir" val="fromR"/>
                                <dgm:param type="nodeVertAlign" val="t"/>
                              </dgm:alg>
                            </dgm:else>
                          </dgm:choose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layoutNode name="horzSpace4">
                            <dgm:alg type="sp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</dgm:layoutNode>
                          <dgm:layoutNode name="tx4" styleLbl="revTx">
                            <dgm:varLst>
                              <dgm:bulletEnabled val="1"/>
                            </dgm:varLst>
                            <dgm:alg type="tx">
                              <dgm:param type="parTxLTRAlign" val="l"/>
                              <dgm:param type="parTxRTLAlign" val="r"/>
                              <dgm:param type="txAnchorVert" val="t"/>
                            </dgm:alg>
                            <dgm:shape xmlns:r="http://schemas.openxmlformats.org/officeDocument/2006/relationships" type="rect" r:blip="">
                              <dgm:adjLst/>
                            </dgm:shape>
                            <dgm:presOf axis="desOrSelf" ptType="node"/>
                            <dgm:constrLst>
                              <dgm:constr type="tMarg" refType="primFontSz" fact="0.3"/>
                              <dgm:constr type="bMarg" refType="primFontSz" fact="0.3"/>
                              <dgm:constr type="lMarg" refType="primFontSz" fact="0.3"/>
                              <dgm:constr type="rMarg" refType="primFontSz" fact="0.3"/>
                            </dgm:constrLst>
                            <dgm:ruleLst>
                              <dgm:rule type="primFontSz" val="5" fact="NaN" max="NaN"/>
                            </dgm:ruleLst>
                          </dgm:layoutNode>
                        </dgm:layoutNode>
                      </dgm:forEach>
                    </dgm:layoutNode>
                  </dgm:layoutNode>
                  <dgm:forEach name="Name37" axis="followSib" ptType="sibTrans" cnt="1">
                    <dgm:layoutNode name="thinLine3" styleLbl="callout">
                      <dgm:alg type="sp"/>
                      <dgm:shape xmlns:r="http://schemas.openxmlformats.org/officeDocument/2006/relationships" type="line" r:blip="">
                        <dgm:adjLst/>
                      </dgm:shape>
                      <dgm:presOf/>
                    </dgm:layoutNode>
                  </dgm:forEach>
                </dgm:forEach>
              </dgm:layoutNode>
            </dgm:layoutNode>
            <dgm:layoutNode name="thinLine2b" styleLbl="callout">
              <dgm:alg type="sp"/>
              <dgm:shape xmlns:r="http://schemas.openxmlformats.org/officeDocument/2006/relationships" type="line" r:blip="">
                <dgm:adjLst/>
              </dgm:shape>
              <dgm:presOf/>
            </dgm:layoutNode>
            <dgm:layoutNode name="vertSpace2b">
              <dgm:alg type="sp"/>
              <dgm:shape xmlns:r="http://schemas.openxmlformats.org/officeDocument/2006/relationships" r:blip="">
                <dgm:adjLst/>
              </dgm:shape>
              <dgm:presOf/>
            </dgm:layoutNode>
          </dgm:forEach>
        </dgm:layoutNode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1.pn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6" Type="http://schemas.openxmlformats.org/officeDocument/2006/relationships/image" Target="../media/image2.png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1</xdr:row>
      <xdr:rowOff>95249</xdr:rowOff>
    </xdr:from>
    <xdr:to>
      <xdr:col>14</xdr:col>
      <xdr:colOff>549088</xdr:colOff>
      <xdr:row>24</xdr:row>
      <xdr:rowOff>145676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177693</xdr:colOff>
      <xdr:row>1</xdr:row>
      <xdr:rowOff>91248</xdr:rowOff>
    </xdr:from>
    <xdr:to>
      <xdr:col>23</xdr:col>
      <xdr:colOff>67236</xdr:colOff>
      <xdr:row>20</xdr:row>
      <xdr:rowOff>27516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07693" y="281748"/>
          <a:ext cx="5985543" cy="35557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184897</xdr:rowOff>
    </xdr:from>
    <xdr:to>
      <xdr:col>10</xdr:col>
      <xdr:colOff>537882</xdr:colOff>
      <xdr:row>24</xdr:row>
      <xdr:rowOff>67235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10</xdr:col>
      <xdr:colOff>756139</xdr:colOff>
      <xdr:row>0</xdr:row>
      <xdr:rowOff>134471</xdr:rowOff>
    </xdr:from>
    <xdr:to>
      <xdr:col>25</xdr:col>
      <xdr:colOff>226401</xdr:colOff>
      <xdr:row>27</xdr:row>
      <xdr:rowOff>134470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11345" y="134471"/>
          <a:ext cx="10900262" cy="51434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19050</xdr:colOff>
      <xdr:row>0</xdr:row>
      <xdr:rowOff>180975</xdr:rowOff>
    </xdr:from>
    <xdr:ext cx="5715000" cy="2314575"/>
    <xdr:pic>
      <xdr:nvPicPr>
        <xdr:cNvPr id="2" name="Imagen 1" descr="https://2gqoma.ch.files.1drv.com/y4mOmrvD0up4OXhidOkcfzD4fUhCBVIdIBVT4vD3V7XD1wzu_OvMKojJOCugyHfICN5aQp224X7EKG8ikR1rZrd4wHleNa10XKcZkyLhuxNkpoKZDhJ0WHtI0I-hq9LYbSsV8wLA4g_Y4aP5cfFbZeYwg/abreviaturas.bmp?rdrts=2182267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7050" y="180975"/>
          <a:ext cx="5715000" cy="231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id="1" name="tblListadoCampos" displayName="tblListadoCampos" ref="A1:H142" totalsRowShown="0">
  <autoFilter ref="A1:H142">
    <filterColumn colId="0">
      <filters>
        <filter val="clientes"/>
        <filter val="contacto_cliente"/>
      </filters>
    </filterColumn>
  </autoFilter>
  <tableColumns count="8">
    <tableColumn id="1" name="Tabla"/>
    <tableColumn id="2" name="Nombre control" dataDxfId="1">
      <calculatedColumnFormula>IF(tblListadoCampos[[#This Row],[Tipo]]="","",tblListadoCampos[[#This Row],[Abreviatura]]&amp;tblListadoCampos[[#This Row],[Nombre]])</calculatedColumnFormula>
    </tableColumn>
    <tableColumn id="3" name="Tipo"/>
    <tableColumn id="7" name="Abreviatura" dataDxfId="0">
      <calculatedColumnFormula>IF(tblListadoCampos[[#This Row],[Tipo]]="","",VLOOKUP(tblListadoCampos[[#This Row],[Tipo]],tblControles[],2,0))</calculatedColumnFormula>
    </tableColumn>
    <tableColumn id="4" name="Campo tabla"/>
    <tableColumn id="5" name="Propiedad clase"/>
    <tableColumn id="6" name="Nombre"/>
    <tableColumn id="8" name="formularios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blControles" displayName="tblControles" ref="E16:F36" totalsRowShown="0">
  <autoFilter ref="E16:F36"/>
  <sortState ref="E17:F36">
    <sortCondition ref="E16"/>
  </sortState>
  <tableColumns count="2">
    <tableColumn id="1" name="Control"/>
    <tableColumn id="2" name="Abreviatur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28:F34"/>
  <sheetViews>
    <sheetView showGridLines="0" tabSelected="1" zoomScale="85" zoomScaleNormal="85" workbookViewId="0">
      <selection activeCell="D37" sqref="D37"/>
    </sheetView>
  </sheetViews>
  <sheetFormatPr baseColWidth="10" defaultRowHeight="15" x14ac:dyDescent="0.25"/>
  <cols>
    <col min="2" max="2" width="19.5703125" bestFit="1" customWidth="1"/>
    <col min="3" max="3" width="10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193</v>
      </c>
      <c r="F28" s="3" t="s">
        <v>3</v>
      </c>
    </row>
    <row r="29" spans="2:6" x14ac:dyDescent="0.25">
      <c r="B29" s="4" t="s">
        <v>4</v>
      </c>
      <c r="C29" s="4" t="s">
        <v>5</v>
      </c>
      <c r="D29" s="4" t="s">
        <v>6</v>
      </c>
      <c r="E29" s="4" t="s">
        <v>220</v>
      </c>
      <c r="F29" s="4" t="s">
        <v>7</v>
      </c>
    </row>
    <row r="30" spans="2:6" x14ac:dyDescent="0.25">
      <c r="B30" s="4" t="s">
        <v>156</v>
      </c>
      <c r="C30" s="4" t="s">
        <v>180</v>
      </c>
      <c r="D30" s="4" t="s">
        <v>181</v>
      </c>
      <c r="E30" s="4" t="s">
        <v>220</v>
      </c>
      <c r="F30" s="4" t="s">
        <v>182</v>
      </c>
    </row>
    <row r="31" spans="2:6" x14ac:dyDescent="0.25">
      <c r="B31" s="4" t="s">
        <v>187</v>
      </c>
      <c r="C31" s="4" t="s">
        <v>5</v>
      </c>
      <c r="D31" s="4" t="s">
        <v>183</v>
      </c>
      <c r="E31" s="4" t="s">
        <v>221</v>
      </c>
      <c r="F31" s="4" t="s">
        <v>189</v>
      </c>
    </row>
    <row r="32" spans="2:6" x14ac:dyDescent="0.25">
      <c r="B32" s="4" t="s">
        <v>188</v>
      </c>
      <c r="C32" s="4" t="s">
        <v>5</v>
      </c>
      <c r="D32" s="4" t="s">
        <v>184</v>
      </c>
      <c r="E32" s="4" t="s">
        <v>221</v>
      </c>
      <c r="F32" s="4" t="s">
        <v>190</v>
      </c>
    </row>
    <row r="33" spans="2:6" x14ac:dyDescent="0.25">
      <c r="B33" s="4" t="s">
        <v>142</v>
      </c>
      <c r="C33" s="4" t="s">
        <v>5</v>
      </c>
      <c r="D33" s="4" t="s">
        <v>185</v>
      </c>
      <c r="E33" s="4" t="s">
        <v>221</v>
      </c>
      <c r="F33" s="4" t="s">
        <v>191</v>
      </c>
    </row>
    <row r="34" spans="2:6" x14ac:dyDescent="0.25">
      <c r="B34" s="4" t="s">
        <v>146</v>
      </c>
      <c r="C34" s="4" t="s">
        <v>5</v>
      </c>
      <c r="D34" s="4" t="s">
        <v>186</v>
      </c>
      <c r="E34" s="4" t="s">
        <v>221</v>
      </c>
      <c r="F34" s="4" t="s">
        <v>192</v>
      </c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B28:F48"/>
  <sheetViews>
    <sheetView showGridLines="0" zoomScale="85" zoomScaleNormal="85" workbookViewId="0">
      <selection activeCell="L36" sqref="L35:L36"/>
    </sheetView>
  </sheetViews>
  <sheetFormatPr baseColWidth="10" defaultRowHeight="15" x14ac:dyDescent="0.25"/>
  <cols>
    <col min="2" max="2" width="19.5703125" bestFit="1" customWidth="1"/>
    <col min="3" max="3" width="11.5703125" bestFit="1" customWidth="1"/>
    <col min="4" max="4" width="17.140625" bestFit="1" customWidth="1"/>
    <col min="5" max="6" width="16.42578125" bestFit="1" customWidth="1"/>
  </cols>
  <sheetData>
    <row r="28" spans="2:6" x14ac:dyDescent="0.25">
      <c r="B28" s="3" t="s">
        <v>0</v>
      </c>
      <c r="C28" s="3" t="s">
        <v>1</v>
      </c>
      <c r="D28" s="3" t="s">
        <v>2</v>
      </c>
      <c r="E28" s="3" t="s">
        <v>193</v>
      </c>
      <c r="F28" s="3" t="s">
        <v>3</v>
      </c>
    </row>
    <row r="29" spans="2:6" x14ac:dyDescent="0.25">
      <c r="B29" s="4" t="s">
        <v>535</v>
      </c>
      <c r="C29" s="4" t="s">
        <v>508</v>
      </c>
      <c r="D29" s="4" t="s">
        <v>194</v>
      </c>
      <c r="E29" s="4" t="s">
        <v>220</v>
      </c>
      <c r="F29" s="4" t="s">
        <v>401</v>
      </c>
    </row>
    <row r="30" spans="2:6" x14ac:dyDescent="0.25">
      <c r="B30" s="4" t="s">
        <v>536</v>
      </c>
      <c r="C30" s="4" t="s">
        <v>508</v>
      </c>
      <c r="D30" s="4" t="s">
        <v>195</v>
      </c>
      <c r="E30" s="4" t="s">
        <v>220</v>
      </c>
      <c r="F30" s="4" t="s">
        <v>402</v>
      </c>
    </row>
    <row r="31" spans="2:6" x14ac:dyDescent="0.25">
      <c r="B31" s="4" t="s">
        <v>537</v>
      </c>
      <c r="C31" s="4" t="s">
        <v>508</v>
      </c>
      <c r="D31" s="4" t="s">
        <v>196</v>
      </c>
      <c r="E31" s="4" t="s">
        <v>220</v>
      </c>
      <c r="F31" s="4" t="s">
        <v>403</v>
      </c>
    </row>
    <row r="32" spans="2:6" x14ac:dyDescent="0.25">
      <c r="B32" s="4" t="s">
        <v>538</v>
      </c>
      <c r="C32" s="4" t="s">
        <v>508</v>
      </c>
      <c r="D32" s="4" t="s">
        <v>6</v>
      </c>
      <c r="E32" s="4" t="s">
        <v>220</v>
      </c>
      <c r="F32" s="4" t="s">
        <v>7</v>
      </c>
    </row>
    <row r="33" spans="2:6" x14ac:dyDescent="0.25">
      <c r="B33" s="4" t="s">
        <v>539</v>
      </c>
      <c r="C33" s="4" t="s">
        <v>508</v>
      </c>
      <c r="D33" s="4" t="s">
        <v>197</v>
      </c>
      <c r="E33" s="4" t="s">
        <v>220</v>
      </c>
      <c r="F33" s="4" t="s">
        <v>404</v>
      </c>
    </row>
    <row r="34" spans="2:6" x14ac:dyDescent="0.25">
      <c r="B34" s="4" t="s">
        <v>156</v>
      </c>
      <c r="C34" s="4" t="s">
        <v>508</v>
      </c>
      <c r="D34" s="4" t="s">
        <v>181</v>
      </c>
      <c r="E34" s="4" t="s">
        <v>220</v>
      </c>
      <c r="F34" s="4" t="s">
        <v>182</v>
      </c>
    </row>
    <row r="35" spans="2:6" x14ac:dyDescent="0.25">
      <c r="B35" s="4" t="s">
        <v>540</v>
      </c>
      <c r="C35" s="4" t="s">
        <v>508</v>
      </c>
      <c r="D35" s="4" t="s">
        <v>198</v>
      </c>
      <c r="E35" s="4" t="s">
        <v>220</v>
      </c>
      <c r="F35" s="4" t="s">
        <v>405</v>
      </c>
    </row>
    <row r="36" spans="2:6" x14ac:dyDescent="0.25">
      <c r="B36" s="4" t="s">
        <v>541</v>
      </c>
      <c r="C36" s="4" t="s">
        <v>508</v>
      </c>
      <c r="D36" s="4" t="s">
        <v>199</v>
      </c>
      <c r="E36" s="4" t="s">
        <v>220</v>
      </c>
      <c r="F36" s="4" t="s">
        <v>406</v>
      </c>
    </row>
    <row r="37" spans="2:6" x14ac:dyDescent="0.25">
      <c r="B37" s="4" t="s">
        <v>542</v>
      </c>
      <c r="C37" s="4" t="s">
        <v>508</v>
      </c>
      <c r="D37" s="4" t="s">
        <v>200</v>
      </c>
      <c r="E37" s="4" t="s">
        <v>220</v>
      </c>
      <c r="F37" s="4" t="s">
        <v>407</v>
      </c>
    </row>
    <row r="38" spans="2:6" x14ac:dyDescent="0.25">
      <c r="B38" s="4" t="s">
        <v>543</v>
      </c>
      <c r="C38" s="4" t="s">
        <v>508</v>
      </c>
      <c r="D38" s="4" t="s">
        <v>201</v>
      </c>
      <c r="E38" s="4" t="s">
        <v>220</v>
      </c>
      <c r="F38" s="4" t="s">
        <v>408</v>
      </c>
    </row>
    <row r="39" spans="2:6" x14ac:dyDescent="0.25">
      <c r="B39" s="4" t="s">
        <v>544</v>
      </c>
      <c r="C39" s="4" t="s">
        <v>508</v>
      </c>
      <c r="D39" s="4" t="s">
        <v>202</v>
      </c>
      <c r="E39" s="4" t="s">
        <v>220</v>
      </c>
      <c r="F39" s="4" t="s">
        <v>409</v>
      </c>
    </row>
    <row r="40" spans="2:6" x14ac:dyDescent="0.25">
      <c r="B40" s="4" t="s">
        <v>118</v>
      </c>
      <c r="C40" s="4" t="s">
        <v>508</v>
      </c>
      <c r="D40" s="4" t="s">
        <v>203</v>
      </c>
      <c r="E40" s="4" t="s">
        <v>220</v>
      </c>
      <c r="F40" s="4" t="s">
        <v>410</v>
      </c>
    </row>
    <row r="41" spans="2:6" x14ac:dyDescent="0.25">
      <c r="B41" s="4" t="s">
        <v>545</v>
      </c>
      <c r="C41" s="4" t="s">
        <v>508</v>
      </c>
      <c r="D41" s="4" t="s">
        <v>204</v>
      </c>
      <c r="E41" s="4" t="s">
        <v>220</v>
      </c>
      <c r="F41" s="4" t="s">
        <v>411</v>
      </c>
    </row>
    <row r="42" spans="2:6" x14ac:dyDescent="0.25">
      <c r="B42" s="4" t="s">
        <v>546</v>
      </c>
      <c r="C42" s="4" t="s">
        <v>508</v>
      </c>
      <c r="D42" s="4" t="s">
        <v>205</v>
      </c>
      <c r="E42" s="4" t="s">
        <v>220</v>
      </c>
      <c r="F42" s="4" t="s">
        <v>412</v>
      </c>
    </row>
    <row r="43" spans="2:6" x14ac:dyDescent="0.25">
      <c r="B43" s="4" t="s">
        <v>535</v>
      </c>
      <c r="C43" s="4" t="s">
        <v>508</v>
      </c>
      <c r="D43" s="4" t="s">
        <v>194</v>
      </c>
      <c r="E43" s="4" t="s">
        <v>221</v>
      </c>
      <c r="F43" s="4" t="s">
        <v>401</v>
      </c>
    </row>
    <row r="44" spans="2:6" x14ac:dyDescent="0.25">
      <c r="B44" s="4" t="s">
        <v>547</v>
      </c>
      <c r="C44" s="4" t="s">
        <v>508</v>
      </c>
      <c r="D44" s="4" t="s">
        <v>222</v>
      </c>
      <c r="E44" s="4" t="s">
        <v>221</v>
      </c>
      <c r="F44" s="4" t="s">
        <v>413</v>
      </c>
    </row>
    <row r="45" spans="2:6" x14ac:dyDescent="0.25">
      <c r="B45" s="4" t="s">
        <v>548</v>
      </c>
      <c r="C45" s="4" t="s">
        <v>508</v>
      </c>
      <c r="D45" s="4" t="s">
        <v>183</v>
      </c>
      <c r="E45" s="4" t="s">
        <v>221</v>
      </c>
      <c r="F45" s="4" t="s">
        <v>189</v>
      </c>
    </row>
    <row r="46" spans="2:6" x14ac:dyDescent="0.25">
      <c r="B46" s="4" t="s">
        <v>549</v>
      </c>
      <c r="C46" s="4" t="s">
        <v>508</v>
      </c>
      <c r="D46" s="4" t="s">
        <v>184</v>
      </c>
      <c r="E46" s="4" t="s">
        <v>221</v>
      </c>
      <c r="F46" s="4" t="s">
        <v>190</v>
      </c>
    </row>
    <row r="47" spans="2:6" x14ac:dyDescent="0.25">
      <c r="B47" s="4" t="s">
        <v>550</v>
      </c>
      <c r="C47" s="4" t="s">
        <v>508</v>
      </c>
      <c r="D47" s="4" t="s">
        <v>185</v>
      </c>
      <c r="E47" s="4" t="s">
        <v>221</v>
      </c>
      <c r="F47" s="4" t="s">
        <v>191</v>
      </c>
    </row>
    <row r="48" spans="2:6" x14ac:dyDescent="0.25">
      <c r="B48" s="4" t="s">
        <v>551</v>
      </c>
      <c r="C48" s="4" t="s">
        <v>508</v>
      </c>
      <c r="D48" s="4" t="s">
        <v>186</v>
      </c>
      <c r="E48" s="4" t="s">
        <v>221</v>
      </c>
      <c r="F48" s="4" t="s">
        <v>192</v>
      </c>
    </row>
  </sheetData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142"/>
  <sheetViews>
    <sheetView showGridLines="0" workbookViewId="0">
      <selection activeCell="A2" sqref="A2:A21"/>
    </sheetView>
  </sheetViews>
  <sheetFormatPr baseColWidth="10" defaultRowHeight="15" x14ac:dyDescent="0.25"/>
  <cols>
    <col min="1" max="1" width="23.28515625" bestFit="1" customWidth="1"/>
    <col min="2" max="2" width="19.42578125" bestFit="1" customWidth="1"/>
    <col min="3" max="3" width="19.85546875" bestFit="1" customWidth="1"/>
    <col min="4" max="4" width="13.7109375" bestFit="1" customWidth="1"/>
    <col min="5" max="5" width="36.42578125" bestFit="1" customWidth="1"/>
    <col min="6" max="7" width="46" bestFit="1" customWidth="1"/>
    <col min="8" max="8" width="22.28515625" bestFit="1" customWidth="1"/>
  </cols>
  <sheetData>
    <row r="1" spans="1:8" x14ac:dyDescent="0.25">
      <c r="A1" t="s">
        <v>193</v>
      </c>
      <c r="B1" t="s">
        <v>0</v>
      </c>
      <c r="C1" t="s">
        <v>1</v>
      </c>
      <c r="D1" t="s">
        <v>532</v>
      </c>
      <c r="E1" t="s">
        <v>2</v>
      </c>
      <c r="F1" t="s">
        <v>3</v>
      </c>
      <c r="G1" t="s">
        <v>400</v>
      </c>
      <c r="H1" t="s">
        <v>533</v>
      </c>
    </row>
    <row r="2" spans="1:8" x14ac:dyDescent="0.25">
      <c r="A2" t="s">
        <v>220</v>
      </c>
      <c r="B2" t="str">
        <f>IF(tblListadoCampos[[#This Row],[Tipo]]="","",tblListadoCampos[[#This Row],[Abreviatura]]&amp;tblListadoCampos[[#This Row],[Nombre]])</f>
        <v>txtId</v>
      </c>
      <c r="C2" t="s">
        <v>508</v>
      </c>
      <c r="D2" s="2" t="str">
        <f>IF(tblListadoCampos[[#This Row],[Tipo]]="","",VLOOKUP(tblListadoCampos[[#This Row],[Tipo]],tblControles[],2,0))</f>
        <v>txt</v>
      </c>
      <c r="E2" t="s">
        <v>194</v>
      </c>
      <c r="F2" t="s">
        <v>206</v>
      </c>
      <c r="G2" t="s">
        <v>401</v>
      </c>
    </row>
    <row r="3" spans="1:8" x14ac:dyDescent="0.25">
      <c r="A3" t="s">
        <v>220</v>
      </c>
      <c r="B3" t="str">
        <f>IF(tblListadoCampos[[#This Row],[Tipo]]="","",tblListadoCampos[[#This Row],[Abreviatura]]&amp;tblListadoCampos[[#This Row],[Nombre]])</f>
        <v>txtTipoDocumento</v>
      </c>
      <c r="C3" t="s">
        <v>508</v>
      </c>
      <c r="D3" s="2" t="str">
        <f>IF(tblListadoCampos[[#This Row],[Tipo]]="","",VLOOKUP(tblListadoCampos[[#This Row],[Tipo]],tblControles[],2,0))</f>
        <v>txt</v>
      </c>
      <c r="E3" t="s">
        <v>195</v>
      </c>
      <c r="F3" t="s">
        <v>207</v>
      </c>
      <c r="G3" t="s">
        <v>402</v>
      </c>
    </row>
    <row r="4" spans="1:8" x14ac:dyDescent="0.25">
      <c r="A4" t="s">
        <v>220</v>
      </c>
      <c r="B4" t="str">
        <f>IF(tblListadoCampos[[#This Row],[Tipo]]="","",tblListadoCampos[[#This Row],[Abreviatura]]&amp;tblListadoCampos[[#This Row],[Nombre]])</f>
        <v>txtDocumento</v>
      </c>
      <c r="C4" t="s">
        <v>508</v>
      </c>
      <c r="D4" s="2" t="str">
        <f>IF(tblListadoCampos[[#This Row],[Tipo]]="","",VLOOKUP(tblListadoCampos[[#This Row],[Tipo]],tblControles[],2,0))</f>
        <v>txt</v>
      </c>
      <c r="E4" t="s">
        <v>196</v>
      </c>
      <c r="F4" t="s">
        <v>208</v>
      </c>
      <c r="G4" t="s">
        <v>403</v>
      </c>
    </row>
    <row r="5" spans="1:8" x14ac:dyDescent="0.25">
      <c r="A5" t="s">
        <v>220</v>
      </c>
      <c r="B5" t="str">
        <f>IF(tblListadoCampos[[#This Row],[Tipo]]="","",tblListadoCampos[[#This Row],[Abreviatura]]&amp;tblListadoCampos[[#This Row],[Nombre]])</f>
        <v>txtNombreContacto</v>
      </c>
      <c r="C5" t="s">
        <v>508</v>
      </c>
      <c r="D5" s="2" t="str">
        <f>IF(tblListadoCampos[[#This Row],[Tipo]]="","",VLOOKUP(tblListadoCampos[[#This Row],[Tipo]],tblControles[],2,0))</f>
        <v>txt</v>
      </c>
      <c r="E5" t="s">
        <v>6</v>
      </c>
      <c r="F5" t="s">
        <v>209</v>
      </c>
      <c r="G5" t="s">
        <v>7</v>
      </c>
      <c r="H5" t="s">
        <v>534</v>
      </c>
    </row>
    <row r="6" spans="1:8" x14ac:dyDescent="0.25">
      <c r="A6" t="s">
        <v>220</v>
      </c>
      <c r="B6" t="str">
        <f>IF(tblListadoCampos[[#This Row],[Tipo]]="","",tblListadoCampos[[#This Row],[Abreviatura]]&amp;tblListadoCampos[[#This Row],[Nombre]])</f>
        <v>txtNit</v>
      </c>
      <c r="C6" t="s">
        <v>508</v>
      </c>
      <c r="D6" s="2" t="str">
        <f>IF(tblListadoCampos[[#This Row],[Tipo]]="","",VLOOKUP(tblListadoCampos[[#This Row],[Tipo]],tblControles[],2,0))</f>
        <v>txt</v>
      </c>
      <c r="E6" t="s">
        <v>197</v>
      </c>
      <c r="F6" t="s">
        <v>210</v>
      </c>
      <c r="G6" t="s">
        <v>404</v>
      </c>
    </row>
    <row r="7" spans="1:8" x14ac:dyDescent="0.25">
      <c r="A7" t="s">
        <v>220</v>
      </c>
      <c r="B7" t="str">
        <f>IF(tblListadoCampos[[#This Row],[Tipo]]="","",tblListadoCampos[[#This Row],[Abreviatura]]&amp;tblListadoCampos[[#This Row],[Nombre]])</f>
        <v>txtRazonSocial</v>
      </c>
      <c r="C7" t="s">
        <v>508</v>
      </c>
      <c r="D7" s="2" t="str">
        <f>IF(tblListadoCampos[[#This Row],[Tipo]]="","",VLOOKUP(tblListadoCampos[[#This Row],[Tipo]],tblControles[],2,0))</f>
        <v>txt</v>
      </c>
      <c r="E7" t="s">
        <v>181</v>
      </c>
      <c r="F7" t="s">
        <v>211</v>
      </c>
      <c r="G7" t="s">
        <v>182</v>
      </c>
      <c r="H7" t="s">
        <v>534</v>
      </c>
    </row>
    <row r="8" spans="1:8" x14ac:dyDescent="0.25">
      <c r="A8" t="s">
        <v>220</v>
      </c>
      <c r="B8" t="str">
        <f>IF(tblListadoCampos[[#This Row],[Tipo]]="","",tblListadoCampos[[#This Row],[Abreviatura]]&amp;tblListadoCampos[[#This Row],[Nombre]])</f>
        <v>txtComercio</v>
      </c>
      <c r="C8" t="s">
        <v>508</v>
      </c>
      <c r="D8" s="2" t="str">
        <f>IF(tblListadoCampos[[#This Row],[Tipo]]="","",VLOOKUP(tblListadoCampos[[#This Row],[Tipo]],tblControles[],2,0))</f>
        <v>txt</v>
      </c>
      <c r="E8" t="s">
        <v>198</v>
      </c>
      <c r="F8" t="s">
        <v>212</v>
      </c>
      <c r="G8" t="s">
        <v>405</v>
      </c>
    </row>
    <row r="9" spans="1:8" x14ac:dyDescent="0.25">
      <c r="A9" t="s">
        <v>220</v>
      </c>
      <c r="B9" t="str">
        <f>IF(tblListadoCampos[[#This Row],[Tipo]]="","",tblListadoCampos[[#This Row],[Abreviatura]]&amp;tblListadoCampos[[#This Row],[Nombre]])</f>
        <v>txtNicho</v>
      </c>
      <c r="C9" t="s">
        <v>508</v>
      </c>
      <c r="D9" s="2" t="str">
        <f>IF(tblListadoCampos[[#This Row],[Tipo]]="","",VLOOKUP(tblListadoCampos[[#This Row],[Tipo]],tblControles[],2,0))</f>
        <v>txt</v>
      </c>
      <c r="E9" t="s">
        <v>199</v>
      </c>
      <c r="F9" t="s">
        <v>213</v>
      </c>
      <c r="G9" t="s">
        <v>406</v>
      </c>
    </row>
    <row r="10" spans="1:8" x14ac:dyDescent="0.25">
      <c r="A10" t="s">
        <v>220</v>
      </c>
      <c r="B10" t="str">
        <f>IF(tblListadoCampos[[#This Row],[Tipo]]="","",tblListadoCampos[[#This Row],[Abreviatura]]&amp;tblListadoCampos[[#This Row],[Nombre]])</f>
        <v>txtSegmentacion</v>
      </c>
      <c r="C10" t="s">
        <v>508</v>
      </c>
      <c r="D10" s="2" t="str">
        <f>IF(tblListadoCampos[[#This Row],[Tipo]]="","",VLOOKUP(tblListadoCampos[[#This Row],[Tipo]],tblControles[],2,0))</f>
        <v>txt</v>
      </c>
      <c r="E10" t="s">
        <v>200</v>
      </c>
      <c r="F10" t="s">
        <v>214</v>
      </c>
      <c r="G10" t="s">
        <v>407</v>
      </c>
    </row>
    <row r="11" spans="1:8" x14ac:dyDescent="0.25">
      <c r="A11" t="s">
        <v>220</v>
      </c>
      <c r="B11" t="str">
        <f>IF(tblListadoCampos[[#This Row],[Tipo]]="","",tblListadoCampos[[#This Row],[Abreviatura]]&amp;tblListadoCampos[[#This Row],[Nombre]])</f>
        <v>txtProducto</v>
      </c>
      <c r="C11" t="s">
        <v>508</v>
      </c>
      <c r="D11" s="2" t="str">
        <f>IF(tblListadoCampos[[#This Row],[Tipo]]="","",VLOOKUP(tblListadoCampos[[#This Row],[Tipo]],tblControles[],2,0))</f>
        <v>txt</v>
      </c>
      <c r="E11" t="s">
        <v>201</v>
      </c>
      <c r="F11" t="s">
        <v>215</v>
      </c>
      <c r="G11" t="s">
        <v>408</v>
      </c>
    </row>
    <row r="12" spans="1:8" x14ac:dyDescent="0.25">
      <c r="A12" t="s">
        <v>220</v>
      </c>
      <c r="B12" t="str">
        <f>IF(tblListadoCampos[[#This Row],[Tipo]]="","",tblListadoCampos[[#This Row],[Abreviatura]]&amp;tblListadoCampos[[#This Row],[Nombre]])</f>
        <v>txtDistribucion</v>
      </c>
      <c r="C12" t="s">
        <v>508</v>
      </c>
      <c r="D12" s="2" t="str">
        <f>IF(tblListadoCampos[[#This Row],[Tipo]]="","",VLOOKUP(tblListadoCampos[[#This Row],[Tipo]],tblControles[],2,0))</f>
        <v>txt</v>
      </c>
      <c r="E12" t="s">
        <v>202</v>
      </c>
      <c r="F12" t="s">
        <v>216</v>
      </c>
      <c r="G12" t="s">
        <v>409</v>
      </c>
    </row>
    <row r="13" spans="1:8" x14ac:dyDescent="0.25">
      <c r="A13" t="s">
        <v>220</v>
      </c>
      <c r="B13" t="str">
        <f>IF(tblListadoCampos[[#This Row],[Tipo]]="","",tblListadoCampos[[#This Row],[Abreviatura]]&amp;tblListadoCampos[[#This Row],[Nombre]])</f>
        <v>txtCupo</v>
      </c>
      <c r="C13" t="s">
        <v>508</v>
      </c>
      <c r="D13" s="2" t="str">
        <f>IF(tblListadoCampos[[#This Row],[Tipo]]="","",VLOOKUP(tblListadoCampos[[#This Row],[Tipo]],tblControles[],2,0))</f>
        <v>txt</v>
      </c>
      <c r="E13" t="s">
        <v>203</v>
      </c>
      <c r="F13" t="s">
        <v>217</v>
      </c>
      <c r="G13" t="s">
        <v>410</v>
      </c>
    </row>
    <row r="14" spans="1:8" x14ac:dyDescent="0.25">
      <c r="A14" t="s">
        <v>220</v>
      </c>
      <c r="B14" t="str">
        <f>IF(tblListadoCampos[[#This Row],[Tipo]]="","",tblListadoCampos[[#This Row],[Abreviatura]]&amp;tblListadoCampos[[#This Row],[Nombre]])</f>
        <v>txtCredito</v>
      </c>
      <c r="C14" t="s">
        <v>508</v>
      </c>
      <c r="D14" s="2" t="str">
        <f>IF(tblListadoCampos[[#This Row],[Tipo]]="","",VLOOKUP(tblListadoCampos[[#This Row],[Tipo]],tblControles[],2,0))</f>
        <v>txt</v>
      </c>
      <c r="E14" t="s">
        <v>204</v>
      </c>
      <c r="F14" t="s">
        <v>218</v>
      </c>
      <c r="G14" t="s">
        <v>411</v>
      </c>
    </row>
    <row r="15" spans="1:8" x14ac:dyDescent="0.25">
      <c r="A15" t="s">
        <v>220</v>
      </c>
      <c r="B15" t="str">
        <f>IF(tblListadoCampos[[#This Row],[Tipo]]="","",tblListadoCampos[[#This Row],[Abreviatura]]&amp;tblListadoCampos[[#This Row],[Nombre]])</f>
        <v>txtSaldo</v>
      </c>
      <c r="C15" t="s">
        <v>508</v>
      </c>
      <c r="D15" s="2" t="str">
        <f>IF(tblListadoCampos[[#This Row],[Tipo]]="","",VLOOKUP(tblListadoCampos[[#This Row],[Tipo]],tblControles[],2,0))</f>
        <v>txt</v>
      </c>
      <c r="E15" t="s">
        <v>205</v>
      </c>
      <c r="F15" t="s">
        <v>219</v>
      </c>
      <c r="G15" t="s">
        <v>412</v>
      </c>
    </row>
    <row r="16" spans="1:8" x14ac:dyDescent="0.25">
      <c r="A16" t="s">
        <v>221</v>
      </c>
      <c r="B16" t="str">
        <f>IF(tblListadoCampos[[#This Row],[Tipo]]="","",tblListadoCampos[[#This Row],[Abreviatura]]&amp;tblListadoCampos[[#This Row],[Nombre]])</f>
        <v>txtId</v>
      </c>
      <c r="C16" t="s">
        <v>508</v>
      </c>
      <c r="D16" s="2" t="str">
        <f>IF(tblListadoCampos[[#This Row],[Tipo]]="","",VLOOKUP(tblListadoCampos[[#This Row],[Tipo]],tblControles[],2,0))</f>
        <v>txt</v>
      </c>
      <c r="E16" t="s">
        <v>194</v>
      </c>
      <c r="F16" t="s">
        <v>206</v>
      </c>
      <c r="G16" t="s">
        <v>401</v>
      </c>
    </row>
    <row r="17" spans="1:8" x14ac:dyDescent="0.25">
      <c r="A17" t="s">
        <v>221</v>
      </c>
      <c r="B17" t="str">
        <f>IF(tblListadoCampos[[#This Row],[Tipo]]="","",tblListadoCampos[[#This Row],[Abreviatura]]&amp;tblListadoCampos[[#This Row],[Nombre]])</f>
        <v>txtIdCliente</v>
      </c>
      <c r="C17" t="s">
        <v>508</v>
      </c>
      <c r="D17" s="2" t="str">
        <f>IF(tblListadoCampos[[#This Row],[Tipo]]="","",VLOOKUP(tblListadoCampos[[#This Row],[Tipo]],tblControles[],2,0))</f>
        <v>txt</v>
      </c>
      <c r="E17" t="s">
        <v>222</v>
      </c>
      <c r="F17" t="s">
        <v>223</v>
      </c>
      <c r="G17" t="s">
        <v>413</v>
      </c>
    </row>
    <row r="18" spans="1:8" x14ac:dyDescent="0.25">
      <c r="A18" t="s">
        <v>221</v>
      </c>
      <c r="B18" t="str">
        <f>IF(tblListadoCampos[[#This Row],[Tipo]]="","",tblListadoCampos[[#This Row],[Abreviatura]]&amp;tblListadoCampos[[#This Row],[Nombre]])</f>
        <v>txtTelefono</v>
      </c>
      <c r="C18" t="s">
        <v>508</v>
      </c>
      <c r="D18" s="2" t="str">
        <f>IF(tblListadoCampos[[#This Row],[Tipo]]="","",VLOOKUP(tblListadoCampos[[#This Row],[Tipo]],tblControles[],2,0))</f>
        <v>txt</v>
      </c>
      <c r="E18" t="s">
        <v>183</v>
      </c>
      <c r="F18" t="s">
        <v>224</v>
      </c>
      <c r="G18" t="s">
        <v>189</v>
      </c>
      <c r="H18" t="s">
        <v>534</v>
      </c>
    </row>
    <row r="19" spans="1:8" x14ac:dyDescent="0.25">
      <c r="A19" t="s">
        <v>221</v>
      </c>
      <c r="B19" t="str">
        <f>IF(tblListadoCampos[[#This Row],[Tipo]]="","",tblListadoCampos[[#This Row],[Abreviatura]]&amp;tblListadoCampos[[#This Row],[Nombre]])</f>
        <v>txtDireccion</v>
      </c>
      <c r="C19" t="s">
        <v>508</v>
      </c>
      <c r="D19" s="2" t="str">
        <f>IF(tblListadoCampos[[#This Row],[Tipo]]="","",VLOOKUP(tblListadoCampos[[#This Row],[Tipo]],tblControles[],2,0))</f>
        <v>txt</v>
      </c>
      <c r="E19" t="s">
        <v>184</v>
      </c>
      <c r="F19" t="s">
        <v>225</v>
      </c>
      <c r="G19" t="s">
        <v>190</v>
      </c>
      <c r="H19" t="s">
        <v>534</v>
      </c>
    </row>
    <row r="20" spans="1:8" x14ac:dyDescent="0.25">
      <c r="A20" t="s">
        <v>221</v>
      </c>
      <c r="B20" t="str">
        <f>IF(tblListadoCampos[[#This Row],[Tipo]]="","",tblListadoCampos[[#This Row],[Abreviatura]]&amp;tblListadoCampos[[#This Row],[Nombre]])</f>
        <v>txtBarrio</v>
      </c>
      <c r="C20" t="s">
        <v>508</v>
      </c>
      <c r="D20" s="2" t="str">
        <f>IF(tblListadoCampos[[#This Row],[Tipo]]="","",VLOOKUP(tblListadoCampos[[#This Row],[Tipo]],tblControles[],2,0))</f>
        <v>txt</v>
      </c>
      <c r="E20" t="s">
        <v>185</v>
      </c>
      <c r="F20" t="s">
        <v>226</v>
      </c>
      <c r="G20" t="s">
        <v>191</v>
      </c>
      <c r="H20" t="s">
        <v>534</v>
      </c>
    </row>
    <row r="21" spans="1:8" x14ac:dyDescent="0.25">
      <c r="A21" t="s">
        <v>221</v>
      </c>
      <c r="B21" t="str">
        <f>IF(tblListadoCampos[[#This Row],[Tipo]]="","",tblListadoCampos[[#This Row],[Abreviatura]]&amp;tblListadoCampos[[#This Row],[Nombre]])</f>
        <v>txtCiudad</v>
      </c>
      <c r="C21" t="s">
        <v>508</v>
      </c>
      <c r="D21" s="2" t="str">
        <f>IF(tblListadoCampos[[#This Row],[Tipo]]="","",VLOOKUP(tblListadoCampos[[#This Row],[Tipo]],tblControles[],2,0))</f>
        <v>txt</v>
      </c>
      <c r="E21" t="s">
        <v>186</v>
      </c>
      <c r="F21" t="s">
        <v>227</v>
      </c>
      <c r="G21" t="s">
        <v>192</v>
      </c>
      <c r="H21" t="s">
        <v>534</v>
      </c>
    </row>
    <row r="22" spans="1:8" hidden="1" x14ac:dyDescent="0.25">
      <c r="A22" s="1" t="s">
        <v>230</v>
      </c>
      <c r="B22" t="str">
        <f>IF(tblListadoCampos[[#This Row],[Tipo]]="","",tblListadoCampos[[#This Row],[Abreviatura]]&amp;tblListadoCampos[[#This Row],[Nombre]])</f>
        <v/>
      </c>
      <c r="D22" s="2" t="str">
        <f>IF(tblListadoCampos[[#This Row],[Tipo]]="","",VLOOKUP(tblListadoCampos[[#This Row],[Tipo]],tblControles[],2,0))</f>
        <v/>
      </c>
      <c r="E22" t="s">
        <v>194</v>
      </c>
      <c r="F22" t="s">
        <v>206</v>
      </c>
      <c r="G22" t="s">
        <v>401</v>
      </c>
    </row>
    <row r="23" spans="1:8" hidden="1" x14ac:dyDescent="0.25">
      <c r="A23" s="1" t="s">
        <v>230</v>
      </c>
      <c r="B23" t="str">
        <f>IF(tblListadoCampos[[#This Row],[Tipo]]="","",tblListadoCampos[[#This Row],[Abreviatura]]&amp;tblListadoCampos[[#This Row],[Nombre]])</f>
        <v/>
      </c>
      <c r="D23" s="2" t="str">
        <f>IF(tblListadoCampos[[#This Row],[Tipo]]="","",VLOOKUP(tblListadoCampos[[#This Row],[Tipo]],tblControles[],2,0))</f>
        <v/>
      </c>
      <c r="E23" t="s">
        <v>228</v>
      </c>
      <c r="F23" t="s">
        <v>231</v>
      </c>
      <c r="G23" t="s">
        <v>400</v>
      </c>
    </row>
    <row r="24" spans="1:8" hidden="1" x14ac:dyDescent="0.25">
      <c r="A24" s="1" t="s">
        <v>230</v>
      </c>
      <c r="B24" t="str">
        <f>IF(tblListadoCampos[[#This Row],[Tipo]]="","",tblListadoCampos[[#This Row],[Abreviatura]]&amp;tblListadoCampos[[#This Row],[Nombre]])</f>
        <v/>
      </c>
      <c r="D24" s="2" t="str">
        <f>IF(tblListadoCampos[[#This Row],[Tipo]]="","",VLOOKUP(tblListadoCampos[[#This Row],[Tipo]],tblControles[],2,0))</f>
        <v/>
      </c>
      <c r="E24" t="s">
        <v>195</v>
      </c>
      <c r="F24" t="s">
        <v>207</v>
      </c>
      <c r="G24" t="s">
        <v>402</v>
      </c>
    </row>
    <row r="25" spans="1:8" hidden="1" x14ac:dyDescent="0.25">
      <c r="A25" s="1" t="s">
        <v>230</v>
      </c>
      <c r="B25" t="str">
        <f>IF(tblListadoCampos[[#This Row],[Tipo]]="","",tblListadoCampos[[#This Row],[Abreviatura]]&amp;tblListadoCampos[[#This Row],[Nombre]])</f>
        <v/>
      </c>
      <c r="D25" s="2" t="str">
        <f>IF(tblListadoCampos[[#This Row],[Tipo]]="","",VLOOKUP(tblListadoCampos[[#This Row],[Tipo]],tblControles[],2,0))</f>
        <v/>
      </c>
      <c r="E25" t="s">
        <v>196</v>
      </c>
      <c r="F25" t="s">
        <v>208</v>
      </c>
      <c r="G25" t="s">
        <v>403</v>
      </c>
    </row>
    <row r="26" spans="1:8" hidden="1" x14ac:dyDescent="0.25">
      <c r="A26" s="1" t="s">
        <v>230</v>
      </c>
      <c r="B26" t="str">
        <f>IF(tblListadoCampos[[#This Row],[Tipo]]="","",tblListadoCampos[[#This Row],[Abreviatura]]&amp;tblListadoCampos[[#This Row],[Nombre]])</f>
        <v/>
      </c>
      <c r="D26" s="2" t="str">
        <f>IF(tblListadoCampos[[#This Row],[Tipo]]="","",VLOOKUP(tblListadoCampos[[#This Row],[Tipo]],tblControles[],2,0))</f>
        <v/>
      </c>
      <c r="E26" t="s">
        <v>181</v>
      </c>
      <c r="F26" t="s">
        <v>211</v>
      </c>
      <c r="G26" t="s">
        <v>182</v>
      </c>
    </row>
    <row r="27" spans="1:8" hidden="1" x14ac:dyDescent="0.25">
      <c r="A27" s="1" t="s">
        <v>230</v>
      </c>
      <c r="B27" t="str">
        <f>IF(tblListadoCampos[[#This Row],[Tipo]]="","",tblListadoCampos[[#This Row],[Abreviatura]]&amp;tblListadoCampos[[#This Row],[Nombre]])</f>
        <v/>
      </c>
      <c r="D27" s="2" t="str">
        <f>IF(tblListadoCampos[[#This Row],[Tipo]]="","",VLOOKUP(tblListadoCampos[[#This Row],[Tipo]],tblControles[],2,0))</f>
        <v/>
      </c>
      <c r="E27" t="s">
        <v>197</v>
      </c>
      <c r="F27" t="s">
        <v>210</v>
      </c>
      <c r="G27" t="s">
        <v>404</v>
      </c>
    </row>
    <row r="28" spans="1:8" hidden="1" x14ac:dyDescent="0.25">
      <c r="A28" s="1" t="s">
        <v>230</v>
      </c>
      <c r="B28" t="str">
        <f>IF(tblListadoCampos[[#This Row],[Tipo]]="","",tblListadoCampos[[#This Row],[Abreviatura]]&amp;tblListadoCampos[[#This Row],[Nombre]])</f>
        <v/>
      </c>
      <c r="D28" s="2" t="str">
        <f>IF(tblListadoCampos[[#This Row],[Tipo]]="","",VLOOKUP(tblListadoCampos[[#This Row],[Tipo]],tblControles[],2,0))</f>
        <v/>
      </c>
      <c r="E28" t="s">
        <v>229</v>
      </c>
      <c r="F28" t="s">
        <v>232</v>
      </c>
      <c r="G28" t="s">
        <v>414</v>
      </c>
    </row>
    <row r="29" spans="1:8" hidden="1" x14ac:dyDescent="0.25">
      <c r="A29" s="1" t="s">
        <v>234</v>
      </c>
      <c r="B29" t="str">
        <f>IF(tblListadoCampos[[#This Row],[Tipo]]="","",tblListadoCampos[[#This Row],[Abreviatura]]&amp;tblListadoCampos[[#This Row],[Nombre]])</f>
        <v/>
      </c>
      <c r="D29" s="2" t="str">
        <f>IF(tblListadoCampos[[#This Row],[Tipo]]="","",VLOOKUP(tblListadoCampos[[#This Row],[Tipo]],tblControles[],2,0))</f>
        <v/>
      </c>
      <c r="E29" t="s">
        <v>194</v>
      </c>
      <c r="F29" t="s">
        <v>206</v>
      </c>
      <c r="G29" t="s">
        <v>401</v>
      </c>
    </row>
    <row r="30" spans="1:8" hidden="1" x14ac:dyDescent="0.25">
      <c r="A30" s="1" t="s">
        <v>234</v>
      </c>
      <c r="B30" t="str">
        <f>IF(tblListadoCampos[[#This Row],[Tipo]]="","",tblListadoCampos[[#This Row],[Abreviatura]]&amp;tblListadoCampos[[#This Row],[Nombre]])</f>
        <v/>
      </c>
      <c r="D30" s="2" t="str">
        <f>IF(tblListadoCampos[[#This Row],[Tipo]]="","",VLOOKUP(tblListadoCampos[[#This Row],[Tipo]],tblControles[],2,0))</f>
        <v/>
      </c>
      <c r="E30" t="s">
        <v>233</v>
      </c>
      <c r="F30" t="s">
        <v>235</v>
      </c>
      <c r="G30" t="s">
        <v>415</v>
      </c>
    </row>
    <row r="31" spans="1:8" hidden="1" x14ac:dyDescent="0.25">
      <c r="A31" s="1" t="s">
        <v>234</v>
      </c>
      <c r="B31" t="str">
        <f>IF(tblListadoCampos[[#This Row],[Tipo]]="","",tblListadoCampos[[#This Row],[Abreviatura]]&amp;tblListadoCampos[[#This Row],[Nombre]])</f>
        <v/>
      </c>
      <c r="D31" s="2" t="str">
        <f>IF(tblListadoCampos[[#This Row],[Tipo]]="","",VLOOKUP(tblListadoCampos[[#This Row],[Tipo]],tblControles[],2,0))</f>
        <v/>
      </c>
      <c r="E31" t="s">
        <v>183</v>
      </c>
      <c r="F31" t="s">
        <v>224</v>
      </c>
      <c r="G31" t="s">
        <v>189</v>
      </c>
    </row>
    <row r="32" spans="1:8" hidden="1" x14ac:dyDescent="0.25">
      <c r="A32" s="1" t="s">
        <v>234</v>
      </c>
      <c r="B32" t="str">
        <f>IF(tblListadoCampos[[#This Row],[Tipo]]="","",tblListadoCampos[[#This Row],[Abreviatura]]&amp;tblListadoCampos[[#This Row],[Nombre]])</f>
        <v/>
      </c>
      <c r="D32" s="2" t="str">
        <f>IF(tblListadoCampos[[#This Row],[Tipo]]="","",VLOOKUP(tblListadoCampos[[#This Row],[Tipo]],tblControles[],2,0))</f>
        <v/>
      </c>
      <c r="E32" t="s">
        <v>184</v>
      </c>
      <c r="F32" t="s">
        <v>225</v>
      </c>
      <c r="G32" t="s">
        <v>190</v>
      </c>
    </row>
    <row r="33" spans="1:7" hidden="1" x14ac:dyDescent="0.25">
      <c r="A33" s="1" t="s">
        <v>234</v>
      </c>
      <c r="B33" t="str">
        <f>IF(tblListadoCampos[[#This Row],[Tipo]]="","",tblListadoCampos[[#This Row],[Abreviatura]]&amp;tblListadoCampos[[#This Row],[Nombre]])</f>
        <v/>
      </c>
      <c r="D33" s="2" t="str">
        <f>IF(tblListadoCampos[[#This Row],[Tipo]]="","",VLOOKUP(tblListadoCampos[[#This Row],[Tipo]],tblControles[],2,0))</f>
        <v/>
      </c>
      <c r="E33" t="s">
        <v>185</v>
      </c>
      <c r="F33" t="s">
        <v>226</v>
      </c>
      <c r="G33" t="s">
        <v>191</v>
      </c>
    </row>
    <row r="34" spans="1:7" hidden="1" x14ac:dyDescent="0.25">
      <c r="A34" s="1" t="s">
        <v>234</v>
      </c>
      <c r="B34" t="str">
        <f>IF(tblListadoCampos[[#This Row],[Tipo]]="","",tblListadoCampos[[#This Row],[Abreviatura]]&amp;tblListadoCampos[[#This Row],[Nombre]])</f>
        <v/>
      </c>
      <c r="D34" s="2" t="str">
        <f>IF(tblListadoCampos[[#This Row],[Tipo]]="","",VLOOKUP(tblListadoCampos[[#This Row],[Tipo]],tblControles[],2,0))</f>
        <v/>
      </c>
      <c r="E34" t="s">
        <v>186</v>
      </c>
      <c r="F34" t="s">
        <v>227</v>
      </c>
      <c r="G34" t="s">
        <v>192</v>
      </c>
    </row>
    <row r="35" spans="1:7" hidden="1" x14ac:dyDescent="0.25">
      <c r="A35" t="s">
        <v>249</v>
      </c>
      <c r="B35" t="str">
        <f>IF(tblListadoCampos[[#This Row],[Tipo]]="","",tblListadoCampos[[#This Row],[Abreviatura]]&amp;tblListadoCampos[[#This Row],[Nombre]])</f>
        <v/>
      </c>
      <c r="D35" s="2" t="str">
        <f>IF(tblListadoCampos[[#This Row],[Tipo]]="","",VLOOKUP(tblListadoCampos[[#This Row],[Tipo]],tblControles[],2,0))</f>
        <v/>
      </c>
      <c r="E35" t="s">
        <v>194</v>
      </c>
      <c r="F35" t="s">
        <v>206</v>
      </c>
      <c r="G35" t="s">
        <v>401</v>
      </c>
    </row>
    <row r="36" spans="1:7" hidden="1" x14ac:dyDescent="0.25">
      <c r="A36" t="s">
        <v>249</v>
      </c>
      <c r="B36" t="str">
        <f>IF(tblListadoCampos[[#This Row],[Tipo]]="","",tblListadoCampos[[#This Row],[Abreviatura]]&amp;tblListadoCampos[[#This Row],[Nombre]])</f>
        <v/>
      </c>
      <c r="D36" s="2" t="str">
        <f>IF(tblListadoCampos[[#This Row],[Tipo]]="","",VLOOKUP(tblListadoCampos[[#This Row],[Tipo]],tblControles[],2,0))</f>
        <v/>
      </c>
      <c r="E36" t="s">
        <v>233</v>
      </c>
      <c r="F36" t="s">
        <v>250</v>
      </c>
      <c r="G36" t="s">
        <v>416</v>
      </c>
    </row>
    <row r="37" spans="1:7" hidden="1" x14ac:dyDescent="0.25">
      <c r="A37" t="s">
        <v>249</v>
      </c>
      <c r="B37" t="str">
        <f>IF(tblListadoCampos[[#This Row],[Tipo]]="","",tblListadoCampos[[#This Row],[Abreviatura]]&amp;tblListadoCampos[[#This Row],[Nombre]])</f>
        <v/>
      </c>
      <c r="D37" s="2" t="str">
        <f>IF(tblListadoCampos[[#This Row],[Tipo]]="","",VLOOKUP(tblListadoCampos[[#This Row],[Tipo]],tblControles[],2,0))</f>
        <v/>
      </c>
      <c r="E37" t="s">
        <v>201</v>
      </c>
      <c r="F37" t="s">
        <v>215</v>
      </c>
      <c r="G37" t="s">
        <v>408</v>
      </c>
    </row>
    <row r="38" spans="1:7" hidden="1" x14ac:dyDescent="0.25">
      <c r="A38" t="s">
        <v>249</v>
      </c>
      <c r="B38" t="str">
        <f>IF(tblListadoCampos[[#This Row],[Tipo]]="","",tblListadoCampos[[#This Row],[Abreviatura]]&amp;tblListadoCampos[[#This Row],[Nombre]])</f>
        <v/>
      </c>
      <c r="D38" s="2" t="str">
        <f>IF(tblListadoCampos[[#This Row],[Tipo]]="","",VLOOKUP(tblListadoCampos[[#This Row],[Tipo]],tblControles[],2,0))</f>
        <v/>
      </c>
      <c r="E38" t="s">
        <v>236</v>
      </c>
      <c r="F38" t="s">
        <v>251</v>
      </c>
      <c r="G38" t="s">
        <v>417</v>
      </c>
    </row>
    <row r="39" spans="1:7" hidden="1" x14ac:dyDescent="0.25">
      <c r="A39" t="s">
        <v>249</v>
      </c>
      <c r="B39" t="str">
        <f>IF(tblListadoCampos[[#This Row],[Tipo]]="","",tblListadoCampos[[#This Row],[Abreviatura]]&amp;tblListadoCampos[[#This Row],[Nombre]])</f>
        <v/>
      </c>
      <c r="D39" s="2" t="str">
        <f>IF(tblListadoCampos[[#This Row],[Tipo]]="","",VLOOKUP(tblListadoCampos[[#This Row],[Tipo]],tblControles[],2,0))</f>
        <v/>
      </c>
      <c r="E39" t="s">
        <v>237</v>
      </c>
      <c r="F39" t="s">
        <v>252</v>
      </c>
      <c r="G39" t="s">
        <v>418</v>
      </c>
    </row>
    <row r="40" spans="1:7" hidden="1" x14ac:dyDescent="0.25">
      <c r="A40" t="s">
        <v>249</v>
      </c>
      <c r="B40" t="str">
        <f>IF(tblListadoCampos[[#This Row],[Tipo]]="","",tblListadoCampos[[#This Row],[Abreviatura]]&amp;tblListadoCampos[[#This Row],[Nombre]])</f>
        <v/>
      </c>
      <c r="D40" s="2" t="str">
        <f>IF(tblListadoCampos[[#This Row],[Tipo]]="","",VLOOKUP(tblListadoCampos[[#This Row],[Tipo]],tblControles[],2,0))</f>
        <v/>
      </c>
      <c r="E40" t="s">
        <v>238</v>
      </c>
      <c r="F40" t="s">
        <v>253</v>
      </c>
      <c r="G40" t="s">
        <v>419</v>
      </c>
    </row>
    <row r="41" spans="1:7" hidden="1" x14ac:dyDescent="0.25">
      <c r="A41" t="s">
        <v>249</v>
      </c>
      <c r="B41" t="str">
        <f>IF(tblListadoCampos[[#This Row],[Tipo]]="","",tblListadoCampos[[#This Row],[Abreviatura]]&amp;tblListadoCampos[[#This Row],[Nombre]])</f>
        <v/>
      </c>
      <c r="D41" s="2" t="str">
        <f>IF(tblListadoCampos[[#This Row],[Tipo]]="","",VLOOKUP(tblListadoCampos[[#This Row],[Tipo]],tblControles[],2,0))</f>
        <v/>
      </c>
      <c r="E41" t="s">
        <v>239</v>
      </c>
      <c r="F41" t="s">
        <v>254</v>
      </c>
      <c r="G41" t="s">
        <v>420</v>
      </c>
    </row>
    <row r="42" spans="1:7" hidden="1" x14ac:dyDescent="0.25">
      <c r="A42" t="s">
        <v>249</v>
      </c>
      <c r="B42" t="str">
        <f>IF(tblListadoCampos[[#This Row],[Tipo]]="","",tblListadoCampos[[#This Row],[Abreviatura]]&amp;tblListadoCampos[[#This Row],[Nombre]])</f>
        <v/>
      </c>
      <c r="D42" s="2" t="str">
        <f>IF(tblListadoCampos[[#This Row],[Tipo]]="","",VLOOKUP(tblListadoCampos[[#This Row],[Tipo]],tblControles[],2,0))</f>
        <v/>
      </c>
      <c r="E42" t="s">
        <v>240</v>
      </c>
      <c r="F42" t="s">
        <v>255</v>
      </c>
      <c r="G42" t="s">
        <v>421</v>
      </c>
    </row>
    <row r="43" spans="1:7" hidden="1" x14ac:dyDescent="0.25">
      <c r="A43" t="s">
        <v>249</v>
      </c>
      <c r="B43" t="str">
        <f>IF(tblListadoCampos[[#This Row],[Tipo]]="","",tblListadoCampos[[#This Row],[Abreviatura]]&amp;tblListadoCampos[[#This Row],[Nombre]])</f>
        <v/>
      </c>
      <c r="D43" s="2" t="str">
        <f>IF(tblListadoCampos[[#This Row],[Tipo]]="","",VLOOKUP(tblListadoCampos[[#This Row],[Tipo]],tblControles[],2,0))</f>
        <v/>
      </c>
      <c r="E43" t="s">
        <v>241</v>
      </c>
      <c r="F43" t="s">
        <v>256</v>
      </c>
      <c r="G43" t="s">
        <v>422</v>
      </c>
    </row>
    <row r="44" spans="1:7" hidden="1" x14ac:dyDescent="0.25">
      <c r="A44" t="s">
        <v>249</v>
      </c>
      <c r="B44" t="str">
        <f>IF(tblListadoCampos[[#This Row],[Tipo]]="","",tblListadoCampos[[#This Row],[Abreviatura]]&amp;tblListadoCampos[[#This Row],[Nombre]])</f>
        <v/>
      </c>
      <c r="D44" s="2" t="str">
        <f>IF(tblListadoCampos[[#This Row],[Tipo]]="","",VLOOKUP(tblListadoCampos[[#This Row],[Tipo]],tblControles[],2,0))</f>
        <v/>
      </c>
      <c r="E44" t="s">
        <v>242</v>
      </c>
      <c r="F44" t="s">
        <v>257</v>
      </c>
      <c r="G44" t="s">
        <v>423</v>
      </c>
    </row>
    <row r="45" spans="1:7" hidden="1" x14ac:dyDescent="0.25">
      <c r="A45" t="s">
        <v>249</v>
      </c>
      <c r="B45" t="str">
        <f>IF(tblListadoCampos[[#This Row],[Tipo]]="","",tblListadoCampos[[#This Row],[Abreviatura]]&amp;tblListadoCampos[[#This Row],[Nombre]])</f>
        <v/>
      </c>
      <c r="D45" s="2" t="str">
        <f>IF(tblListadoCampos[[#This Row],[Tipo]]="","",VLOOKUP(tblListadoCampos[[#This Row],[Tipo]],tblControles[],2,0))</f>
        <v/>
      </c>
      <c r="E45" t="s">
        <v>243</v>
      </c>
      <c r="F45" t="s">
        <v>258</v>
      </c>
      <c r="G45" t="s">
        <v>424</v>
      </c>
    </row>
    <row r="46" spans="1:7" hidden="1" x14ac:dyDescent="0.25">
      <c r="A46" t="s">
        <v>249</v>
      </c>
      <c r="B46" t="str">
        <f>IF(tblListadoCampos[[#This Row],[Tipo]]="","",tblListadoCampos[[#This Row],[Abreviatura]]&amp;tblListadoCampos[[#This Row],[Nombre]])</f>
        <v/>
      </c>
      <c r="D46" s="2" t="str">
        <f>IF(tblListadoCampos[[#This Row],[Tipo]]="","",VLOOKUP(tblListadoCampos[[#This Row],[Tipo]],tblControles[],2,0))</f>
        <v/>
      </c>
      <c r="E46" t="s">
        <v>244</v>
      </c>
      <c r="F46" t="s">
        <v>259</v>
      </c>
      <c r="G46" t="s">
        <v>425</v>
      </c>
    </row>
    <row r="47" spans="1:7" hidden="1" x14ac:dyDescent="0.25">
      <c r="A47" t="s">
        <v>249</v>
      </c>
      <c r="B47" t="str">
        <f>IF(tblListadoCampos[[#This Row],[Tipo]]="","",tblListadoCampos[[#This Row],[Abreviatura]]&amp;tblListadoCampos[[#This Row],[Nombre]])</f>
        <v/>
      </c>
      <c r="D47" s="2" t="str">
        <f>IF(tblListadoCampos[[#This Row],[Tipo]]="","",VLOOKUP(tblListadoCampos[[#This Row],[Tipo]],tblControles[],2,0))</f>
        <v/>
      </c>
      <c r="E47" t="s">
        <v>245</v>
      </c>
      <c r="F47" t="s">
        <v>260</v>
      </c>
      <c r="G47" t="s">
        <v>426</v>
      </c>
    </row>
    <row r="48" spans="1:7" hidden="1" x14ac:dyDescent="0.25">
      <c r="A48" t="s">
        <v>249</v>
      </c>
      <c r="B48" t="str">
        <f>IF(tblListadoCampos[[#This Row],[Tipo]]="","",tblListadoCampos[[#This Row],[Abreviatura]]&amp;tblListadoCampos[[#This Row],[Nombre]])</f>
        <v/>
      </c>
      <c r="D48" s="2" t="str">
        <f>IF(tblListadoCampos[[#This Row],[Tipo]]="","",VLOOKUP(tblListadoCampos[[#This Row],[Tipo]],tblControles[],2,0))</f>
        <v/>
      </c>
      <c r="E48" t="s">
        <v>246</v>
      </c>
      <c r="F48" t="s">
        <v>261</v>
      </c>
      <c r="G48" t="s">
        <v>427</v>
      </c>
    </row>
    <row r="49" spans="1:7" hidden="1" x14ac:dyDescent="0.25">
      <c r="A49" t="s">
        <v>249</v>
      </c>
      <c r="B49" t="str">
        <f>IF(tblListadoCampos[[#This Row],[Tipo]]="","",tblListadoCampos[[#This Row],[Abreviatura]]&amp;tblListadoCampos[[#This Row],[Nombre]])</f>
        <v/>
      </c>
      <c r="D49" s="2" t="str">
        <f>IF(tblListadoCampos[[#This Row],[Tipo]]="","",VLOOKUP(tblListadoCampos[[#This Row],[Tipo]],tblControles[],2,0))</f>
        <v/>
      </c>
      <c r="E49" t="s">
        <v>247</v>
      </c>
      <c r="F49" t="s">
        <v>262</v>
      </c>
      <c r="G49" t="s">
        <v>428</v>
      </c>
    </row>
    <row r="50" spans="1:7" hidden="1" x14ac:dyDescent="0.25">
      <c r="A50" t="s">
        <v>249</v>
      </c>
      <c r="B50" t="str">
        <f>IF(tblListadoCampos[[#This Row],[Tipo]]="","",tblListadoCampos[[#This Row],[Abreviatura]]&amp;tblListadoCampos[[#This Row],[Nombre]])</f>
        <v/>
      </c>
      <c r="D50" s="2" t="str">
        <f>IF(tblListadoCampos[[#This Row],[Tipo]]="","",VLOOKUP(tblListadoCampos[[#This Row],[Tipo]],tblControles[],2,0))</f>
        <v/>
      </c>
      <c r="E50" t="s">
        <v>248</v>
      </c>
      <c r="F50" t="s">
        <v>263</v>
      </c>
      <c r="G50" t="s">
        <v>429</v>
      </c>
    </row>
    <row r="51" spans="1:7" hidden="1" x14ac:dyDescent="0.25">
      <c r="A51" t="s">
        <v>272</v>
      </c>
      <c r="B51" t="str">
        <f>IF(tblListadoCampos[[#This Row],[Tipo]]="","",tblListadoCampos[[#This Row],[Abreviatura]]&amp;tblListadoCampos[[#This Row],[Nombre]])</f>
        <v/>
      </c>
      <c r="D51" s="2" t="str">
        <f>IF(tblListadoCampos[[#This Row],[Tipo]]="","",VLOOKUP(tblListadoCampos[[#This Row],[Tipo]],tblControles[],2,0))</f>
        <v/>
      </c>
      <c r="E51" t="s">
        <v>194</v>
      </c>
      <c r="F51" t="s">
        <v>206</v>
      </c>
      <c r="G51" t="s">
        <v>401</v>
      </c>
    </row>
    <row r="52" spans="1:7" hidden="1" x14ac:dyDescent="0.25">
      <c r="A52" t="s">
        <v>272</v>
      </c>
      <c r="B52" t="str">
        <f>IF(tblListadoCampos[[#This Row],[Tipo]]="","",tblListadoCampos[[#This Row],[Abreviatura]]&amp;tblListadoCampos[[#This Row],[Nombre]])</f>
        <v/>
      </c>
      <c r="D52" s="2" t="str">
        <f>IF(tblListadoCampos[[#This Row],[Tipo]]="","",VLOOKUP(tblListadoCampos[[#This Row],[Tipo]],tblControles[],2,0))</f>
        <v/>
      </c>
      <c r="E52" t="s">
        <v>264</v>
      </c>
      <c r="F52" t="s">
        <v>273</v>
      </c>
      <c r="G52" t="s">
        <v>430</v>
      </c>
    </row>
    <row r="53" spans="1:7" hidden="1" x14ac:dyDescent="0.25">
      <c r="A53" t="s">
        <v>272</v>
      </c>
      <c r="B53" t="str">
        <f>IF(tblListadoCampos[[#This Row],[Tipo]]="","",tblListadoCampos[[#This Row],[Abreviatura]]&amp;tblListadoCampos[[#This Row],[Nombre]])</f>
        <v/>
      </c>
      <c r="D53" s="2" t="str">
        <f>IF(tblListadoCampos[[#This Row],[Tipo]]="","",VLOOKUP(tblListadoCampos[[#This Row],[Tipo]],tblControles[],2,0))</f>
        <v/>
      </c>
      <c r="E53" t="s">
        <v>265</v>
      </c>
      <c r="F53" t="s">
        <v>274</v>
      </c>
      <c r="G53" t="s">
        <v>431</v>
      </c>
    </row>
    <row r="54" spans="1:7" hidden="1" x14ac:dyDescent="0.25">
      <c r="A54" t="s">
        <v>272</v>
      </c>
      <c r="B54" t="str">
        <f>IF(tblListadoCampos[[#This Row],[Tipo]]="","",tblListadoCampos[[#This Row],[Abreviatura]]&amp;tblListadoCampos[[#This Row],[Nombre]])</f>
        <v/>
      </c>
      <c r="D54" s="2" t="str">
        <f>IF(tblListadoCampos[[#This Row],[Tipo]]="","",VLOOKUP(tblListadoCampos[[#This Row],[Tipo]],tblControles[],2,0))</f>
        <v/>
      </c>
      <c r="E54" t="s">
        <v>238</v>
      </c>
      <c r="F54" t="s">
        <v>253</v>
      </c>
      <c r="G54" t="s">
        <v>419</v>
      </c>
    </row>
    <row r="55" spans="1:7" hidden="1" x14ac:dyDescent="0.25">
      <c r="A55" t="s">
        <v>272</v>
      </c>
      <c r="B55" t="str">
        <f>IF(tblListadoCampos[[#This Row],[Tipo]]="","",tblListadoCampos[[#This Row],[Abreviatura]]&amp;tblListadoCampos[[#This Row],[Nombre]])</f>
        <v/>
      </c>
      <c r="D55" s="2" t="str">
        <f>IF(tblListadoCampos[[#This Row],[Tipo]]="","",VLOOKUP(tblListadoCampos[[#This Row],[Tipo]],tblControles[],2,0))</f>
        <v/>
      </c>
      <c r="E55" t="s">
        <v>266</v>
      </c>
      <c r="F55" t="s">
        <v>275</v>
      </c>
      <c r="G55" t="s">
        <v>432</v>
      </c>
    </row>
    <row r="56" spans="1:7" hidden="1" x14ac:dyDescent="0.25">
      <c r="A56" t="s">
        <v>272</v>
      </c>
      <c r="B56" t="str">
        <f>IF(tblListadoCampos[[#This Row],[Tipo]]="","",tblListadoCampos[[#This Row],[Abreviatura]]&amp;tblListadoCampos[[#This Row],[Nombre]])</f>
        <v/>
      </c>
      <c r="D56" s="2" t="str">
        <f>IF(tblListadoCampos[[#This Row],[Tipo]]="","",VLOOKUP(tblListadoCampos[[#This Row],[Tipo]],tblControles[],2,0))</f>
        <v/>
      </c>
      <c r="E56" t="s">
        <v>267</v>
      </c>
      <c r="F56" t="s">
        <v>276</v>
      </c>
      <c r="G56" t="s">
        <v>433</v>
      </c>
    </row>
    <row r="57" spans="1:7" hidden="1" x14ac:dyDescent="0.25">
      <c r="A57" t="s">
        <v>272</v>
      </c>
      <c r="B57" t="str">
        <f>IF(tblListadoCampos[[#This Row],[Tipo]]="","",tblListadoCampos[[#This Row],[Abreviatura]]&amp;tblListadoCampos[[#This Row],[Nombre]])</f>
        <v/>
      </c>
      <c r="D57" s="2" t="str">
        <f>IF(tblListadoCampos[[#This Row],[Tipo]]="","",VLOOKUP(tblListadoCampos[[#This Row],[Tipo]],tblControles[],2,0))</f>
        <v/>
      </c>
      <c r="E57" t="s">
        <v>268</v>
      </c>
      <c r="F57" t="s">
        <v>277</v>
      </c>
      <c r="G57" t="s">
        <v>434</v>
      </c>
    </row>
    <row r="58" spans="1:7" hidden="1" x14ac:dyDescent="0.25">
      <c r="A58" t="s">
        <v>272</v>
      </c>
      <c r="B58" t="str">
        <f>IF(tblListadoCampos[[#This Row],[Tipo]]="","",tblListadoCampos[[#This Row],[Abreviatura]]&amp;tblListadoCampos[[#This Row],[Nombre]])</f>
        <v/>
      </c>
      <c r="D58" s="2" t="str">
        <f>IF(tblListadoCampos[[#This Row],[Tipo]]="","",VLOOKUP(tblListadoCampos[[#This Row],[Tipo]],tblControles[],2,0))</f>
        <v/>
      </c>
      <c r="E58" t="s">
        <v>269</v>
      </c>
      <c r="F58" t="s">
        <v>278</v>
      </c>
      <c r="G58" t="s">
        <v>435</v>
      </c>
    </row>
    <row r="59" spans="1:7" hidden="1" x14ac:dyDescent="0.25">
      <c r="A59" t="s">
        <v>272</v>
      </c>
      <c r="B59" t="str">
        <f>IF(tblListadoCampos[[#This Row],[Tipo]]="","",tblListadoCampos[[#This Row],[Abreviatura]]&amp;tblListadoCampos[[#This Row],[Nombre]])</f>
        <v/>
      </c>
      <c r="D59" s="2" t="str">
        <f>IF(tblListadoCampos[[#This Row],[Tipo]]="","",VLOOKUP(tblListadoCampos[[#This Row],[Tipo]],tblControles[],2,0))</f>
        <v/>
      </c>
      <c r="E59" t="s">
        <v>270</v>
      </c>
      <c r="F59" t="s">
        <v>279</v>
      </c>
      <c r="G59" t="s">
        <v>436</v>
      </c>
    </row>
    <row r="60" spans="1:7" hidden="1" x14ac:dyDescent="0.25">
      <c r="A60" t="s">
        <v>272</v>
      </c>
      <c r="B60" t="str">
        <f>IF(tblListadoCampos[[#This Row],[Tipo]]="","",tblListadoCampos[[#This Row],[Abreviatura]]&amp;tblListadoCampos[[#This Row],[Nombre]])</f>
        <v/>
      </c>
      <c r="D60" s="2" t="str">
        <f>IF(tblListadoCampos[[#This Row],[Tipo]]="","",VLOOKUP(tblListadoCampos[[#This Row],[Tipo]],tblControles[],2,0))</f>
        <v/>
      </c>
      <c r="E60" t="s">
        <v>271</v>
      </c>
      <c r="F60" t="s">
        <v>280</v>
      </c>
      <c r="G60" t="s">
        <v>437</v>
      </c>
    </row>
    <row r="61" spans="1:7" hidden="1" x14ac:dyDescent="0.25">
      <c r="A61" t="s">
        <v>286</v>
      </c>
      <c r="B61" t="str">
        <f>IF(tblListadoCampos[[#This Row],[Tipo]]="","",tblListadoCampos[[#This Row],[Abreviatura]]&amp;tblListadoCampos[[#This Row],[Nombre]])</f>
        <v/>
      </c>
      <c r="D61" s="2" t="str">
        <f>IF(tblListadoCampos[[#This Row],[Tipo]]="","",VLOOKUP(tblListadoCampos[[#This Row],[Tipo]],tblControles[],2,0))</f>
        <v/>
      </c>
      <c r="E61" t="s">
        <v>194</v>
      </c>
      <c r="F61" t="s">
        <v>206</v>
      </c>
      <c r="G61" t="s">
        <v>401</v>
      </c>
    </row>
    <row r="62" spans="1:7" hidden="1" x14ac:dyDescent="0.25">
      <c r="A62" t="s">
        <v>286</v>
      </c>
      <c r="B62" t="str">
        <f>IF(tblListadoCampos[[#This Row],[Tipo]]="","",tblListadoCampos[[#This Row],[Abreviatura]]&amp;tblListadoCampos[[#This Row],[Nombre]])</f>
        <v/>
      </c>
      <c r="D62" s="2" t="str">
        <f>IF(tblListadoCampos[[#This Row],[Tipo]]="","",VLOOKUP(tblListadoCampos[[#This Row],[Tipo]],tblControles[],2,0))</f>
        <v/>
      </c>
      <c r="E62" t="s">
        <v>281</v>
      </c>
      <c r="F62" t="s">
        <v>287</v>
      </c>
      <c r="G62" t="s">
        <v>438</v>
      </c>
    </row>
    <row r="63" spans="1:7" hidden="1" x14ac:dyDescent="0.25">
      <c r="A63" t="s">
        <v>286</v>
      </c>
      <c r="B63" t="str">
        <f>IF(tblListadoCampos[[#This Row],[Tipo]]="","",tblListadoCampos[[#This Row],[Abreviatura]]&amp;tblListadoCampos[[#This Row],[Nombre]])</f>
        <v/>
      </c>
      <c r="D63" s="2" t="str">
        <f>IF(tblListadoCampos[[#This Row],[Tipo]]="","",VLOOKUP(tblListadoCampos[[#This Row],[Tipo]],tblControles[],2,0))</f>
        <v/>
      </c>
      <c r="E63" t="s">
        <v>265</v>
      </c>
      <c r="F63" t="s">
        <v>288</v>
      </c>
      <c r="G63" t="s">
        <v>439</v>
      </c>
    </row>
    <row r="64" spans="1:7" hidden="1" x14ac:dyDescent="0.25">
      <c r="A64" t="s">
        <v>286</v>
      </c>
      <c r="B64" t="str">
        <f>IF(tblListadoCampos[[#This Row],[Tipo]]="","",tblListadoCampos[[#This Row],[Abreviatura]]&amp;tblListadoCampos[[#This Row],[Nombre]])</f>
        <v/>
      </c>
      <c r="D64" s="2" t="str">
        <f>IF(tblListadoCampos[[#This Row],[Tipo]]="","",VLOOKUP(tblListadoCampos[[#This Row],[Tipo]],tblControles[],2,0))</f>
        <v/>
      </c>
      <c r="E64" t="s">
        <v>238</v>
      </c>
      <c r="F64" t="s">
        <v>253</v>
      </c>
      <c r="G64" t="s">
        <v>419</v>
      </c>
    </row>
    <row r="65" spans="1:7" hidden="1" x14ac:dyDescent="0.25">
      <c r="A65" t="s">
        <v>286</v>
      </c>
      <c r="B65" t="str">
        <f>IF(tblListadoCampos[[#This Row],[Tipo]]="","",tblListadoCampos[[#This Row],[Abreviatura]]&amp;tblListadoCampos[[#This Row],[Nombre]])</f>
        <v/>
      </c>
      <c r="D65" s="2" t="str">
        <f>IF(tblListadoCampos[[#This Row],[Tipo]]="","",VLOOKUP(tblListadoCampos[[#This Row],[Tipo]],tblControles[],2,0))</f>
        <v/>
      </c>
      <c r="E65" t="s">
        <v>282</v>
      </c>
      <c r="F65" t="s">
        <v>289</v>
      </c>
      <c r="G65" t="s">
        <v>440</v>
      </c>
    </row>
    <row r="66" spans="1:7" hidden="1" x14ac:dyDescent="0.25">
      <c r="A66" t="s">
        <v>286</v>
      </c>
      <c r="B66" t="str">
        <f>IF(tblListadoCampos[[#This Row],[Tipo]]="","",tblListadoCampos[[#This Row],[Abreviatura]]&amp;tblListadoCampos[[#This Row],[Nombre]])</f>
        <v/>
      </c>
      <c r="D66" s="2" t="str">
        <f>IF(tblListadoCampos[[#This Row],[Tipo]]="","",VLOOKUP(tblListadoCampos[[#This Row],[Tipo]],tblControles[],2,0))</f>
        <v/>
      </c>
      <c r="E66" t="s">
        <v>283</v>
      </c>
      <c r="F66" t="s">
        <v>290</v>
      </c>
      <c r="G66" t="s">
        <v>441</v>
      </c>
    </row>
    <row r="67" spans="1:7" hidden="1" x14ac:dyDescent="0.25">
      <c r="A67" t="s">
        <v>286</v>
      </c>
      <c r="B67" t="str">
        <f>IF(tblListadoCampos[[#This Row],[Tipo]]="","",tblListadoCampos[[#This Row],[Abreviatura]]&amp;tblListadoCampos[[#This Row],[Nombre]])</f>
        <v/>
      </c>
      <c r="D67" s="2" t="str">
        <f>IF(tblListadoCampos[[#This Row],[Tipo]]="","",VLOOKUP(tblListadoCampos[[#This Row],[Tipo]],tblControles[],2,0))</f>
        <v/>
      </c>
      <c r="E67" t="s">
        <v>284</v>
      </c>
      <c r="F67" t="s">
        <v>291</v>
      </c>
      <c r="G67" t="s">
        <v>442</v>
      </c>
    </row>
    <row r="68" spans="1:7" hidden="1" x14ac:dyDescent="0.25">
      <c r="A68" t="s">
        <v>286</v>
      </c>
      <c r="B68" t="str">
        <f>IF(tblListadoCampos[[#This Row],[Tipo]]="","",tblListadoCampos[[#This Row],[Abreviatura]]&amp;tblListadoCampos[[#This Row],[Nombre]])</f>
        <v/>
      </c>
      <c r="D68" s="2" t="str">
        <f>IF(tblListadoCampos[[#This Row],[Tipo]]="","",VLOOKUP(tblListadoCampos[[#This Row],[Tipo]],tblControles[],2,0))</f>
        <v/>
      </c>
      <c r="E68" t="s">
        <v>285</v>
      </c>
      <c r="F68" t="s">
        <v>292</v>
      </c>
      <c r="G68" t="s">
        <v>443</v>
      </c>
    </row>
    <row r="69" spans="1:7" hidden="1" x14ac:dyDescent="0.25">
      <c r="A69" t="s">
        <v>295</v>
      </c>
      <c r="B69" t="str">
        <f>IF(tblListadoCampos[[#This Row],[Tipo]]="","",tblListadoCampos[[#This Row],[Abreviatura]]&amp;tblListadoCampos[[#This Row],[Nombre]])</f>
        <v/>
      </c>
      <c r="D69" s="2" t="str">
        <f>IF(tblListadoCampos[[#This Row],[Tipo]]="","",VLOOKUP(tblListadoCampos[[#This Row],[Tipo]],tblControles[],2,0))</f>
        <v/>
      </c>
      <c r="E69" t="s">
        <v>194</v>
      </c>
      <c r="F69" t="s">
        <v>206</v>
      </c>
      <c r="G69" t="s">
        <v>401</v>
      </c>
    </row>
    <row r="70" spans="1:7" hidden="1" x14ac:dyDescent="0.25">
      <c r="A70" t="s">
        <v>295</v>
      </c>
      <c r="B70" t="str">
        <f>IF(tblListadoCampos[[#This Row],[Tipo]]="","",tblListadoCampos[[#This Row],[Abreviatura]]&amp;tblListadoCampos[[#This Row],[Nombre]])</f>
        <v/>
      </c>
      <c r="D70" s="2" t="str">
        <f>IF(tblListadoCampos[[#This Row],[Tipo]]="","",VLOOKUP(tblListadoCampos[[#This Row],[Tipo]],tblControles[],2,0))</f>
        <v/>
      </c>
      <c r="E70" t="s">
        <v>228</v>
      </c>
      <c r="F70" t="s">
        <v>296</v>
      </c>
      <c r="G70" t="s">
        <v>400</v>
      </c>
    </row>
    <row r="71" spans="1:7" hidden="1" x14ac:dyDescent="0.25">
      <c r="A71" t="s">
        <v>295</v>
      </c>
      <c r="B71" t="str">
        <f>IF(tblListadoCampos[[#This Row],[Tipo]]="","",tblListadoCampos[[#This Row],[Abreviatura]]&amp;tblListadoCampos[[#This Row],[Nombre]])</f>
        <v/>
      </c>
      <c r="D71" s="2" t="str">
        <f>IF(tblListadoCampos[[#This Row],[Tipo]]="","",VLOOKUP(tblListadoCampos[[#This Row],[Tipo]],tblControles[],2,0))</f>
        <v/>
      </c>
      <c r="E71" t="s">
        <v>293</v>
      </c>
      <c r="F71" t="s">
        <v>297</v>
      </c>
      <c r="G71" t="s">
        <v>444</v>
      </c>
    </row>
    <row r="72" spans="1:7" hidden="1" x14ac:dyDescent="0.25">
      <c r="A72" t="s">
        <v>295</v>
      </c>
      <c r="B72" t="str">
        <f>IF(tblListadoCampos[[#This Row],[Tipo]]="","",tblListadoCampos[[#This Row],[Abreviatura]]&amp;tblListadoCampos[[#This Row],[Nombre]])</f>
        <v/>
      </c>
      <c r="D72" s="2" t="str">
        <f>IF(tblListadoCampos[[#This Row],[Tipo]]="","",VLOOKUP(tblListadoCampos[[#This Row],[Tipo]],tblControles[],2,0))</f>
        <v/>
      </c>
      <c r="E72" t="s">
        <v>294</v>
      </c>
      <c r="F72" t="s">
        <v>298</v>
      </c>
      <c r="G72" t="s">
        <v>445</v>
      </c>
    </row>
    <row r="73" spans="1:7" hidden="1" x14ac:dyDescent="0.25">
      <c r="A73" t="s">
        <v>301</v>
      </c>
      <c r="B73" t="str">
        <f>IF(tblListadoCampos[[#This Row],[Tipo]]="","",tblListadoCampos[[#This Row],[Abreviatura]]&amp;tblListadoCampos[[#This Row],[Nombre]])</f>
        <v/>
      </c>
      <c r="D73" s="2" t="str">
        <f>IF(tblListadoCampos[[#This Row],[Tipo]]="","",VLOOKUP(tblListadoCampos[[#This Row],[Tipo]],tblControles[],2,0))</f>
        <v/>
      </c>
      <c r="E73" t="s">
        <v>299</v>
      </c>
      <c r="F73" t="s">
        <v>302</v>
      </c>
      <c r="G73" t="s">
        <v>446</v>
      </c>
    </row>
    <row r="74" spans="1:7" hidden="1" x14ac:dyDescent="0.25">
      <c r="A74" t="s">
        <v>301</v>
      </c>
      <c r="B74" t="str">
        <f>IF(tblListadoCampos[[#This Row],[Tipo]]="","",tblListadoCampos[[#This Row],[Abreviatura]]&amp;tblListadoCampos[[#This Row],[Nombre]])</f>
        <v/>
      </c>
      <c r="D74" s="2" t="str">
        <f>IF(tblListadoCampos[[#This Row],[Tipo]]="","",VLOOKUP(tblListadoCampos[[#This Row],[Tipo]],tblControles[],2,0))</f>
        <v/>
      </c>
      <c r="E74" t="s">
        <v>300</v>
      </c>
      <c r="F74" t="s">
        <v>303</v>
      </c>
      <c r="G74" t="s">
        <v>447</v>
      </c>
    </row>
    <row r="75" spans="1:7" hidden="1" x14ac:dyDescent="0.25">
      <c r="A75" t="s">
        <v>305</v>
      </c>
      <c r="B75" t="str">
        <f>IF(tblListadoCampos[[#This Row],[Tipo]]="","",tblListadoCampos[[#This Row],[Abreviatura]]&amp;tblListadoCampos[[#This Row],[Nombre]])</f>
        <v/>
      </c>
      <c r="D75" s="2" t="str">
        <f>IF(tblListadoCampos[[#This Row],[Tipo]]="","",VLOOKUP(tblListadoCampos[[#This Row],[Tipo]],tblControles[],2,0))</f>
        <v/>
      </c>
      <c r="E75" t="s">
        <v>194</v>
      </c>
      <c r="F75" t="s">
        <v>206</v>
      </c>
      <c r="G75" t="s">
        <v>401</v>
      </c>
    </row>
    <row r="76" spans="1:7" hidden="1" x14ac:dyDescent="0.25">
      <c r="A76" t="s">
        <v>305</v>
      </c>
      <c r="B76" t="str">
        <f>IF(tblListadoCampos[[#This Row],[Tipo]]="","",tblListadoCampos[[#This Row],[Abreviatura]]&amp;tblListadoCampos[[#This Row],[Nombre]])</f>
        <v/>
      </c>
      <c r="D76" s="2" t="str">
        <f>IF(tblListadoCampos[[#This Row],[Tipo]]="","",VLOOKUP(tblListadoCampos[[#This Row],[Tipo]],tblControles[],2,0))</f>
        <v/>
      </c>
      <c r="E76" t="s">
        <v>304</v>
      </c>
      <c r="F76" t="s">
        <v>306</v>
      </c>
      <c r="G76" t="s">
        <v>448</v>
      </c>
    </row>
    <row r="77" spans="1:7" hidden="1" x14ac:dyDescent="0.25">
      <c r="A77" t="s">
        <v>308</v>
      </c>
      <c r="B77" t="str">
        <f>IF(tblListadoCampos[[#This Row],[Tipo]]="","",tblListadoCampos[[#This Row],[Abreviatura]]&amp;tblListadoCampos[[#This Row],[Nombre]])</f>
        <v/>
      </c>
      <c r="D77" s="2" t="str">
        <f>IF(tblListadoCampos[[#This Row],[Tipo]]="","",VLOOKUP(tblListadoCampos[[#This Row],[Tipo]],tblControles[],2,0))</f>
        <v/>
      </c>
      <c r="E77" t="s">
        <v>299</v>
      </c>
      <c r="F77" t="s">
        <v>302</v>
      </c>
      <c r="G77" t="s">
        <v>446</v>
      </c>
    </row>
    <row r="78" spans="1:7" hidden="1" x14ac:dyDescent="0.25">
      <c r="A78" t="s">
        <v>308</v>
      </c>
      <c r="B78" t="str">
        <f>IF(tblListadoCampos[[#This Row],[Tipo]]="","",tblListadoCampos[[#This Row],[Abreviatura]]&amp;tblListadoCampos[[#This Row],[Nombre]])</f>
        <v/>
      </c>
      <c r="D78" s="2" t="str">
        <f>IF(tblListadoCampos[[#This Row],[Tipo]]="","",VLOOKUP(tblListadoCampos[[#This Row],[Tipo]],tblControles[],2,0))</f>
        <v/>
      </c>
      <c r="E78" t="s">
        <v>307</v>
      </c>
      <c r="F78" t="s">
        <v>309</v>
      </c>
      <c r="G78" t="s">
        <v>449</v>
      </c>
    </row>
    <row r="79" spans="1:7" hidden="1" x14ac:dyDescent="0.25">
      <c r="A79" t="s">
        <v>311</v>
      </c>
      <c r="B79" t="str">
        <f>IF(tblListadoCampos[[#This Row],[Tipo]]="","",tblListadoCampos[[#This Row],[Abreviatura]]&amp;tblListadoCampos[[#This Row],[Nombre]])</f>
        <v/>
      </c>
      <c r="D79" s="2" t="str">
        <f>IF(tblListadoCampos[[#This Row],[Tipo]]="","",VLOOKUP(tblListadoCampos[[#This Row],[Tipo]],tblControles[],2,0))</f>
        <v/>
      </c>
      <c r="E79" t="s">
        <v>299</v>
      </c>
      <c r="F79" t="s">
        <v>302</v>
      </c>
      <c r="G79" t="s">
        <v>446</v>
      </c>
    </row>
    <row r="80" spans="1:7" hidden="1" x14ac:dyDescent="0.25">
      <c r="A80" t="s">
        <v>311</v>
      </c>
      <c r="B80" t="str">
        <f>IF(tblListadoCampos[[#This Row],[Tipo]]="","",tblListadoCampos[[#This Row],[Abreviatura]]&amp;tblListadoCampos[[#This Row],[Nombre]])</f>
        <v/>
      </c>
      <c r="D80" s="2" t="str">
        <f>IF(tblListadoCampos[[#This Row],[Tipo]]="","",VLOOKUP(tblListadoCampos[[#This Row],[Tipo]],tblControles[],2,0))</f>
        <v/>
      </c>
      <c r="E80" t="s">
        <v>310</v>
      </c>
      <c r="F80" t="s">
        <v>312</v>
      </c>
      <c r="G80" t="s">
        <v>450</v>
      </c>
    </row>
    <row r="81" spans="1:7" hidden="1" x14ac:dyDescent="0.25">
      <c r="A81" t="s">
        <v>318</v>
      </c>
      <c r="B81" t="str">
        <f>IF(tblListadoCampos[[#This Row],[Tipo]]="","",tblListadoCampos[[#This Row],[Abreviatura]]&amp;tblListadoCampos[[#This Row],[Nombre]])</f>
        <v/>
      </c>
      <c r="D81" s="2" t="str">
        <f>IF(tblListadoCampos[[#This Row],[Tipo]]="","",VLOOKUP(tblListadoCampos[[#This Row],[Tipo]],tblControles[],2,0))</f>
        <v/>
      </c>
      <c r="E81" t="s">
        <v>194</v>
      </c>
      <c r="F81" t="s">
        <v>206</v>
      </c>
      <c r="G81" t="s">
        <v>401</v>
      </c>
    </row>
    <row r="82" spans="1:7" hidden="1" x14ac:dyDescent="0.25">
      <c r="A82" t="s">
        <v>318</v>
      </c>
      <c r="B82" t="str">
        <f>IF(tblListadoCampos[[#This Row],[Tipo]]="","",tblListadoCampos[[#This Row],[Abreviatura]]&amp;tblListadoCampos[[#This Row],[Nombre]])</f>
        <v/>
      </c>
      <c r="D82" s="2" t="str">
        <f>IF(tblListadoCampos[[#This Row],[Tipo]]="","",VLOOKUP(tblListadoCampos[[#This Row],[Tipo]],tblControles[],2,0))</f>
        <v/>
      </c>
      <c r="E82" t="s">
        <v>264</v>
      </c>
      <c r="F82" t="s">
        <v>273</v>
      </c>
      <c r="G82" t="s">
        <v>430</v>
      </c>
    </row>
    <row r="83" spans="1:7" hidden="1" x14ac:dyDescent="0.25">
      <c r="A83" t="s">
        <v>318</v>
      </c>
      <c r="B83" t="str">
        <f>IF(tblListadoCampos[[#This Row],[Tipo]]="","",tblListadoCampos[[#This Row],[Abreviatura]]&amp;tblListadoCampos[[#This Row],[Nombre]])</f>
        <v/>
      </c>
      <c r="D83" s="2" t="str">
        <f>IF(tblListadoCampos[[#This Row],[Tipo]]="","",VLOOKUP(tblListadoCampos[[#This Row],[Tipo]],tblControles[],2,0))</f>
        <v/>
      </c>
      <c r="E83" t="s">
        <v>313</v>
      </c>
      <c r="F83" t="s">
        <v>319</v>
      </c>
      <c r="G83" t="s">
        <v>451</v>
      </c>
    </row>
    <row r="84" spans="1:7" hidden="1" x14ac:dyDescent="0.25">
      <c r="A84" t="s">
        <v>318</v>
      </c>
      <c r="B84" t="str">
        <f>IF(tblListadoCampos[[#This Row],[Tipo]]="","",tblListadoCampos[[#This Row],[Abreviatura]]&amp;tblListadoCampos[[#This Row],[Nombre]])</f>
        <v/>
      </c>
      <c r="D84" s="2" t="str">
        <f>IF(tblListadoCampos[[#This Row],[Tipo]]="","",VLOOKUP(tblListadoCampos[[#This Row],[Tipo]],tblControles[],2,0))</f>
        <v/>
      </c>
      <c r="E84" t="s">
        <v>314</v>
      </c>
      <c r="F84" t="s">
        <v>320</v>
      </c>
      <c r="G84" t="s">
        <v>452</v>
      </c>
    </row>
    <row r="85" spans="1:7" hidden="1" x14ac:dyDescent="0.25">
      <c r="A85" t="s">
        <v>318</v>
      </c>
      <c r="B85" t="str">
        <f>IF(tblListadoCampos[[#This Row],[Tipo]]="","",tblListadoCampos[[#This Row],[Abreviatura]]&amp;tblListadoCampos[[#This Row],[Nombre]])</f>
        <v/>
      </c>
      <c r="D85" s="2" t="str">
        <f>IF(tblListadoCampos[[#This Row],[Tipo]]="","",VLOOKUP(tblListadoCampos[[#This Row],[Tipo]],tblControles[],2,0))</f>
        <v/>
      </c>
      <c r="E85" t="s">
        <v>315</v>
      </c>
      <c r="F85" t="s">
        <v>321</v>
      </c>
      <c r="G85" t="s">
        <v>453</v>
      </c>
    </row>
    <row r="86" spans="1:7" hidden="1" x14ac:dyDescent="0.25">
      <c r="A86" t="s">
        <v>318</v>
      </c>
      <c r="B86" t="str">
        <f>IF(tblListadoCampos[[#This Row],[Tipo]]="","",tblListadoCampos[[#This Row],[Abreviatura]]&amp;tblListadoCampos[[#This Row],[Nombre]])</f>
        <v/>
      </c>
      <c r="D86" s="2" t="str">
        <f>IF(tblListadoCampos[[#This Row],[Tipo]]="","",VLOOKUP(tblListadoCampos[[#This Row],[Tipo]],tblControles[],2,0))</f>
        <v/>
      </c>
      <c r="E86" t="s">
        <v>316</v>
      </c>
      <c r="F86" t="s">
        <v>322</v>
      </c>
      <c r="G86" t="s">
        <v>454</v>
      </c>
    </row>
    <row r="87" spans="1:7" hidden="1" x14ac:dyDescent="0.25">
      <c r="A87" t="s">
        <v>318</v>
      </c>
      <c r="B87" t="str">
        <f>IF(tblListadoCampos[[#This Row],[Tipo]]="","",tblListadoCampos[[#This Row],[Abreviatura]]&amp;tblListadoCampos[[#This Row],[Nombre]])</f>
        <v/>
      </c>
      <c r="D87" s="2" t="str">
        <f>IF(tblListadoCampos[[#This Row],[Tipo]]="","",VLOOKUP(tblListadoCampos[[#This Row],[Tipo]],tblControles[],2,0))</f>
        <v/>
      </c>
      <c r="E87" t="s">
        <v>317</v>
      </c>
      <c r="F87" t="s">
        <v>323</v>
      </c>
      <c r="G87" t="s">
        <v>455</v>
      </c>
    </row>
    <row r="88" spans="1:7" hidden="1" x14ac:dyDescent="0.25">
      <c r="A88" t="s">
        <v>339</v>
      </c>
      <c r="B88" t="str">
        <f>IF(tblListadoCampos[[#This Row],[Tipo]]="","",tblListadoCampos[[#This Row],[Abreviatura]]&amp;tblListadoCampos[[#This Row],[Nombre]])</f>
        <v/>
      </c>
      <c r="D88" s="2" t="str">
        <f>IF(tblListadoCampos[[#This Row],[Tipo]]="","",VLOOKUP(tblListadoCampos[[#This Row],[Tipo]],tblControles[],2,0))</f>
        <v/>
      </c>
      <c r="E88" t="s">
        <v>324</v>
      </c>
      <c r="F88" t="s">
        <v>340</v>
      </c>
      <c r="G88" t="s">
        <v>456</v>
      </c>
    </row>
    <row r="89" spans="1:7" hidden="1" x14ac:dyDescent="0.25">
      <c r="A89" t="s">
        <v>339</v>
      </c>
      <c r="B89" t="str">
        <f>IF(tblListadoCampos[[#This Row],[Tipo]]="","",tblListadoCampos[[#This Row],[Abreviatura]]&amp;tblListadoCampos[[#This Row],[Nombre]])</f>
        <v/>
      </c>
      <c r="D89" s="2" t="str">
        <f>IF(tblListadoCampos[[#This Row],[Tipo]]="","",VLOOKUP(tblListadoCampos[[#This Row],[Tipo]],tblControles[],2,0))</f>
        <v/>
      </c>
      <c r="E89" t="s">
        <v>325</v>
      </c>
      <c r="F89" t="s">
        <v>341</v>
      </c>
      <c r="G89" t="s">
        <v>457</v>
      </c>
    </row>
    <row r="90" spans="1:7" hidden="1" x14ac:dyDescent="0.25">
      <c r="A90" t="s">
        <v>339</v>
      </c>
      <c r="B90" t="str">
        <f>IF(tblListadoCampos[[#This Row],[Tipo]]="","",tblListadoCampos[[#This Row],[Abreviatura]]&amp;tblListadoCampos[[#This Row],[Nombre]])</f>
        <v/>
      </c>
      <c r="D90" s="2" t="str">
        <f>IF(tblListadoCampos[[#This Row],[Tipo]]="","",VLOOKUP(tblListadoCampos[[#This Row],[Tipo]],tblControles[],2,0))</f>
        <v/>
      </c>
      <c r="E90" t="s">
        <v>326</v>
      </c>
      <c r="F90" t="s">
        <v>342</v>
      </c>
      <c r="G90" t="s">
        <v>458</v>
      </c>
    </row>
    <row r="91" spans="1:7" hidden="1" x14ac:dyDescent="0.25">
      <c r="A91" t="s">
        <v>339</v>
      </c>
      <c r="B91" t="str">
        <f>IF(tblListadoCampos[[#This Row],[Tipo]]="","",tblListadoCampos[[#This Row],[Abreviatura]]&amp;tblListadoCampos[[#This Row],[Nombre]])</f>
        <v/>
      </c>
      <c r="D91" s="2" t="str">
        <f>IF(tblListadoCampos[[#This Row],[Tipo]]="","",VLOOKUP(tblListadoCampos[[#This Row],[Tipo]],tblControles[],2,0))</f>
        <v/>
      </c>
      <c r="E91" t="s">
        <v>327</v>
      </c>
      <c r="F91" t="s">
        <v>343</v>
      </c>
      <c r="G91" t="s">
        <v>459</v>
      </c>
    </row>
    <row r="92" spans="1:7" hidden="1" x14ac:dyDescent="0.25">
      <c r="A92" t="s">
        <v>339</v>
      </c>
      <c r="B92" t="str">
        <f>IF(tblListadoCampos[[#This Row],[Tipo]]="","",tblListadoCampos[[#This Row],[Abreviatura]]&amp;tblListadoCampos[[#This Row],[Nombre]])</f>
        <v/>
      </c>
      <c r="D92" s="2" t="str">
        <f>IF(tblListadoCampos[[#This Row],[Tipo]]="","",VLOOKUP(tblListadoCampos[[#This Row],[Tipo]],tblControles[],2,0))</f>
        <v/>
      </c>
      <c r="E92" t="s">
        <v>299</v>
      </c>
      <c r="F92" t="s">
        <v>302</v>
      </c>
      <c r="G92" t="s">
        <v>446</v>
      </c>
    </row>
    <row r="93" spans="1:7" hidden="1" x14ac:dyDescent="0.25">
      <c r="A93" t="s">
        <v>339</v>
      </c>
      <c r="B93" t="str">
        <f>IF(tblListadoCampos[[#This Row],[Tipo]]="","",tblListadoCampos[[#This Row],[Abreviatura]]&amp;tblListadoCampos[[#This Row],[Nombre]])</f>
        <v/>
      </c>
      <c r="D93" s="2" t="str">
        <f>IF(tblListadoCampos[[#This Row],[Tipo]]="","",VLOOKUP(tblListadoCampos[[#This Row],[Tipo]],tblControles[],2,0))</f>
        <v/>
      </c>
      <c r="E93" t="s">
        <v>328</v>
      </c>
      <c r="F93" t="s">
        <v>344</v>
      </c>
      <c r="G93" t="s">
        <v>460</v>
      </c>
    </row>
    <row r="94" spans="1:7" hidden="1" x14ac:dyDescent="0.25">
      <c r="A94" t="s">
        <v>339</v>
      </c>
      <c r="B94" t="str">
        <f>IF(tblListadoCampos[[#This Row],[Tipo]]="","",tblListadoCampos[[#This Row],[Abreviatura]]&amp;tblListadoCampos[[#This Row],[Nombre]])</f>
        <v/>
      </c>
      <c r="D94" s="2" t="str">
        <f>IF(tblListadoCampos[[#This Row],[Tipo]]="","",VLOOKUP(tblListadoCampos[[#This Row],[Tipo]],tblControles[],2,0))</f>
        <v/>
      </c>
      <c r="E94" t="s">
        <v>329</v>
      </c>
      <c r="F94" t="s">
        <v>345</v>
      </c>
      <c r="G94" t="s">
        <v>461</v>
      </c>
    </row>
    <row r="95" spans="1:7" hidden="1" x14ac:dyDescent="0.25">
      <c r="A95" t="s">
        <v>339</v>
      </c>
      <c r="B95" t="str">
        <f>IF(tblListadoCampos[[#This Row],[Tipo]]="","",tblListadoCampos[[#This Row],[Abreviatura]]&amp;tblListadoCampos[[#This Row],[Nombre]])</f>
        <v/>
      </c>
      <c r="D95" s="2" t="str">
        <f>IF(tblListadoCampos[[#This Row],[Tipo]]="","",VLOOKUP(tblListadoCampos[[#This Row],[Tipo]],tblControles[],2,0))</f>
        <v/>
      </c>
      <c r="E95" t="s">
        <v>330</v>
      </c>
      <c r="F95" t="s">
        <v>346</v>
      </c>
      <c r="G95" t="s">
        <v>462</v>
      </c>
    </row>
    <row r="96" spans="1:7" hidden="1" x14ac:dyDescent="0.25">
      <c r="A96" t="s">
        <v>339</v>
      </c>
      <c r="B96" t="str">
        <f>IF(tblListadoCampos[[#This Row],[Tipo]]="","",tblListadoCampos[[#This Row],[Abreviatura]]&amp;tblListadoCampos[[#This Row],[Nombre]])</f>
        <v/>
      </c>
      <c r="D96" s="2" t="str">
        <f>IF(tblListadoCampos[[#This Row],[Tipo]]="","",VLOOKUP(tblListadoCampos[[#This Row],[Tipo]],tblControles[],2,0))</f>
        <v/>
      </c>
      <c r="E96" t="s">
        <v>331</v>
      </c>
      <c r="F96" t="s">
        <v>347</v>
      </c>
      <c r="G96" t="s">
        <v>463</v>
      </c>
    </row>
    <row r="97" spans="1:7" hidden="1" x14ac:dyDescent="0.25">
      <c r="A97" t="s">
        <v>339</v>
      </c>
      <c r="B97" t="str">
        <f>IF(tblListadoCampos[[#This Row],[Tipo]]="","",tblListadoCampos[[#This Row],[Abreviatura]]&amp;tblListadoCampos[[#This Row],[Nombre]])</f>
        <v/>
      </c>
      <c r="D97" s="2" t="str">
        <f>IF(tblListadoCampos[[#This Row],[Tipo]]="","",VLOOKUP(tblListadoCampos[[#This Row],[Tipo]],tblControles[],2,0))</f>
        <v/>
      </c>
      <c r="E97" t="s">
        <v>332</v>
      </c>
      <c r="F97" t="s">
        <v>348</v>
      </c>
      <c r="G97" t="s">
        <v>464</v>
      </c>
    </row>
    <row r="98" spans="1:7" hidden="1" x14ac:dyDescent="0.25">
      <c r="A98" t="s">
        <v>339</v>
      </c>
      <c r="B98" t="str">
        <f>IF(tblListadoCampos[[#This Row],[Tipo]]="","",tblListadoCampos[[#This Row],[Abreviatura]]&amp;tblListadoCampos[[#This Row],[Nombre]])</f>
        <v/>
      </c>
      <c r="D98" s="2" t="str">
        <f>IF(tblListadoCampos[[#This Row],[Tipo]]="","",VLOOKUP(tblListadoCampos[[#This Row],[Tipo]],tblControles[],2,0))</f>
        <v/>
      </c>
      <c r="E98" t="s">
        <v>333</v>
      </c>
      <c r="F98" t="s">
        <v>349</v>
      </c>
      <c r="G98" t="s">
        <v>465</v>
      </c>
    </row>
    <row r="99" spans="1:7" hidden="1" x14ac:dyDescent="0.25">
      <c r="A99" t="s">
        <v>339</v>
      </c>
      <c r="B99" t="str">
        <f>IF(tblListadoCampos[[#This Row],[Tipo]]="","",tblListadoCampos[[#This Row],[Abreviatura]]&amp;tblListadoCampos[[#This Row],[Nombre]])</f>
        <v/>
      </c>
      <c r="D99" s="2" t="str">
        <f>IF(tblListadoCampos[[#This Row],[Tipo]]="","",VLOOKUP(tblListadoCampos[[#This Row],[Tipo]],tblControles[],2,0))</f>
        <v/>
      </c>
      <c r="E99" t="s">
        <v>315</v>
      </c>
      <c r="F99" t="s">
        <v>321</v>
      </c>
      <c r="G99" t="s">
        <v>453</v>
      </c>
    </row>
    <row r="100" spans="1:7" hidden="1" x14ac:dyDescent="0.25">
      <c r="A100" t="s">
        <v>339</v>
      </c>
      <c r="B100" t="str">
        <f>IF(tblListadoCampos[[#This Row],[Tipo]]="","",tblListadoCampos[[#This Row],[Abreviatura]]&amp;tblListadoCampos[[#This Row],[Nombre]])</f>
        <v/>
      </c>
      <c r="D100" s="2" t="str">
        <f>IF(tblListadoCampos[[#This Row],[Tipo]]="","",VLOOKUP(tblListadoCampos[[#This Row],[Tipo]],tblControles[],2,0))</f>
        <v/>
      </c>
      <c r="E100" t="s">
        <v>334</v>
      </c>
      <c r="F100" t="s">
        <v>350</v>
      </c>
      <c r="G100" t="s">
        <v>466</v>
      </c>
    </row>
    <row r="101" spans="1:7" hidden="1" x14ac:dyDescent="0.25">
      <c r="A101" t="s">
        <v>339</v>
      </c>
      <c r="B101" t="str">
        <f>IF(tblListadoCampos[[#This Row],[Tipo]]="","",tblListadoCampos[[#This Row],[Abreviatura]]&amp;tblListadoCampos[[#This Row],[Nombre]])</f>
        <v/>
      </c>
      <c r="D101" s="2" t="str">
        <f>IF(tblListadoCampos[[#This Row],[Tipo]]="","",VLOOKUP(tblListadoCampos[[#This Row],[Tipo]],tblControles[],2,0))</f>
        <v/>
      </c>
      <c r="E101" t="s">
        <v>335</v>
      </c>
      <c r="F101" t="s">
        <v>351</v>
      </c>
      <c r="G101" t="s">
        <v>467</v>
      </c>
    </row>
    <row r="102" spans="1:7" hidden="1" x14ac:dyDescent="0.25">
      <c r="A102" t="s">
        <v>339</v>
      </c>
      <c r="B102" t="str">
        <f>IF(tblListadoCampos[[#This Row],[Tipo]]="","",tblListadoCampos[[#This Row],[Abreviatura]]&amp;tblListadoCampos[[#This Row],[Nombre]])</f>
        <v/>
      </c>
      <c r="D102" s="2" t="str">
        <f>IF(tblListadoCampos[[#This Row],[Tipo]]="","",VLOOKUP(tblListadoCampos[[#This Row],[Tipo]],tblControles[],2,0))</f>
        <v/>
      </c>
      <c r="E102" t="s">
        <v>336</v>
      </c>
      <c r="F102" t="s">
        <v>352</v>
      </c>
      <c r="G102" t="s">
        <v>468</v>
      </c>
    </row>
    <row r="103" spans="1:7" hidden="1" x14ac:dyDescent="0.25">
      <c r="A103" t="s">
        <v>339</v>
      </c>
      <c r="B103" t="str">
        <f>IF(tblListadoCampos[[#This Row],[Tipo]]="","",tblListadoCampos[[#This Row],[Abreviatura]]&amp;tblListadoCampos[[#This Row],[Nombre]])</f>
        <v/>
      </c>
      <c r="D103" s="2" t="str">
        <f>IF(tblListadoCampos[[#This Row],[Tipo]]="","",VLOOKUP(tblListadoCampos[[#This Row],[Tipo]],tblControles[],2,0))</f>
        <v/>
      </c>
      <c r="E103" t="s">
        <v>337</v>
      </c>
      <c r="F103" t="s">
        <v>353</v>
      </c>
      <c r="G103" t="s">
        <v>469</v>
      </c>
    </row>
    <row r="104" spans="1:7" hidden="1" x14ac:dyDescent="0.25">
      <c r="A104" t="s">
        <v>339</v>
      </c>
      <c r="B104" t="str">
        <f>IF(tblListadoCampos[[#This Row],[Tipo]]="","",tblListadoCampos[[#This Row],[Abreviatura]]&amp;tblListadoCampos[[#This Row],[Nombre]])</f>
        <v/>
      </c>
      <c r="D104" s="2" t="str">
        <f>IF(tblListadoCampos[[#This Row],[Tipo]]="","",VLOOKUP(tblListadoCampos[[#This Row],[Tipo]],tblControles[],2,0))</f>
        <v/>
      </c>
      <c r="E104" t="s">
        <v>338</v>
      </c>
      <c r="F104" t="s">
        <v>354</v>
      </c>
      <c r="G104" t="s">
        <v>470</v>
      </c>
    </row>
    <row r="105" spans="1:7" hidden="1" x14ac:dyDescent="0.25">
      <c r="A105" t="s">
        <v>364</v>
      </c>
      <c r="B105" t="str">
        <f>IF(tblListadoCampos[[#This Row],[Tipo]]="","",tblListadoCampos[[#This Row],[Abreviatura]]&amp;tblListadoCampos[[#This Row],[Nombre]])</f>
        <v/>
      </c>
      <c r="D105" s="2" t="str">
        <f>IF(tblListadoCampos[[#This Row],[Tipo]]="","",VLOOKUP(tblListadoCampos[[#This Row],[Tipo]],tblControles[],2,0))</f>
        <v/>
      </c>
      <c r="E105" t="s">
        <v>194</v>
      </c>
      <c r="F105" t="s">
        <v>206</v>
      </c>
      <c r="G105" t="s">
        <v>401</v>
      </c>
    </row>
    <row r="106" spans="1:7" hidden="1" x14ac:dyDescent="0.25">
      <c r="A106" t="s">
        <v>364</v>
      </c>
      <c r="B106" t="str">
        <f>IF(tblListadoCampos[[#This Row],[Tipo]]="","",tblListadoCampos[[#This Row],[Abreviatura]]&amp;tblListadoCampos[[#This Row],[Nombre]])</f>
        <v/>
      </c>
      <c r="D106" s="2" t="str">
        <f>IF(tblListadoCampos[[#This Row],[Tipo]]="","",VLOOKUP(tblListadoCampos[[#This Row],[Tipo]],tblControles[],2,0))</f>
        <v/>
      </c>
      <c r="E106" t="s">
        <v>233</v>
      </c>
      <c r="F106" t="s">
        <v>250</v>
      </c>
      <c r="G106" t="s">
        <v>416</v>
      </c>
    </row>
    <row r="107" spans="1:7" hidden="1" x14ac:dyDescent="0.25">
      <c r="A107" t="s">
        <v>364</v>
      </c>
      <c r="B107" t="str">
        <f>IF(tblListadoCampos[[#This Row],[Tipo]]="","",tblListadoCampos[[#This Row],[Abreviatura]]&amp;tblListadoCampos[[#This Row],[Nombre]])</f>
        <v/>
      </c>
      <c r="D107" s="2" t="str">
        <f>IF(tblListadoCampos[[#This Row],[Tipo]]="","",VLOOKUP(tblListadoCampos[[#This Row],[Tipo]],tblControles[],2,0))</f>
        <v/>
      </c>
      <c r="E107" t="s">
        <v>355</v>
      </c>
      <c r="F107" t="s">
        <v>365</v>
      </c>
      <c r="G107" t="s">
        <v>471</v>
      </c>
    </row>
    <row r="108" spans="1:7" hidden="1" x14ac:dyDescent="0.25">
      <c r="A108" t="s">
        <v>364</v>
      </c>
      <c r="B108" t="str">
        <f>IF(tblListadoCampos[[#This Row],[Tipo]]="","",tblListadoCampos[[#This Row],[Abreviatura]]&amp;tblListadoCampos[[#This Row],[Nombre]])</f>
        <v/>
      </c>
      <c r="D108" s="2" t="str">
        <f>IF(tblListadoCampos[[#This Row],[Tipo]]="","",VLOOKUP(tblListadoCampos[[#This Row],[Tipo]],tblControles[],2,0))</f>
        <v/>
      </c>
      <c r="E108" t="s">
        <v>329</v>
      </c>
      <c r="F108" t="s">
        <v>345</v>
      </c>
      <c r="G108" t="s">
        <v>461</v>
      </c>
    </row>
    <row r="109" spans="1:7" hidden="1" x14ac:dyDescent="0.25">
      <c r="A109" t="s">
        <v>364</v>
      </c>
      <c r="B109" t="str">
        <f>IF(tblListadoCampos[[#This Row],[Tipo]]="","",tblListadoCampos[[#This Row],[Abreviatura]]&amp;tblListadoCampos[[#This Row],[Nombre]])</f>
        <v/>
      </c>
      <c r="D109" s="2" t="str">
        <f>IF(tblListadoCampos[[#This Row],[Tipo]]="","",VLOOKUP(tblListadoCampos[[#This Row],[Tipo]],tblControles[],2,0))</f>
        <v/>
      </c>
      <c r="E109" t="s">
        <v>356</v>
      </c>
      <c r="F109" t="s">
        <v>366</v>
      </c>
      <c r="G109" t="s">
        <v>472</v>
      </c>
    </row>
    <row r="110" spans="1:7" hidden="1" x14ac:dyDescent="0.25">
      <c r="A110" t="s">
        <v>364</v>
      </c>
      <c r="B110" t="str">
        <f>IF(tblListadoCampos[[#This Row],[Tipo]]="","",tblListadoCampos[[#This Row],[Abreviatura]]&amp;tblListadoCampos[[#This Row],[Nombre]])</f>
        <v/>
      </c>
      <c r="D110" s="2" t="str">
        <f>IF(tblListadoCampos[[#This Row],[Tipo]]="","",VLOOKUP(tblListadoCampos[[#This Row],[Tipo]],tblControles[],2,0))</f>
        <v/>
      </c>
      <c r="E110" t="s">
        <v>268</v>
      </c>
      <c r="F110" t="s">
        <v>277</v>
      </c>
      <c r="G110" t="s">
        <v>434</v>
      </c>
    </row>
    <row r="111" spans="1:7" hidden="1" x14ac:dyDescent="0.25">
      <c r="A111" t="s">
        <v>364</v>
      </c>
      <c r="B111" t="str">
        <f>IF(tblListadoCampos[[#This Row],[Tipo]]="","",tblListadoCampos[[#This Row],[Abreviatura]]&amp;tblListadoCampos[[#This Row],[Nombre]])</f>
        <v/>
      </c>
      <c r="D111" s="2" t="str">
        <f>IF(tblListadoCampos[[#This Row],[Tipo]]="","",VLOOKUP(tblListadoCampos[[#This Row],[Tipo]],tblControles[],2,0))</f>
        <v/>
      </c>
      <c r="E111" t="s">
        <v>357</v>
      </c>
      <c r="F111" t="s">
        <v>367</v>
      </c>
      <c r="G111" t="s">
        <v>473</v>
      </c>
    </row>
    <row r="112" spans="1:7" hidden="1" x14ac:dyDescent="0.25">
      <c r="A112" t="s">
        <v>364</v>
      </c>
      <c r="B112" t="str">
        <f>IF(tblListadoCampos[[#This Row],[Tipo]]="","",tblListadoCampos[[#This Row],[Abreviatura]]&amp;tblListadoCampos[[#This Row],[Nombre]])</f>
        <v/>
      </c>
      <c r="D112" s="2" t="str">
        <f>IF(tblListadoCampos[[#This Row],[Tipo]]="","",VLOOKUP(tblListadoCampos[[#This Row],[Tipo]],tblControles[],2,0))</f>
        <v/>
      </c>
      <c r="E112" t="s">
        <v>358</v>
      </c>
      <c r="F112" t="s">
        <v>368</v>
      </c>
      <c r="G112" t="s">
        <v>474</v>
      </c>
    </row>
    <row r="113" spans="1:7" hidden="1" x14ac:dyDescent="0.25">
      <c r="A113" t="s">
        <v>364</v>
      </c>
      <c r="B113" t="str">
        <f>IF(tblListadoCampos[[#This Row],[Tipo]]="","",tblListadoCampos[[#This Row],[Abreviatura]]&amp;tblListadoCampos[[#This Row],[Nombre]])</f>
        <v/>
      </c>
      <c r="D113" s="2" t="str">
        <f>IF(tblListadoCampos[[#This Row],[Tipo]]="","",VLOOKUP(tblListadoCampos[[#This Row],[Tipo]],tblControles[],2,0))</f>
        <v/>
      </c>
      <c r="E113" t="s">
        <v>315</v>
      </c>
      <c r="F113" t="s">
        <v>321</v>
      </c>
      <c r="G113" t="s">
        <v>453</v>
      </c>
    </row>
    <row r="114" spans="1:7" hidden="1" x14ac:dyDescent="0.25">
      <c r="A114" t="s">
        <v>364</v>
      </c>
      <c r="B114" t="str">
        <f>IF(tblListadoCampos[[#This Row],[Tipo]]="","",tblListadoCampos[[#This Row],[Abreviatura]]&amp;tblListadoCampos[[#This Row],[Nombre]])</f>
        <v/>
      </c>
      <c r="D114" s="2" t="str">
        <f>IF(tblListadoCampos[[#This Row],[Tipo]]="","",VLOOKUP(tblListadoCampos[[#This Row],[Tipo]],tblControles[],2,0))</f>
        <v/>
      </c>
      <c r="E114" t="s">
        <v>335</v>
      </c>
      <c r="F114" t="s">
        <v>351</v>
      </c>
      <c r="G114" t="s">
        <v>467</v>
      </c>
    </row>
    <row r="115" spans="1:7" hidden="1" x14ac:dyDescent="0.25">
      <c r="A115" t="s">
        <v>364</v>
      </c>
      <c r="B115" t="str">
        <f>IF(tblListadoCampos[[#This Row],[Tipo]]="","",tblListadoCampos[[#This Row],[Abreviatura]]&amp;tblListadoCampos[[#This Row],[Nombre]])</f>
        <v/>
      </c>
      <c r="D115" s="2" t="str">
        <f>IF(tblListadoCampos[[#This Row],[Tipo]]="","",VLOOKUP(tblListadoCampos[[#This Row],[Tipo]],tblControles[],2,0))</f>
        <v/>
      </c>
      <c r="E115" t="s">
        <v>359</v>
      </c>
      <c r="F115" t="s">
        <v>369</v>
      </c>
      <c r="G115" t="s">
        <v>475</v>
      </c>
    </row>
    <row r="116" spans="1:7" hidden="1" x14ac:dyDescent="0.25">
      <c r="A116" t="s">
        <v>364</v>
      </c>
      <c r="B116" t="str">
        <f>IF(tblListadoCampos[[#This Row],[Tipo]]="","",tblListadoCampos[[#This Row],[Abreviatura]]&amp;tblListadoCampos[[#This Row],[Nombre]])</f>
        <v/>
      </c>
      <c r="D116" s="2" t="str">
        <f>IF(tblListadoCampos[[#This Row],[Tipo]]="","",VLOOKUP(tblListadoCampos[[#This Row],[Tipo]],tblControles[],2,0))</f>
        <v/>
      </c>
      <c r="E116" t="s">
        <v>360</v>
      </c>
      <c r="F116" t="s">
        <v>370</v>
      </c>
      <c r="G116" t="s">
        <v>476</v>
      </c>
    </row>
    <row r="117" spans="1:7" hidden="1" x14ac:dyDescent="0.25">
      <c r="A117" t="s">
        <v>364</v>
      </c>
      <c r="B117" t="str">
        <f>IF(tblListadoCampos[[#This Row],[Tipo]]="","",tblListadoCampos[[#This Row],[Abreviatura]]&amp;tblListadoCampos[[#This Row],[Nombre]])</f>
        <v/>
      </c>
      <c r="D117" s="2" t="str">
        <f>IF(tblListadoCampos[[#This Row],[Tipo]]="","",VLOOKUP(tblListadoCampos[[#This Row],[Tipo]],tblControles[],2,0))</f>
        <v/>
      </c>
      <c r="E117" t="s">
        <v>337</v>
      </c>
      <c r="F117" t="s">
        <v>353</v>
      </c>
      <c r="G117" t="s">
        <v>469</v>
      </c>
    </row>
    <row r="118" spans="1:7" hidden="1" x14ac:dyDescent="0.25">
      <c r="A118" t="s">
        <v>364</v>
      </c>
      <c r="B118" t="str">
        <f>IF(tblListadoCampos[[#This Row],[Tipo]]="","",tblListadoCampos[[#This Row],[Abreviatura]]&amp;tblListadoCampos[[#This Row],[Nombre]])</f>
        <v/>
      </c>
      <c r="D118" s="2" t="str">
        <f>IF(tblListadoCampos[[#This Row],[Tipo]]="","",VLOOKUP(tblListadoCampos[[#This Row],[Tipo]],tblControles[],2,0))</f>
        <v/>
      </c>
      <c r="E118" t="s">
        <v>361</v>
      </c>
      <c r="F118" t="s">
        <v>371</v>
      </c>
      <c r="G118" t="s">
        <v>477</v>
      </c>
    </row>
    <row r="119" spans="1:7" hidden="1" x14ac:dyDescent="0.25">
      <c r="A119" t="s">
        <v>364</v>
      </c>
      <c r="B119" t="str">
        <f>IF(tblListadoCampos[[#This Row],[Tipo]]="","",tblListadoCampos[[#This Row],[Abreviatura]]&amp;tblListadoCampos[[#This Row],[Nombre]])</f>
        <v/>
      </c>
      <c r="D119" s="2" t="str">
        <f>IF(tblListadoCampos[[#This Row],[Tipo]]="","",VLOOKUP(tblListadoCampos[[#This Row],[Tipo]],tblControles[],2,0))</f>
        <v/>
      </c>
      <c r="E119" t="s">
        <v>362</v>
      </c>
      <c r="F119" t="s">
        <v>372</v>
      </c>
      <c r="G119" t="s">
        <v>478</v>
      </c>
    </row>
    <row r="120" spans="1:7" hidden="1" x14ac:dyDescent="0.25">
      <c r="A120" t="s">
        <v>364</v>
      </c>
      <c r="B120" t="str">
        <f>IF(tblListadoCampos[[#This Row],[Tipo]]="","",tblListadoCampos[[#This Row],[Abreviatura]]&amp;tblListadoCampos[[#This Row],[Nombre]])</f>
        <v/>
      </c>
      <c r="D120" s="2" t="str">
        <f>IF(tblListadoCampos[[#This Row],[Tipo]]="","",VLOOKUP(tblListadoCampos[[#This Row],[Tipo]],tblControles[],2,0))</f>
        <v/>
      </c>
      <c r="E120" t="s">
        <v>363</v>
      </c>
      <c r="F120" t="s">
        <v>373</v>
      </c>
      <c r="G120" t="s">
        <v>479</v>
      </c>
    </row>
    <row r="121" spans="1:7" hidden="1" x14ac:dyDescent="0.25">
      <c r="A121" t="s">
        <v>375</v>
      </c>
      <c r="B121" t="str">
        <f>IF(tblListadoCampos[[#This Row],[Tipo]]="","",tblListadoCampos[[#This Row],[Abreviatura]]&amp;tblListadoCampos[[#This Row],[Nombre]])</f>
        <v/>
      </c>
      <c r="D121" s="2" t="str">
        <f>IF(tblListadoCampos[[#This Row],[Tipo]]="","",VLOOKUP(tblListadoCampos[[#This Row],[Tipo]],tblControles[],2,0))</f>
        <v/>
      </c>
      <c r="E121" t="s">
        <v>194</v>
      </c>
      <c r="F121" t="s">
        <v>206</v>
      </c>
      <c r="G121" t="s">
        <v>401</v>
      </c>
    </row>
    <row r="122" spans="1:7" hidden="1" x14ac:dyDescent="0.25">
      <c r="A122" t="s">
        <v>375</v>
      </c>
      <c r="B122" t="str">
        <f>IF(tblListadoCampos[[#This Row],[Tipo]]="","",tblListadoCampos[[#This Row],[Abreviatura]]&amp;tblListadoCampos[[#This Row],[Nombre]])</f>
        <v/>
      </c>
      <c r="D122" s="2" t="str">
        <f>IF(tblListadoCampos[[#This Row],[Tipo]]="","",VLOOKUP(tblListadoCampos[[#This Row],[Tipo]],tblControles[],2,0))</f>
        <v/>
      </c>
      <c r="E122" t="s">
        <v>374</v>
      </c>
      <c r="F122" t="s">
        <v>376</v>
      </c>
      <c r="G122" t="s">
        <v>480</v>
      </c>
    </row>
    <row r="123" spans="1:7" hidden="1" x14ac:dyDescent="0.25">
      <c r="A123" t="s">
        <v>378</v>
      </c>
      <c r="B123" t="str">
        <f>IF(tblListadoCampos[[#This Row],[Tipo]]="","",tblListadoCampos[[#This Row],[Abreviatura]]&amp;tblListadoCampos[[#This Row],[Nombre]])</f>
        <v/>
      </c>
      <c r="D123" s="2" t="str">
        <f>IF(tblListadoCampos[[#This Row],[Tipo]]="","",VLOOKUP(tblListadoCampos[[#This Row],[Tipo]],tblControles[],2,0))</f>
        <v/>
      </c>
      <c r="E123" t="s">
        <v>194</v>
      </c>
      <c r="F123" t="s">
        <v>206</v>
      </c>
      <c r="G123" t="s">
        <v>401</v>
      </c>
    </row>
    <row r="124" spans="1:7" hidden="1" x14ac:dyDescent="0.25">
      <c r="A124" t="s">
        <v>378</v>
      </c>
      <c r="B124" t="str">
        <f>IF(tblListadoCampos[[#This Row],[Tipo]]="","",tblListadoCampos[[#This Row],[Abreviatura]]&amp;tblListadoCampos[[#This Row],[Nombre]])</f>
        <v/>
      </c>
      <c r="D124" s="2" t="str">
        <f>IF(tblListadoCampos[[#This Row],[Tipo]]="","",VLOOKUP(tblListadoCampos[[#This Row],[Tipo]],tblControles[],2,0))</f>
        <v/>
      </c>
      <c r="E124" t="s">
        <v>377</v>
      </c>
      <c r="F124" t="s">
        <v>379</v>
      </c>
      <c r="G124" t="s">
        <v>481</v>
      </c>
    </row>
    <row r="125" spans="1:7" hidden="1" x14ac:dyDescent="0.25">
      <c r="A125" t="s">
        <v>387</v>
      </c>
      <c r="B125" t="str">
        <f>IF(tblListadoCampos[[#This Row],[Tipo]]="","",tblListadoCampos[[#This Row],[Abreviatura]]&amp;tblListadoCampos[[#This Row],[Nombre]])</f>
        <v/>
      </c>
      <c r="D125" s="2" t="str">
        <f>IF(tblListadoCampos[[#This Row],[Tipo]]="","",VLOOKUP(tblListadoCampos[[#This Row],[Tipo]],tblControles[],2,0))</f>
        <v/>
      </c>
      <c r="E125" t="s">
        <v>380</v>
      </c>
      <c r="F125" t="s">
        <v>388</v>
      </c>
      <c r="G125" t="s">
        <v>482</v>
      </c>
    </row>
    <row r="126" spans="1:7" hidden="1" x14ac:dyDescent="0.25">
      <c r="A126" t="s">
        <v>387</v>
      </c>
      <c r="B126" t="str">
        <f>IF(tblListadoCampos[[#This Row],[Tipo]]="","",tblListadoCampos[[#This Row],[Abreviatura]]&amp;tblListadoCampos[[#This Row],[Nombre]])</f>
        <v/>
      </c>
      <c r="D126" s="2" t="str">
        <f>IF(tblListadoCampos[[#This Row],[Tipo]]="","",VLOOKUP(tblListadoCampos[[#This Row],[Tipo]],tblControles[],2,0))</f>
        <v/>
      </c>
      <c r="E126" t="s">
        <v>265</v>
      </c>
      <c r="F126" t="s">
        <v>274</v>
      </c>
      <c r="G126" t="s">
        <v>431</v>
      </c>
    </row>
    <row r="127" spans="1:7" hidden="1" x14ac:dyDescent="0.25">
      <c r="A127" t="s">
        <v>387</v>
      </c>
      <c r="B127" t="str">
        <f>IF(tblListadoCampos[[#This Row],[Tipo]]="","",tblListadoCampos[[#This Row],[Abreviatura]]&amp;tblListadoCampos[[#This Row],[Nombre]])</f>
        <v/>
      </c>
      <c r="D127" s="2" t="str">
        <f>IF(tblListadoCampos[[#This Row],[Tipo]]="","",VLOOKUP(tblListadoCampos[[#This Row],[Tipo]],tblControles[],2,0))</f>
        <v/>
      </c>
      <c r="E127" t="s">
        <v>270</v>
      </c>
      <c r="F127" t="s">
        <v>279</v>
      </c>
      <c r="G127" t="s">
        <v>436</v>
      </c>
    </row>
    <row r="128" spans="1:7" hidden="1" x14ac:dyDescent="0.25">
      <c r="A128" t="s">
        <v>387</v>
      </c>
      <c r="B128" t="str">
        <f>IF(tblListadoCampos[[#This Row],[Tipo]]="","",tblListadoCampos[[#This Row],[Abreviatura]]&amp;tblListadoCampos[[#This Row],[Nombre]])</f>
        <v/>
      </c>
      <c r="D128" s="2" t="str">
        <f>IF(tblListadoCampos[[#This Row],[Tipo]]="","",VLOOKUP(tblListadoCampos[[#This Row],[Tipo]],tblControles[],2,0))</f>
        <v/>
      </c>
      <c r="E128" t="s">
        <v>381</v>
      </c>
      <c r="F128" t="s">
        <v>389</v>
      </c>
      <c r="G128" t="s">
        <v>483</v>
      </c>
    </row>
    <row r="129" spans="1:7" hidden="1" x14ac:dyDescent="0.25">
      <c r="A129" t="s">
        <v>387</v>
      </c>
      <c r="B129" t="str">
        <f>IF(tblListadoCampos[[#This Row],[Tipo]]="","",tblListadoCampos[[#This Row],[Abreviatura]]&amp;tblListadoCampos[[#This Row],[Nombre]])</f>
        <v/>
      </c>
      <c r="D129" s="2" t="str">
        <f>IF(tblListadoCampos[[#This Row],[Tipo]]="","",VLOOKUP(tblListadoCampos[[#This Row],[Tipo]],tblControles[],2,0))</f>
        <v/>
      </c>
      <c r="E129" t="s">
        <v>382</v>
      </c>
      <c r="F129" t="s">
        <v>390</v>
      </c>
      <c r="G129" t="s">
        <v>484</v>
      </c>
    </row>
    <row r="130" spans="1:7" hidden="1" x14ac:dyDescent="0.25">
      <c r="A130" t="s">
        <v>387</v>
      </c>
      <c r="B130" t="str">
        <f>IF(tblListadoCampos[[#This Row],[Tipo]]="","",tblListadoCampos[[#This Row],[Abreviatura]]&amp;tblListadoCampos[[#This Row],[Nombre]])</f>
        <v/>
      </c>
      <c r="D130" s="2" t="str">
        <f>IF(tblListadoCampos[[#This Row],[Tipo]]="","",VLOOKUP(tblListadoCampos[[#This Row],[Tipo]],tblControles[],2,0))</f>
        <v/>
      </c>
      <c r="E130" t="s">
        <v>383</v>
      </c>
      <c r="F130" t="s">
        <v>391</v>
      </c>
      <c r="G130" t="s">
        <v>485</v>
      </c>
    </row>
    <row r="131" spans="1:7" hidden="1" x14ac:dyDescent="0.25">
      <c r="A131" t="s">
        <v>387</v>
      </c>
      <c r="B131" t="str">
        <f>IF(tblListadoCampos[[#This Row],[Tipo]]="","",tblListadoCampos[[#This Row],[Abreviatura]]&amp;tblListadoCampos[[#This Row],[Nombre]])</f>
        <v/>
      </c>
      <c r="D131" s="2" t="str">
        <f>IF(tblListadoCampos[[#This Row],[Tipo]]="","",VLOOKUP(tblListadoCampos[[#This Row],[Tipo]],tblControles[],2,0))</f>
        <v/>
      </c>
      <c r="E131" t="s">
        <v>384</v>
      </c>
      <c r="F131" t="s">
        <v>392</v>
      </c>
      <c r="G131" t="s">
        <v>486</v>
      </c>
    </row>
    <row r="132" spans="1:7" hidden="1" x14ac:dyDescent="0.25">
      <c r="A132" t="s">
        <v>387</v>
      </c>
      <c r="B132" t="str">
        <f>IF(tblListadoCampos[[#This Row],[Tipo]]="","",tblListadoCampos[[#This Row],[Abreviatura]]&amp;tblListadoCampos[[#This Row],[Nombre]])</f>
        <v/>
      </c>
      <c r="D132" s="2" t="str">
        <f>IF(tblListadoCampos[[#This Row],[Tipo]]="","",VLOOKUP(tblListadoCampos[[#This Row],[Tipo]],tblControles[],2,0))</f>
        <v/>
      </c>
      <c r="E132" t="s">
        <v>238</v>
      </c>
      <c r="F132" t="s">
        <v>253</v>
      </c>
      <c r="G132" t="s">
        <v>419</v>
      </c>
    </row>
    <row r="133" spans="1:7" hidden="1" x14ac:dyDescent="0.25">
      <c r="A133" t="s">
        <v>387</v>
      </c>
      <c r="B133" t="str">
        <f>IF(tblListadoCampos[[#This Row],[Tipo]]="","",tblListadoCampos[[#This Row],[Abreviatura]]&amp;tblListadoCampos[[#This Row],[Nombre]])</f>
        <v/>
      </c>
      <c r="D133" s="2" t="str">
        <f>IF(tblListadoCampos[[#This Row],[Tipo]]="","",VLOOKUP(tblListadoCampos[[#This Row],[Tipo]],tblControles[],2,0))</f>
        <v/>
      </c>
      <c r="E133" t="s">
        <v>385</v>
      </c>
      <c r="F133" t="s">
        <v>393</v>
      </c>
      <c r="G133" t="s">
        <v>487</v>
      </c>
    </row>
    <row r="134" spans="1:7" hidden="1" x14ac:dyDescent="0.25">
      <c r="A134" t="s">
        <v>387</v>
      </c>
      <c r="B134" t="str">
        <f>IF(tblListadoCampos[[#This Row],[Tipo]]="","",tblListadoCampos[[#This Row],[Abreviatura]]&amp;tblListadoCampos[[#This Row],[Nombre]])</f>
        <v/>
      </c>
      <c r="D134" s="2" t="str">
        <f>IF(tblListadoCampos[[#This Row],[Tipo]]="","",VLOOKUP(tblListadoCampos[[#This Row],[Tipo]],tblControles[],2,0))</f>
        <v/>
      </c>
      <c r="E134" t="s">
        <v>386</v>
      </c>
      <c r="F134" t="s">
        <v>394</v>
      </c>
      <c r="G134" t="s">
        <v>488</v>
      </c>
    </row>
    <row r="135" spans="1:7" hidden="1" x14ac:dyDescent="0.25">
      <c r="A135" t="s">
        <v>396</v>
      </c>
      <c r="B135" t="str">
        <f>IF(tblListadoCampos[[#This Row],[Tipo]]="","",tblListadoCampos[[#This Row],[Abreviatura]]&amp;tblListadoCampos[[#This Row],[Nombre]])</f>
        <v/>
      </c>
      <c r="D135" s="2" t="str">
        <f>IF(tblListadoCampos[[#This Row],[Tipo]]="","",VLOOKUP(tblListadoCampos[[#This Row],[Tipo]],tblControles[],2,0))</f>
        <v/>
      </c>
      <c r="E135" t="s">
        <v>194</v>
      </c>
      <c r="F135" t="s">
        <v>206</v>
      </c>
      <c r="G135" t="s">
        <v>401</v>
      </c>
    </row>
    <row r="136" spans="1:7" hidden="1" x14ac:dyDescent="0.25">
      <c r="A136" t="s">
        <v>396</v>
      </c>
      <c r="B136" t="str">
        <f>IF(tblListadoCampos[[#This Row],[Tipo]]="","",tblListadoCampos[[#This Row],[Abreviatura]]&amp;tblListadoCampos[[#This Row],[Nombre]])</f>
        <v/>
      </c>
      <c r="D136" s="2" t="str">
        <f>IF(tblListadoCampos[[#This Row],[Tipo]]="","",VLOOKUP(tblListadoCampos[[#This Row],[Tipo]],tblControles[],2,0))</f>
        <v/>
      </c>
      <c r="E136" t="s">
        <v>377</v>
      </c>
      <c r="F136" t="s">
        <v>397</v>
      </c>
      <c r="G136" t="s">
        <v>489</v>
      </c>
    </row>
    <row r="137" spans="1:7" hidden="1" x14ac:dyDescent="0.25">
      <c r="A137" t="s">
        <v>396</v>
      </c>
      <c r="B137" t="str">
        <f>IF(tblListadoCampos[[#This Row],[Tipo]]="","",tblListadoCampos[[#This Row],[Abreviatura]]&amp;tblListadoCampos[[#This Row],[Nombre]])</f>
        <v/>
      </c>
      <c r="D137" s="2" t="str">
        <f>IF(tblListadoCampos[[#This Row],[Tipo]]="","",VLOOKUP(tblListadoCampos[[#This Row],[Tipo]],tblControles[],2,0))</f>
        <v/>
      </c>
      <c r="E137" t="s">
        <v>6</v>
      </c>
      <c r="F137" t="s">
        <v>209</v>
      </c>
      <c r="G137" t="s">
        <v>7</v>
      </c>
    </row>
    <row r="138" spans="1:7" hidden="1" x14ac:dyDescent="0.25">
      <c r="A138" t="s">
        <v>396</v>
      </c>
      <c r="B138" t="str">
        <f>IF(tblListadoCampos[[#This Row],[Tipo]]="","",tblListadoCampos[[#This Row],[Abreviatura]]&amp;tblListadoCampos[[#This Row],[Nombre]])</f>
        <v/>
      </c>
      <c r="D138" s="2" t="str">
        <f>IF(tblListadoCampos[[#This Row],[Tipo]]="","",VLOOKUP(tblListadoCampos[[#This Row],[Tipo]],tblControles[],2,0))</f>
        <v/>
      </c>
      <c r="E138" t="s">
        <v>293</v>
      </c>
      <c r="F138" t="s">
        <v>398</v>
      </c>
      <c r="G138" t="s">
        <v>444</v>
      </c>
    </row>
    <row r="139" spans="1:7" hidden="1" x14ac:dyDescent="0.25">
      <c r="A139" t="s">
        <v>396</v>
      </c>
      <c r="B139" t="str">
        <f>IF(tblListadoCampos[[#This Row],[Tipo]]="","",tblListadoCampos[[#This Row],[Abreviatura]]&amp;tblListadoCampos[[#This Row],[Nombre]])</f>
        <v/>
      </c>
      <c r="D139" s="2" t="str">
        <f>IF(tblListadoCampos[[#This Row],[Tipo]]="","",VLOOKUP(tblListadoCampos[[#This Row],[Tipo]],tblControles[],2,0))</f>
        <v/>
      </c>
      <c r="E139" t="s">
        <v>184</v>
      </c>
      <c r="F139" t="s">
        <v>225</v>
      </c>
      <c r="G139" t="s">
        <v>190</v>
      </c>
    </row>
    <row r="140" spans="1:7" hidden="1" x14ac:dyDescent="0.25">
      <c r="A140" t="s">
        <v>396</v>
      </c>
      <c r="B140" t="str">
        <f>IF(tblListadoCampos[[#This Row],[Tipo]]="","",tblListadoCampos[[#This Row],[Abreviatura]]&amp;tblListadoCampos[[#This Row],[Nombre]])</f>
        <v/>
      </c>
      <c r="D140" s="2" t="str">
        <f>IF(tblListadoCampos[[#This Row],[Tipo]]="","",VLOOKUP(tblListadoCampos[[#This Row],[Tipo]],tblControles[],2,0))</f>
        <v/>
      </c>
      <c r="E140" t="s">
        <v>183</v>
      </c>
      <c r="F140" t="s">
        <v>224</v>
      </c>
      <c r="G140" t="s">
        <v>189</v>
      </c>
    </row>
    <row r="141" spans="1:7" hidden="1" x14ac:dyDescent="0.25">
      <c r="A141" t="s">
        <v>396</v>
      </c>
      <c r="B141" t="str">
        <f>IF(tblListadoCampos[[#This Row],[Tipo]]="","",tblListadoCampos[[#This Row],[Abreviatura]]&amp;tblListadoCampos[[#This Row],[Nombre]])</f>
        <v/>
      </c>
      <c r="D141" s="2" t="str">
        <f>IF(tblListadoCampos[[#This Row],[Tipo]]="","",VLOOKUP(tblListadoCampos[[#This Row],[Tipo]],tblControles[],2,0))</f>
        <v/>
      </c>
      <c r="E141" t="s">
        <v>395</v>
      </c>
      <c r="F141" t="s">
        <v>399</v>
      </c>
      <c r="G141" t="s">
        <v>490</v>
      </c>
    </row>
    <row r="142" spans="1:7" hidden="1" x14ac:dyDescent="0.25">
      <c r="A142" t="s">
        <v>396</v>
      </c>
      <c r="B142" t="str">
        <f>IF(tblListadoCampos[[#This Row],[Tipo]]="","",tblListadoCampos[[#This Row],[Abreviatura]]&amp;tblListadoCampos[[#This Row],[Nombre]])</f>
        <v/>
      </c>
      <c r="D142" s="2" t="str">
        <f>IF(tblListadoCampos[[#This Row],[Tipo]]="","",VLOOKUP(tblListadoCampos[[#This Row],[Tipo]],tblControles[],2,0))</f>
        <v/>
      </c>
      <c r="E142" t="s">
        <v>186</v>
      </c>
      <c r="F142" t="s">
        <v>227</v>
      </c>
      <c r="G142" t="s">
        <v>192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'Controles formulario original'!$E$17:$E$36</xm:f>
          </x14:formula1>
          <xm:sqref>C2:C142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86"/>
  <sheetViews>
    <sheetView showGridLines="0" workbookViewId="0">
      <selection activeCell="F23" sqref="F23"/>
    </sheetView>
  </sheetViews>
  <sheetFormatPr baseColWidth="10" defaultRowHeight="15" x14ac:dyDescent="0.25"/>
  <cols>
    <col min="1" max="1" width="36.140625" bestFit="1" customWidth="1"/>
    <col min="2" max="2" width="44.42578125" bestFit="1" customWidth="1"/>
    <col min="3" max="3" width="25.5703125" customWidth="1"/>
    <col min="5" max="5" width="19.85546875" bestFit="1" customWidth="1"/>
    <col min="6" max="6" width="13.5703125" customWidth="1"/>
  </cols>
  <sheetData>
    <row r="1" spans="1:6" x14ac:dyDescent="0.25">
      <c r="A1" t="s">
        <v>179</v>
      </c>
      <c r="C1" t="s">
        <v>178</v>
      </c>
    </row>
    <row r="2" spans="1:6" x14ac:dyDescent="0.25">
      <c r="B2" t="s">
        <v>177</v>
      </c>
      <c r="C2" t="s">
        <v>176</v>
      </c>
    </row>
    <row r="3" spans="1:6" x14ac:dyDescent="0.25">
      <c r="B3" t="s">
        <v>175</v>
      </c>
      <c r="C3" t="s">
        <v>174</v>
      </c>
    </row>
    <row r="4" spans="1:6" x14ac:dyDescent="0.25">
      <c r="B4" t="s">
        <v>173</v>
      </c>
      <c r="C4" t="s">
        <v>172</v>
      </c>
    </row>
    <row r="5" spans="1:6" x14ac:dyDescent="0.25">
      <c r="B5" t="s">
        <v>171</v>
      </c>
      <c r="C5" t="s">
        <v>170</v>
      </c>
    </row>
    <row r="6" spans="1:6" x14ac:dyDescent="0.25">
      <c r="B6" t="s">
        <v>169</v>
      </c>
      <c r="C6" t="s">
        <v>168</v>
      </c>
    </row>
    <row r="7" spans="1:6" x14ac:dyDescent="0.25">
      <c r="B7" t="s">
        <v>167</v>
      </c>
      <c r="C7" t="s">
        <v>166</v>
      </c>
    </row>
    <row r="8" spans="1:6" x14ac:dyDescent="0.25">
      <c r="B8" t="s">
        <v>165</v>
      </c>
      <c r="C8" t="s">
        <v>164</v>
      </c>
    </row>
    <row r="9" spans="1:6" x14ac:dyDescent="0.25">
      <c r="A9" t="s">
        <v>163</v>
      </c>
      <c r="C9" t="s">
        <v>162</v>
      </c>
    </row>
    <row r="10" spans="1:6" x14ac:dyDescent="0.25">
      <c r="B10" t="s">
        <v>161</v>
      </c>
      <c r="C10" t="s">
        <v>160</v>
      </c>
    </row>
    <row r="11" spans="1:6" x14ac:dyDescent="0.25">
      <c r="B11" t="s">
        <v>159</v>
      </c>
      <c r="C11" t="s">
        <v>158</v>
      </c>
    </row>
    <row r="12" spans="1:6" x14ac:dyDescent="0.25">
      <c r="B12" t="s">
        <v>157</v>
      </c>
      <c r="C12" t="s">
        <v>156</v>
      </c>
    </row>
    <row r="13" spans="1:6" x14ac:dyDescent="0.25">
      <c r="B13" t="s">
        <v>155</v>
      </c>
      <c r="C13" t="s">
        <v>154</v>
      </c>
    </row>
    <row r="14" spans="1:6" x14ac:dyDescent="0.25">
      <c r="B14" t="s">
        <v>153</v>
      </c>
      <c r="C14" t="s">
        <v>152</v>
      </c>
    </row>
    <row r="15" spans="1:6" x14ac:dyDescent="0.25">
      <c r="B15" t="s">
        <v>151</v>
      </c>
      <c r="C15" t="s">
        <v>150</v>
      </c>
    </row>
    <row r="16" spans="1:6" x14ac:dyDescent="0.25">
      <c r="B16" t="s">
        <v>149</v>
      </c>
      <c r="C16" t="s">
        <v>148</v>
      </c>
      <c r="E16" t="s">
        <v>531</v>
      </c>
      <c r="F16" t="s">
        <v>532</v>
      </c>
    </row>
    <row r="17" spans="1:6" x14ac:dyDescent="0.25">
      <c r="B17" t="s">
        <v>147</v>
      </c>
      <c r="C17" t="s">
        <v>146</v>
      </c>
      <c r="E17" t="s">
        <v>491</v>
      </c>
      <c r="F17" t="s">
        <v>510</v>
      </c>
    </row>
    <row r="18" spans="1:6" x14ac:dyDescent="0.25">
      <c r="B18" t="s">
        <v>145</v>
      </c>
      <c r="C18" t="s">
        <v>144</v>
      </c>
      <c r="E18" t="s">
        <v>501</v>
      </c>
      <c r="F18" t="s">
        <v>520</v>
      </c>
    </row>
    <row r="19" spans="1:6" x14ac:dyDescent="0.25">
      <c r="B19" t="s">
        <v>143</v>
      </c>
      <c r="C19" t="s">
        <v>142</v>
      </c>
      <c r="E19" t="s">
        <v>492</v>
      </c>
      <c r="F19" t="s">
        <v>511</v>
      </c>
    </row>
    <row r="20" spans="1:6" x14ac:dyDescent="0.25">
      <c r="B20" t="s">
        <v>141</v>
      </c>
      <c r="C20" t="s">
        <v>140</v>
      </c>
      <c r="E20" t="s">
        <v>502</v>
      </c>
      <c r="F20" t="s">
        <v>521</v>
      </c>
    </row>
    <row r="21" spans="1:6" x14ac:dyDescent="0.25">
      <c r="B21" t="s">
        <v>139</v>
      </c>
      <c r="C21" t="s">
        <v>138</v>
      </c>
      <c r="E21" t="s">
        <v>493</v>
      </c>
      <c r="F21" t="s">
        <v>512</v>
      </c>
    </row>
    <row r="22" spans="1:6" x14ac:dyDescent="0.25">
      <c r="B22" t="s">
        <v>137</v>
      </c>
      <c r="C22" t="s">
        <v>136</v>
      </c>
      <c r="E22" t="s">
        <v>528</v>
      </c>
      <c r="F22" t="s">
        <v>522</v>
      </c>
    </row>
    <row r="23" spans="1:6" x14ac:dyDescent="0.25">
      <c r="A23" t="s">
        <v>135</v>
      </c>
      <c r="C23" t="s">
        <v>134</v>
      </c>
      <c r="E23" t="s">
        <v>494</v>
      </c>
      <c r="F23" t="s">
        <v>513</v>
      </c>
    </row>
    <row r="24" spans="1:6" x14ac:dyDescent="0.25">
      <c r="B24" t="s">
        <v>133</v>
      </c>
      <c r="C24" t="s">
        <v>132</v>
      </c>
      <c r="E24" t="s">
        <v>503</v>
      </c>
      <c r="F24" t="s">
        <v>523</v>
      </c>
    </row>
    <row r="25" spans="1:6" x14ac:dyDescent="0.25">
      <c r="B25" t="s">
        <v>131</v>
      </c>
      <c r="C25" t="s">
        <v>130</v>
      </c>
      <c r="E25" t="s">
        <v>495</v>
      </c>
      <c r="F25" t="s">
        <v>514</v>
      </c>
    </row>
    <row r="26" spans="1:6" x14ac:dyDescent="0.25">
      <c r="B26" t="s">
        <v>129</v>
      </c>
      <c r="C26" t="s">
        <v>128</v>
      </c>
      <c r="E26" t="s">
        <v>504</v>
      </c>
      <c r="F26" t="s">
        <v>524</v>
      </c>
    </row>
    <row r="27" spans="1:6" x14ac:dyDescent="0.25">
      <c r="B27" t="s">
        <v>127</v>
      </c>
      <c r="C27" t="s">
        <v>126</v>
      </c>
      <c r="E27" t="s">
        <v>496</v>
      </c>
      <c r="F27" t="s">
        <v>515</v>
      </c>
    </row>
    <row r="28" spans="1:6" x14ac:dyDescent="0.25">
      <c r="B28" t="s">
        <v>125</v>
      </c>
      <c r="C28" t="s">
        <v>124</v>
      </c>
      <c r="E28" t="s">
        <v>505</v>
      </c>
      <c r="F28" t="s">
        <v>525</v>
      </c>
    </row>
    <row r="29" spans="1:6" x14ac:dyDescent="0.25">
      <c r="B29" t="s">
        <v>123</v>
      </c>
      <c r="C29" t="s">
        <v>122</v>
      </c>
      <c r="E29" t="s">
        <v>497</v>
      </c>
      <c r="F29" t="s">
        <v>516</v>
      </c>
    </row>
    <row r="30" spans="1:6" x14ac:dyDescent="0.25">
      <c r="B30" t="s">
        <v>121</v>
      </c>
      <c r="C30" t="s">
        <v>120</v>
      </c>
      <c r="E30" t="s">
        <v>506</v>
      </c>
      <c r="F30" t="s">
        <v>526</v>
      </c>
    </row>
    <row r="31" spans="1:6" x14ac:dyDescent="0.25">
      <c r="B31" t="s">
        <v>119</v>
      </c>
      <c r="C31" t="s">
        <v>118</v>
      </c>
      <c r="E31" t="s">
        <v>498</v>
      </c>
      <c r="F31" t="s">
        <v>517</v>
      </c>
    </row>
    <row r="32" spans="1:6" x14ac:dyDescent="0.25">
      <c r="B32" t="s">
        <v>117</v>
      </c>
      <c r="C32" t="s">
        <v>116</v>
      </c>
      <c r="E32" t="s">
        <v>507</v>
      </c>
      <c r="F32" t="s">
        <v>527</v>
      </c>
    </row>
    <row r="33" spans="1:6" x14ac:dyDescent="0.25">
      <c r="B33" t="s">
        <v>115</v>
      </c>
      <c r="C33" t="s">
        <v>114</v>
      </c>
      <c r="E33" t="s">
        <v>499</v>
      </c>
      <c r="F33" t="s">
        <v>518</v>
      </c>
    </row>
    <row r="34" spans="1:6" x14ac:dyDescent="0.25">
      <c r="B34" t="s">
        <v>113</v>
      </c>
      <c r="C34" t="s">
        <v>112</v>
      </c>
      <c r="E34" t="s">
        <v>508</v>
      </c>
      <c r="F34" t="s">
        <v>529</v>
      </c>
    </row>
    <row r="35" spans="1:6" x14ac:dyDescent="0.25">
      <c r="B35" t="s">
        <v>111</v>
      </c>
      <c r="C35" t="s">
        <v>110</v>
      </c>
      <c r="E35" t="s">
        <v>500</v>
      </c>
      <c r="F35" t="s">
        <v>519</v>
      </c>
    </row>
    <row r="36" spans="1:6" x14ac:dyDescent="0.25">
      <c r="A36" t="s">
        <v>109</v>
      </c>
      <c r="C36" t="s">
        <v>108</v>
      </c>
      <c r="E36" t="s">
        <v>509</v>
      </c>
      <c r="F36" t="s">
        <v>530</v>
      </c>
    </row>
    <row r="37" spans="1:6" x14ac:dyDescent="0.25">
      <c r="B37" t="s">
        <v>107</v>
      </c>
      <c r="C37" t="s">
        <v>106</v>
      </c>
    </row>
    <row r="38" spans="1:6" x14ac:dyDescent="0.25">
      <c r="B38" t="s">
        <v>105</v>
      </c>
      <c r="C38" t="s">
        <v>104</v>
      </c>
    </row>
    <row r="39" spans="1:6" x14ac:dyDescent="0.25">
      <c r="B39" t="s">
        <v>103</v>
      </c>
      <c r="C39" t="s">
        <v>102</v>
      </c>
    </row>
    <row r="40" spans="1:6" x14ac:dyDescent="0.25">
      <c r="B40" t="s">
        <v>101</v>
      </c>
      <c r="C40" t="s">
        <v>100</v>
      </c>
    </row>
    <row r="41" spans="1:6" x14ac:dyDescent="0.25">
      <c r="B41" t="s">
        <v>99</v>
      </c>
      <c r="C41" t="s">
        <v>98</v>
      </c>
    </row>
    <row r="42" spans="1:6" x14ac:dyDescent="0.25">
      <c r="B42" t="s">
        <v>97</v>
      </c>
      <c r="C42" t="s">
        <v>96</v>
      </c>
    </row>
    <row r="43" spans="1:6" x14ac:dyDescent="0.25">
      <c r="B43" t="s">
        <v>95</v>
      </c>
      <c r="C43" t="s">
        <v>94</v>
      </c>
    </row>
    <row r="44" spans="1:6" x14ac:dyDescent="0.25">
      <c r="B44" t="s">
        <v>93</v>
      </c>
      <c r="C44" t="s">
        <v>92</v>
      </c>
    </row>
    <row r="45" spans="1:6" x14ac:dyDescent="0.25">
      <c r="B45" t="s">
        <v>91</v>
      </c>
      <c r="C45" t="s">
        <v>90</v>
      </c>
    </row>
    <row r="46" spans="1:6" x14ac:dyDescent="0.25">
      <c r="B46" t="s">
        <v>89</v>
      </c>
      <c r="C46" t="s">
        <v>88</v>
      </c>
    </row>
    <row r="47" spans="1:6" x14ac:dyDescent="0.25">
      <c r="B47" t="s">
        <v>87</v>
      </c>
      <c r="C47" t="s">
        <v>86</v>
      </c>
    </row>
    <row r="48" spans="1:6" x14ac:dyDescent="0.25">
      <c r="A48" t="s">
        <v>85</v>
      </c>
      <c r="C48" t="s">
        <v>84</v>
      </c>
    </row>
    <row r="49" spans="1:3" x14ac:dyDescent="0.25">
      <c r="B49" t="s">
        <v>83</v>
      </c>
      <c r="C49" t="s">
        <v>82</v>
      </c>
    </row>
    <row r="50" spans="1:3" x14ac:dyDescent="0.25">
      <c r="B50" t="s">
        <v>81</v>
      </c>
      <c r="C50" t="s">
        <v>80</v>
      </c>
    </row>
    <row r="51" spans="1:3" x14ac:dyDescent="0.25">
      <c r="B51" t="s">
        <v>79</v>
      </c>
      <c r="C51" t="s">
        <v>78</v>
      </c>
    </row>
    <row r="52" spans="1:3" x14ac:dyDescent="0.25">
      <c r="A52" t="s">
        <v>77</v>
      </c>
      <c r="C52" t="s">
        <v>76</v>
      </c>
    </row>
    <row r="53" spans="1:3" x14ac:dyDescent="0.25">
      <c r="B53" t="s">
        <v>75</v>
      </c>
      <c r="C53" t="s">
        <v>74</v>
      </c>
    </row>
    <row r="54" spans="1:3" x14ac:dyDescent="0.25">
      <c r="B54" t="s">
        <v>73</v>
      </c>
      <c r="C54" t="s">
        <v>72</v>
      </c>
    </row>
    <row r="55" spans="1:3" x14ac:dyDescent="0.25">
      <c r="B55" t="s">
        <v>71</v>
      </c>
      <c r="C55" t="s">
        <v>70</v>
      </c>
    </row>
    <row r="56" spans="1:3" x14ac:dyDescent="0.25">
      <c r="B56" t="s">
        <v>69</v>
      </c>
      <c r="C56" t="s">
        <v>68</v>
      </c>
    </row>
    <row r="57" spans="1:3" x14ac:dyDescent="0.25">
      <c r="B57" t="s">
        <v>67</v>
      </c>
      <c r="C57" t="s">
        <v>66</v>
      </c>
    </row>
    <row r="58" spans="1:3" x14ac:dyDescent="0.25">
      <c r="B58" t="s">
        <v>65</v>
      </c>
      <c r="C58" t="s">
        <v>64</v>
      </c>
    </row>
    <row r="59" spans="1:3" x14ac:dyDescent="0.25">
      <c r="A59" t="s">
        <v>63</v>
      </c>
      <c r="C59" t="s">
        <v>62</v>
      </c>
    </row>
    <row r="60" spans="1:3" x14ac:dyDescent="0.25">
      <c r="B60" t="s">
        <v>61</v>
      </c>
      <c r="C60" t="s">
        <v>60</v>
      </c>
    </row>
    <row r="61" spans="1:3" x14ac:dyDescent="0.25">
      <c r="A61" t="s">
        <v>59</v>
      </c>
      <c r="C61" t="s">
        <v>58</v>
      </c>
    </row>
    <row r="62" spans="1:3" x14ac:dyDescent="0.25">
      <c r="B62" t="s">
        <v>57</v>
      </c>
      <c r="C62" t="s">
        <v>56</v>
      </c>
    </row>
    <row r="63" spans="1:3" x14ac:dyDescent="0.25">
      <c r="B63" t="s">
        <v>55</v>
      </c>
      <c r="C63" t="s">
        <v>54</v>
      </c>
    </row>
    <row r="64" spans="1:3" x14ac:dyDescent="0.25">
      <c r="B64" t="s">
        <v>53</v>
      </c>
      <c r="C64" t="s">
        <v>52</v>
      </c>
    </row>
    <row r="65" spans="1:3" x14ac:dyDescent="0.25">
      <c r="B65" t="s">
        <v>51</v>
      </c>
      <c r="C65" t="s">
        <v>50</v>
      </c>
    </row>
    <row r="66" spans="1:3" x14ac:dyDescent="0.25">
      <c r="B66" t="s">
        <v>49</v>
      </c>
      <c r="C66" t="s">
        <v>48</v>
      </c>
    </row>
    <row r="67" spans="1:3" x14ac:dyDescent="0.25">
      <c r="B67" t="s">
        <v>47</v>
      </c>
      <c r="C67" t="s">
        <v>46</v>
      </c>
    </row>
    <row r="68" spans="1:3" x14ac:dyDescent="0.25">
      <c r="B68" t="s">
        <v>45</v>
      </c>
      <c r="C68" t="s">
        <v>44</v>
      </c>
    </row>
    <row r="69" spans="1:3" x14ac:dyDescent="0.25">
      <c r="B69" t="s">
        <v>43</v>
      </c>
      <c r="C69" t="s">
        <v>42</v>
      </c>
    </row>
    <row r="70" spans="1:3" x14ac:dyDescent="0.25">
      <c r="B70" t="s">
        <v>41</v>
      </c>
      <c r="C70" t="s">
        <v>40</v>
      </c>
    </row>
    <row r="71" spans="1:3" x14ac:dyDescent="0.25">
      <c r="B71" t="s">
        <v>39</v>
      </c>
      <c r="C71" t="s">
        <v>38</v>
      </c>
    </row>
    <row r="72" spans="1:3" x14ac:dyDescent="0.25">
      <c r="A72" t="s">
        <v>37</v>
      </c>
      <c r="C72" t="s">
        <v>36</v>
      </c>
    </row>
    <row r="73" spans="1:3" x14ac:dyDescent="0.25">
      <c r="B73" t="s">
        <v>35</v>
      </c>
      <c r="C73" t="s">
        <v>34</v>
      </c>
    </row>
    <row r="74" spans="1:3" x14ac:dyDescent="0.25">
      <c r="B74" t="s">
        <v>33</v>
      </c>
      <c r="C74" t="s">
        <v>32</v>
      </c>
    </row>
    <row r="75" spans="1:3" x14ac:dyDescent="0.25">
      <c r="B75" t="s">
        <v>31</v>
      </c>
      <c r="C75" t="s">
        <v>30</v>
      </c>
    </row>
    <row r="76" spans="1:3" x14ac:dyDescent="0.25">
      <c r="B76" t="s">
        <v>29</v>
      </c>
      <c r="C76" t="s">
        <v>28</v>
      </c>
    </row>
    <row r="77" spans="1:3" x14ac:dyDescent="0.25">
      <c r="A77" t="s">
        <v>27</v>
      </c>
      <c r="C77" t="s">
        <v>26</v>
      </c>
    </row>
    <row r="78" spans="1:3" x14ac:dyDescent="0.25">
      <c r="B78" t="s">
        <v>25</v>
      </c>
      <c r="C78" t="s">
        <v>24</v>
      </c>
    </row>
    <row r="79" spans="1:3" x14ac:dyDescent="0.25">
      <c r="B79" t="s">
        <v>23</v>
      </c>
      <c r="C79" t="s">
        <v>22</v>
      </c>
    </row>
    <row r="80" spans="1:3" x14ac:dyDescent="0.25">
      <c r="B80" t="s">
        <v>21</v>
      </c>
      <c r="C80" t="s">
        <v>20</v>
      </c>
    </row>
    <row r="81" spans="1:3" x14ac:dyDescent="0.25">
      <c r="B81" t="s">
        <v>19</v>
      </c>
      <c r="C81" t="s">
        <v>18</v>
      </c>
    </row>
    <row r="82" spans="1:3" x14ac:dyDescent="0.25">
      <c r="B82" t="s">
        <v>17</v>
      </c>
      <c r="C82" t="s">
        <v>16</v>
      </c>
    </row>
    <row r="83" spans="1:3" x14ac:dyDescent="0.25">
      <c r="A83" t="s">
        <v>15</v>
      </c>
      <c r="C83" t="s">
        <v>14</v>
      </c>
    </row>
    <row r="84" spans="1:3" x14ac:dyDescent="0.25">
      <c r="B84" t="s">
        <v>13</v>
      </c>
      <c r="C84" t="s">
        <v>12</v>
      </c>
    </row>
    <row r="85" spans="1:3" x14ac:dyDescent="0.25">
      <c r="B85" t="s">
        <v>11</v>
      </c>
      <c r="C85" t="s">
        <v>10</v>
      </c>
    </row>
    <row r="86" spans="1:3" x14ac:dyDescent="0.25">
      <c r="B86" t="s">
        <v>9</v>
      </c>
      <c r="C86" t="s">
        <v>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12"/>
  <sheetViews>
    <sheetView workbookViewId="0">
      <selection activeCell="B12" sqref="B12"/>
    </sheetView>
  </sheetViews>
  <sheetFormatPr baseColWidth="10" defaultRowHeight="15" x14ac:dyDescent="0.25"/>
  <cols>
    <col min="1" max="1" width="10.28515625" bestFit="1" customWidth="1"/>
    <col min="2" max="2" width="13.5703125" bestFit="1" customWidth="1"/>
  </cols>
  <sheetData>
    <row r="1" spans="1:3" x14ac:dyDescent="0.25">
      <c r="A1" t="s">
        <v>198</v>
      </c>
      <c r="B1" t="s">
        <v>555</v>
      </c>
      <c r="C1" t="s">
        <v>406</v>
      </c>
    </row>
    <row r="2" spans="1:3" x14ac:dyDescent="0.25">
      <c r="A2" t="s">
        <v>552</v>
      </c>
      <c r="B2" t="s">
        <v>556</v>
      </c>
    </row>
    <row r="3" spans="1:3" x14ac:dyDescent="0.25">
      <c r="A3" t="s">
        <v>553</v>
      </c>
      <c r="B3" t="s">
        <v>557</v>
      </c>
    </row>
    <row r="4" spans="1:3" x14ac:dyDescent="0.25">
      <c r="A4" t="s">
        <v>554</v>
      </c>
      <c r="B4" t="s">
        <v>558</v>
      </c>
    </row>
    <row r="5" spans="1:3" x14ac:dyDescent="0.25">
      <c r="B5" t="s">
        <v>559</v>
      </c>
      <c r="C5" t="s">
        <v>561</v>
      </c>
    </row>
    <row r="6" spans="1:3" x14ac:dyDescent="0.25">
      <c r="B6" t="s">
        <v>560</v>
      </c>
    </row>
    <row r="7" spans="1:3" x14ac:dyDescent="0.25">
      <c r="B7" t="s">
        <v>562</v>
      </c>
    </row>
    <row r="8" spans="1:3" x14ac:dyDescent="0.25">
      <c r="B8" t="s">
        <v>563</v>
      </c>
    </row>
    <row r="9" spans="1:3" x14ac:dyDescent="0.25">
      <c r="B9" t="s">
        <v>564</v>
      </c>
    </row>
    <row r="10" spans="1:3" x14ac:dyDescent="0.25">
      <c r="B10" t="s">
        <v>565</v>
      </c>
    </row>
    <row r="11" spans="1:3" x14ac:dyDescent="0.25">
      <c r="B11" t="s">
        <v>567</v>
      </c>
    </row>
    <row r="12" spans="1:3" x14ac:dyDescent="0.25">
      <c r="B12" t="s">
        <v>566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frmDatosClienteFactura</vt:lpstr>
      <vt:lpstr>frmDatosCompletosCliente</vt:lpstr>
      <vt:lpstr>listado campos base</vt:lpstr>
      <vt:lpstr>Controles formulario original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dcterms:created xsi:type="dcterms:W3CDTF">2018-12-11T20:58:47Z</dcterms:created>
  <dcterms:modified xsi:type="dcterms:W3CDTF">2018-12-15T14:46:27Z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821114b9-2bd0-45af-ae2b-f418ffb2bd18</vt:lpwstr>
  </property>
</Properties>
</file>