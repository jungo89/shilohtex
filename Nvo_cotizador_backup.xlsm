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firstSheet="14" activeTab="22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L3237" i="26"/>
  <c r="J3237" i="26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L3109" i="26"/>
  <c r="J3109" i="26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L2956" i="26"/>
  <c r="J2956" i="26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L2811" i="26"/>
  <c r="J2811" i="26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L2238" i="26"/>
  <c r="J2238" i="26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L1912" i="26"/>
  <c r="J1912" i="26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L1168" i="26"/>
  <c r="J1168" i="26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<sst xmlns="http://schemas.openxmlformats.org/spreadsheetml/2006/main" count="34524" uniqueCount="3029">
  <si>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</si>
  <si>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</si>
  <si>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</si>
  <si>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</si>
  <si>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</si>
  <si>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</si>
  <si>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</si>
  <si>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</si>
  <si>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</si>
  <si>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</si>
  <si>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</si>
  <si>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</si>
  <si>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</si>
  <si>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</si>
  <si>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</si>
  <si>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</si>
  <si>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</si>
  <si>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</si>
  <si>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</si>
  <si>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</si>
  <si>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</si>
  <si>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</si>
  <si>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</si>
  <si>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</si>
  <si>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</si>
  <si>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</si>
  <si>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</si>
  <si>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</si>
  <si>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</si>
  <si>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</si>
  <si>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</si>
  <si>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</si>
  <si>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</si>
  <si>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</si>
  <si>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</si>
  <si>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</si>
  <si>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</si>
  <si>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</si>
  <si>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</si>
  <si>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</si>
  <si>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</si>
  <si>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</si>
  <si>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</si>
  <si>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</si>
  <si>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</si>
  <si>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</si>
  <si>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</si>
  <si>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</si>
  <si>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</si>
  <si>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</si>
  <si>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</si>
  <si>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</si>
  <si>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</si>
  <si>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</si>
  <si>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</si>
  <si>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</si>
  <si>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</si>
  <si>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</si>
  <si>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</si>
  <si>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</si>
  <si>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</si>
  <si>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</si>
  <si>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</si>
  <si>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</si>
  <si>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</si>
  <si>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</si>
  <si>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</si>
  <si>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</si>
  <si>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</si>
  <si>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</si>
  <si>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</si>
  <si>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</si>
  <si>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</si>
  <si>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</si>
  <si>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</si>
  <si>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</si>
  <si>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</si>
  <si>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</si>
  <si>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</si>
  <si>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</si>
  <si>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</si>
  <si>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</si>
  <si>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</si>
  <si>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</si>
  <si>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</si>
  <si>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</si>
  <si>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</si>
  <si>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</si>
  <si>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</si>
  <si>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</si>
  <si>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</si>
  <si>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</si>
  <si>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</si>
  <si>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</si>
  <si>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</si>
  <si>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</si>
  <si>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</si>
  <si>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</si>
  <si>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</si>
  <si>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</si>
  <si>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</si>
  <si>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</si>
  <si>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</si>
  <si>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</si>
  <si>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</si>
  <si>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</si>
  <si>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</si>
  <si>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</si>
  <si>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</si>
  <si>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</si>
  <si>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</si>
  <si>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</si>
  <si>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</si>
  <si>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</si>
  <si>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</si>
  <si>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</si>
  <si>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</si>
  <si>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</si>
  <si>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</si>
  <si>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</si>
  <si>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</si>
  <si>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</si>
  <si>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</si>
  <si>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</si>
  <si>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</si>
  <si>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</si>
  <si>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</si>
  <si>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</si>
  <si>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</si>
  <si>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</si>
  <si>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</si>
  <si>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</si>
  <si>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</si>
  <si>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</si>
  <si>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</si>
  <si>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</si>
  <si>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</si>
  <si>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</si>
  <si>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</si>
  <si>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</si>
  <si>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</si>
  <si>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</si>
  <si>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</si>
  <si>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</si>
  <si>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</si>
  <si>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</si>
  <si>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</si>
  <si>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</si>
  <si>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</si>
  <si>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</si>
  <si>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</si>
  <si>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</si>
  <si>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</si>
  <si>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</si>
  <si>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</si>
  <si>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</si>
  <si>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</si>
  <si>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</si>
  <si>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</si>
  <si>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</si>
  <si>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</si>
  <si>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</si>
  <si>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</si>
  <si>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</si>
  <si>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</si>
  <si>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</si>
  <si>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</si>
  <si>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</si>
  <si>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</si>
  <si>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</si>
  <si>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</si>
  <si>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</si>
  <si>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</si>
  <si>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</si>
  <si>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</si>
  <si>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</si>
  <si>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</si>
  <si>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</si>
  <si>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</si>
  <si>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</si>
  <si>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</si>
  <si>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</si>
  <si>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</si>
  <si>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</si>
  <si>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</si>
  <si>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</si>
  <si>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</si>
  <si>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</si>
  <si>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</si>
  <si>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</si>
  <si>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</si>
  <si>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</si>
  <si>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</si>
  <si>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</si>
  <si>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</si>
  <si>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</si>
  <si>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</si>
  <si>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</si>
  <si>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</si>
  <si>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</si>
  <si>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</si>
  <si>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</si>
  <si>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</si>
  <si>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</si>
  <si>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</si>
  <si>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</si>
  <si>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</si>
  <si>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</si>
  <si>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</si>
  <si>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</si>
  <si>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</si>
  <si>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</si>
  <si>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</si>
  <si>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</si>
  <si>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</si>
  <si>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</si>
  <si>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</si>
  <si>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</si>
  <si>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</si>
  <si>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</si>
  <si>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</si>
  <si>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</si>
  <si>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</si>
  <si>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</si>
  <si>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</si>
  <si>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</si>
  <si>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</si>
  <si>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</si>
  <si>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</si>
  <si>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</si>
  <si>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</si>
  <si>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</si>
  <si>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</si>
  <si>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</si>
  <si>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</si>
  <si>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</si>
  <si>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</si>
  <si>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</si>
  <si>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</si>
  <si>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</si>
  <si>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</si>
  <si>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</si>
  <si>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</si>
  <si>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</si>
  <si>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</si>
  <si>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</si>
  <si>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</si>
  <si>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</si>
  <si>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</si>
  <si>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</si>
  <si>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</si>
  <si>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</si>
  <si>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</si>
  <si>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</si>
  <si>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</si>
  <si>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</si>
  <si>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</si>
  <si>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</si>
  <si>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</si>
  <si>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</si>
  <si>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</si>
  <si>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</si>
  <si>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</si>
  <si>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</si>
  <si>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</si>
  <si>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</si>
  <si>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</si>
  <si>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</si>
  <si>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</si>
  <si>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</si>
  <si>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</si>
  <si>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</si>
  <si>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</si>
  <si>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</si>
  <si>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</si>
  <si>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</si>
  <si>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</si>
  <si>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</si>
  <si>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</si>
  <si>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</si>
  <si>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</si>
  <si>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</si>
  <si>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</si>
  <si>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</si>
  <si>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</si>
  <si>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</si>
  <si>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</si>
  <si>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</si>
  <si>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</si>
  <si>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</si>
  <si>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</si>
  <si>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</si>
  <si>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</si>
  <si>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</si>
  <si>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</si>
  <si>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</si>
  <si>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</si>
  <si>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</si>
  <si>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</si>
  <si>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</si>
  <si>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</si>
  <si>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</si>
  <si>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</si>
  <si>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</si>
  <si>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</si>
  <si>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</si>
  <si>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</si>
  <si>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</si>
  <si>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</si>
  <si>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</si>
  <si>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</si>
  <si>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</si>
  <si>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</si>
  <si>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</si>
  <si>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</si>
  <si>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</si>
  <si>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</si>
  <si>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</si>
  <si>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</si>
  <si>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</si>
  <si>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</si>
  <si>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</si>
  <si>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</si>
  <si>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</si>
  <si>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</si>
  <si>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</si>
  <si>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</si>
  <si>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</si>
  <si>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</si>
  <si>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</si>
  <si>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</si>
  <si>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</si>
  <si>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</si>
  <si>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</si>
  <si>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</si>
  <si>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</si>
  <si>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</si>
  <si>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</si>
  <si>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</si>
  <si>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</si>
  <si>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</si>
  <si>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</si>
  <si>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</si>
  <si>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</si>
  <si>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</si>
  <si>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</si>
  <si>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</si>
  <si>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</si>
  <si>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</si>
  <si>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</si>
  <si>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</si>
  <si>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</si>
  <si>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</si>
  <si>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</si>
  <si>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</si>
  <si>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</si>
  <si>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</si>
  <si>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</si>
  <si>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</si>
  <si>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</si>
  <si>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</si>
  <si>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</si>
  <si>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</si>
  <si>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</si>
  <si>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</si>
  <si>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</si>
  <si>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</si>
  <si>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</si>
  <si>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</si>
  <si>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</si>
  <si>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</si>
  <si>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</si>
  <si>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</si>
  <si>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</si>
  <si>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</si>
  <si>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</si>
  <si>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</si>
  <si>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</si>
  <si>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</si>
  <si>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</si>
  <si>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</si>
  <si>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</si>
  <si>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</si>
  <si>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</si>
  <si>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</si>
  <si>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</si>
  <si>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</si>
  <si>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</si>
  <si>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</si>
  <si>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</si>
  <si>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</si>
  <si>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</si>
  <si>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</si>
  <si>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</si>
  <si>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</si>
  <si>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</si>
  <si>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</si>
  <si>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</si>
  <si>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</si>
  <si>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</si>
  <si>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</si>
  <si>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</si>
  <si>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</si>
  <si>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</si>
  <si>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</si>
  <si>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</si>
  <si>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</si>
  <si>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</si>
  <si>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</si>
  <si>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</si>
  <si>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</si>
  <si>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</si>
  <si>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</si>
  <si>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</si>
  <si>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</si>
  <si>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</si>
  <si>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</si>
  <si>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</si>
  <si>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</si>
  <si>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</si>
  <si>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</si>
  <si>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</si>
  <si>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</si>
  <si>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</si>
  <si>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</si>
  <si>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</si>
  <si>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</si>
  <si>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</si>
  <si>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</si>
  <si>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</si>
  <si>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</si>
  <si>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</si>
  <si>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</si>
  <si>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</si>
  <si>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</si>
  <si>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</si>
  <si>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</si>
  <si>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</si>
  <si>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</si>
  <si>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</si>
  <si>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</si>
  <si>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</si>
  <si>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</si>
  <si>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</si>
  <si>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</si>
  <si>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</si>
  <si>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</si>
  <si>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</si>
  <si>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</si>
  <si>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</si>
  <si>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</si>
  <si>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</si>
  <si>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</si>
  <si>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</si>
  <si>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</si>
  <si>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</si>
  <si>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</si>
  <si>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</si>
  <si>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</si>
  <si>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</si>
  <si>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</si>
  <si>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</si>
  <si>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</si>
  <si>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</si>
  <si>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</si>
  <si>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</si>
  <si>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</si>
  <si>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</si>
  <si>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</si>
  <si>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</si>
  <si>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</si>
  <si>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</si>
  <si>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</si>
  <si>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</si>
  <si>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</si>
  <si>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</si>
  <si>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</si>
  <si>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</si>
  <si>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</si>
  <si>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</si>
  <si>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</si>
  <si>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</si>
  <si>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</si>
  <si>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</si>
  <si>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</si>
  <si>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</si>
  <si>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</si>
  <si>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</si>
  <si>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</si>
  <si>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</si>
  <si>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</si>
  <si>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</si>
  <si>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</si>
  <si>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</si>
  <si>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</si>
  <si>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</si>
  <si>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</si>
  <si>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</si>
  <si>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</si>
  <si>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</si>
  <si>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</si>
  <si>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</si>
  <si>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</si>
  <si>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</si>
  <si>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</si>
  <si>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</si>
  <si>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</si>
  <si>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</si>
  <si>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</si>
  <si>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</si>
  <si>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</si>
  <si>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</si>
  <si>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</si>
  <si>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</si>
  <si>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</si>
  <si>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</si>
  <si>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</si>
  <si>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</si>
  <si>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</si>
  <si>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</si>
  <si>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</si>
  <si>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</si>
  <si>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</si>
  <si>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</si>
  <si>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</si>
  <si>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</si>
  <si>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</si>
  <si>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</si>
  <si>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</si>
  <si>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</si>
  <si>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</si>
  <si>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</si>
  <si>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</si>
  <si>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</si>
  <si>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</si>
  <si>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</si>
  <si>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</si>
  <si>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</si>
  <si>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</si>
  <si>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</si>
  <si>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</si>
  <si>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</si>
  <si>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</si>
  <si>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</si>
  <si>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</si>
  <si>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</si>
  <si>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</si>
  <si>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</si>
  <si>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</si>
  <si>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</si>
  <si>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</si>
  <si>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</si>
  <si>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</si>
  <si>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</si>
  <si>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</si>
  <si>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</si>
  <si>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</si>
  <si>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</si>
  <si>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</si>
  <si>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</si>
  <si>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</si>
  <si>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</si>
  <si>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</si>
  <si>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</si>
  <si>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</si>
  <si>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</si>
  <si>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</si>
  <si>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</si>
  <si>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</si>
  <si>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</si>
  <si>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</si>
  <si>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</si>
  <si>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</si>
  <si>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</si>
  <si>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</si>
  <si>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</si>
  <si>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</si>
  <si>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</si>
  <si>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</si>
  <si>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</si>
  <si>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</si>
  <si>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</si>
  <si>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</si>
  <si>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</si>
  <si>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</si>
  <si>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</si>
  <si>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</si>
  <si>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</si>
  <si>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</si>
  <si>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</si>
  <si>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</si>
  <si>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</si>
  <si>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</si>
  <si>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</si>
  <si>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</si>
  <si>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</si>
  <si>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</si>
  <si>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</si>
  <si>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</si>
  <si>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</si>
  <si>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</si>
  <si>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</si>
  <si>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</si>
  <si>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</si>
  <si>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</si>
  <si>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</si>
  <si>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</si>
  <si>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</si>
  <si>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</si>
  <si>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</si>
  <si>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</si>
  <si>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</si>
  <si>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</si>
  <si>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</si>
  <si>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</si>
  <si>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</si>
  <si>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</si>
  <si>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</si>
  <si>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</si>
  <si>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</si>
  <si>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</si>
  <si>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</si>
  <si>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</si>
  <si>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</si>
  <si>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</si>
  <si>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</si>
  <si>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</si>
  <si>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</si>
  <si>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</si>
  <si>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</si>
  <si>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</si>
  <si>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</si>
  <si>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</si>
  <si>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</si>
  <si>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</si>
  <si>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</si>
  <si>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</si>
  <si>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</si>
  <si>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</si>
  <si>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</si>
  <si>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</si>
  <si>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</si>
  <si>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</si>
  <si>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</si>
  <si>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</si>
  <si>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</si>
  <si>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</si>
  <si>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</si>
  <si>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</si>
  <si>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</si>
  <si>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</si>
  <si>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</si>
  <si>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</si>
  <si>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</si>
  <si>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</si>
  <si>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</si>
  <si>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</si>
  <si>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</si>
  <si>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</si>
  <si>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</si>
  <si>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</si>
  <si>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</si>
  <si>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</si>
  <si>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</si>
  <si>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</si>
  <si>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</si>
  <si>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</si>
  <si>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</si>
  <si>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</si>
  <si>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</si>
  <si>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</si>
  <si>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</si>
  <si>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</si>
  <si>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</si>
  <si>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</si>
  <si>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</si>
  <si>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</si>
  <si>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</si>
  <si>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</si>
  <si>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</si>
  <si>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</si>
  <si>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</si>
  <si>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</si>
  <si>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</si>
  <si>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</si>
  <si>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</si>
  <si>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</si>
  <si>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</si>
  <si>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</si>
  <si>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</si>
  <si>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</si>
  <si>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</si>
  <si>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</si>
  <si>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</si>
  <si>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</si>
  <si>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</si>
  <si>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</si>
  <si>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</si>
  <si>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</si>
  <si>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</si>
  <si>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</si>
  <si>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</si>
  <si>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</si>
  <si>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</si>
  <si>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</si>
  <si>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</si>
  <si>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</si>
  <si>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</si>
  <si>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</si>
  <si>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</si>
  <si>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</si>
  <si>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</si>
  <si>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</si>
  <si>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</si>
  <si>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</si>
  <si>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</si>
  <si>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</si>
  <si>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</si>
  <si>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</si>
  <si>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</si>
  <si>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</si>
  <si>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</si>
  <si>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</si>
  <si>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</si>
  <si>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</si>
  <si>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</si>
  <si>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</si>
  <si>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</si>
  <si>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</si>
  <si>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</si>
  <si>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</si>
  <si>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</si>
  <si>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</si>
  <si>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</si>
  <si>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</si>
  <si>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</si>
  <si>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</si>
  <si>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</si>
  <si>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</si>
  <si>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</si>
  <si>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</si>
  <si>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</si>
  <si>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</si>
  <si>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</si>
  <si>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</si>
  <si>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</si>
  <si>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</si>
  <si>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</si>
  <si>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</si>
  <si>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</si>
  <si>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</si>
  <si>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</si>
  <si>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</si>
  <si>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</si>
  <si>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</si>
  <si>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</si>
  <si>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</si>
  <si>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</si>
  <si>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</si>
  <si>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</si>
  <si>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</si>
  <si>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</si>
  <si>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</si>
  <si>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</si>
  <si>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</si>
  <si>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</si>
  <si>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</si>
  <si>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</si>
  <si>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</si>
  <si>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</si>
  <si>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</si>
  <si>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</si>
  <si>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</si>
  <si>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</si>
  <si>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</si>
  <si>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</si>
  <si>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</si>
  <si>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</si>
  <si>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</si>
  <si>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</si>
  <si>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</si>
  <si>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</si>
  <si>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</si>
  <si>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</si>
  <si>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</si>
  <si>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</si>
  <si>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</si>
  <si>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</si>
  <si>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</si>
  <si>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</si>
  <si>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</si>
  <si>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</si>
  <si>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</si>
  <si>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</si>
  <si>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</si>
  <si>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</si>
  <si>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</si>
  <si>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</si>
  <si>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</si>
  <si>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</si>
  <si>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</si>
  <si>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</si>
  <si>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</si>
  <si>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</si>
  <si>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</si>
  <si>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</si>
  <si>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</si>
  <si>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</si>
  <si>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</si>
  <si>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</si>
  <si>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</si>
  <si>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</si>
  <si>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</si>
  <si>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</si>
  <si>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</si>
  <si>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</si>
  <si>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</si>
  <si>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</si>
  <si>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</si>
  <si>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</si>
  <si>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</si>
  <si>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</si>
  <si>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</si>
  <si>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</si>
  <si>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</si>
  <si>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</si>
  <si>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</si>
  <si>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</si>
  <si>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</si>
  <si>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</si>
  <si>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</si>
  <si>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</si>
  <si>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</si>
  <si>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</si>
  <si>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</si>
  <si>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</si>
  <si>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</si>
  <si>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</si>
  <si>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</si>
  <si>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</si>
  <si>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</si>
  <si>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</si>
  <si>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</si>
  <si>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</si>
  <si>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</si>
  <si>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</si>
  <si>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</si>
  <si>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</si>
  <si>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</si>
  <si>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</si>
  <si>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</si>
  <si>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</si>
  <si>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</si>
  <si>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</si>
  <si>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</si>
  <si>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</si>
  <si>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</si>
  <si>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</si>
  <si>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</si>
  <si>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</si>
  <si>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</si>
  <si>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</si>
  <si>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</si>
  <si>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</si>
  <si>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</si>
  <si>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</si>
  <si>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</si>
  <si>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</si>
  <si>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</si>
  <si>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</si>
  <si>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</si>
  <si>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</si>
  <si>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</si>
  <si>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</si>
  <si>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</si>
  <si>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</si>
  <si>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</si>
  <si>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</si>
  <si>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</si>
  <si>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</si>
  <si>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</si>
  <si>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</si>
  <si>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</si>
  <si>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</si>
  <si>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</si>
  <si>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</si>
  <si>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</si>
  <si>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</si>
  <si>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</si>
  <si>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</si>
  <si>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</si>
  <si>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</si>
  <si>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</si>
  <si>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</si>
  <si>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</si>
  <si>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</si>
  <si>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</si>
  <si>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</si>
  <si>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</si>
  <si>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</si>
  <si>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</si>
  <si>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</si>
  <si>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</si>
  <si>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</si>
  <si>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</si>
  <si>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</si>
  <si>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</si>
  <si>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</si>
  <si>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</si>
  <si>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</si>
  <si>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</si>
  <si>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</si>
  <si>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</si>
  <si>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</si>
  <si>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</si>
  <si>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</si>
  <si>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</si>
  <si>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</si>
  <si>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</si>
  <si>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</si>
  <si>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</si>
  <si>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</si>
  <si>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</si>
  <si>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</si>
  <si>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</si>
  <si>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</si>
  <si>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</si>
  <si>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</si>
  <si>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</si>
  <si>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</si>
  <si>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</si>
  <si>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</si>
  <si>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</si>
  <si>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</si>
  <si>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</si>
  <si>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</si>
  <si>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</si>
  <si>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</si>
  <si>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</si>
  <si>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</si>
  <si>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</si>
  <si>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</si>
  <si>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</si>
  <si>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</si>
  <si>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</si>
  <si>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</si>
  <si>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</si>
  <si>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</si>
  <si>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</si>
  <si>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</si>
  <si>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</si>
  <si>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</si>
  <si>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</si>
  <si>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</si>
  <si>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</si>
  <si>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</si>
  <si>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</si>
  <si>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</si>
  <si>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</si>
  <si>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</si>
  <si>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</si>
  <si>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</si>
  <si>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</si>
  <si>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</si>
  <si>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</si>
  <si>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</si>
  <si>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</si>
  <si>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</si>
  <si>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</si>
  <si>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</si>
  <si>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</si>
  <si>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</si>
  <si>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</si>
  <si>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</si>
  <si>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</si>
  <si>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</si>
  <si>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</si>
  <si>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</si>
  <si>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</si>
  <si>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</si>
  <si>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</si>
  <si>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</si>
  <si>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</si>
  <si>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</si>
  <si>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</si>
  <si>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</si>
  <si>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</si>
  <si>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</si>
  <si>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</si>
  <si>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</si>
  <si>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</si>
  <si>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</si>
  <si>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</si>
  <si>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</si>
  <si>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</si>
  <si>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</si>
  <si>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</si>
  <si>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</si>
  <si>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</si>
  <si>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</si>
  <si>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</si>
  <si>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</si>
  <si>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</si>
  <si>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</si>
  <si>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</si>
  <si>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</si>
  <si>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</si>
  <si>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</si>
  <si>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</si>
  <si>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</si>
  <si>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</si>
  <si>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</si>
  <si>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</si>
  <si>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</si>
  <si>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</si>
  <si>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</si>
  <si>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</si>
  <si>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</si>
  <si>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</si>
  <si>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</si>
  <si>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</si>
  <si>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</si>
  <si>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</si>
  <si>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</si>
  <si>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</si>
  <si>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</si>
  <si>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</si>
  <si>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</si>
  <si>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</si>
  <si>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</si>
  <si>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</si>
  <si>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</si>
  <si>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</si>
  <si>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</si>
  <si>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</si>
  <si>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</si>
  <si>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</si>
  <si>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</si>
  <si>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</si>
  <si>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</si>
  <si>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</si>
  <si>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</si>
  <si>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</si>
  <si>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</si>
  <si>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</si>
  <si>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</si>
  <si>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</si>
  <si>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</si>
  <si>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</si>
  <si>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</si>
  <si>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</si>
  <si>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</si>
  <si>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</si>
  <si>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</si>
  <si>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</si>
  <si>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</si>
  <si>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</si>
  <si>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</si>
  <si>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</si>
  <si>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</si>
  <si>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</si>
  <si>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</si>
  <si>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</si>
  <si>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</si>
  <si>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</si>
  <si>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</si>
  <si>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</si>
  <si>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</si>
  <si>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</si>
  <si>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</si>
  <si>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</si>
  <si>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</si>
  <si>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</si>
  <si>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</si>
  <si>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</si>
  <si>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</si>
  <si>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</si>
  <si>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</si>
  <si>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</si>
  <si>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</si>
  <si>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</si>
  <si>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</si>
  <si>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</si>
  <si>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</si>
  <si>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</si>
  <si>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</si>
  <si>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</si>
  <si>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</si>
  <si>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</si>
  <si>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</si>
  <si>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</si>
  <si>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</si>
  <si>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</si>
  <si>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</si>
  <si>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</si>
  <si>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</si>
  <si>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</si>
  <si>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</si>
  <si>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</si>
  <si>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</si>
  <si>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</si>
  <si>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</si>
  <si>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</si>
  <si>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</si>
  <si>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</si>
  <si>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</si>
  <si>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</si>
  <si>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</si>
  <si>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</si>
  <si>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</si>
  <si>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</si>
  <si>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</si>
  <si>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</si>
  <si>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</si>
  <si>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</si>
  <si>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</si>
  <si>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</si>
  <si>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</si>
  <si>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</si>
  <si>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</si>
  <si>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</si>
  <si>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</si>
  <si>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</si>
  <si>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</si>
  <si>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</si>
  <si>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</si>
  <si>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</si>
  <si>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</si>
  <si>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</si>
  <si>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</si>
  <si>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</si>
  <si>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</si>
  <si>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</si>
  <si>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</si>
  <si>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</si>
  <si>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</si>
  <si>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</si>
  <si>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</si>
  <si>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</si>
  <si>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</si>
  <si>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</si>
  <si>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</si>
  <si>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</si>
  <si>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</si>
  <si>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</si>
  <si>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</si>
  <si>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</si>
  <si>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</si>
  <si>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</si>
  <si>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</si>
  <si>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</si>
  <si>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</si>
  <si>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</si>
  <si>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</si>
  <si>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</si>
  <si>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</si>
  <si>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</si>
  <si>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</si>
  <si>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</si>
  <si>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</si>
  <si>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</si>
  <si>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</si>
  <si>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</si>
  <si>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</si>
  <si>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</si>
  <si>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</si>
  <si>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</si>
  <si>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</si>
  <si>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</si>
  <si>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</si>
  <si>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</si>
  <si>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</si>
  <si>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</si>
  <si>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</si>
  <si>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</si>
  <si>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</si>
  <si>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</si>
  <si>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</si>
  <si>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</si>
  <si>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</si>
  <si>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</si>
  <si>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</si>
  <si>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</si>
  <si>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</si>
  <si>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</si>
  <si>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</si>
  <si>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</si>
  <si>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</si>
  <si>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</si>
  <si>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</si>
  <si>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</si>
  <si>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</si>
  <si>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</si>
  <si>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</si>
  <si>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</si>
  <si>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</si>
  <si>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</si>
  <si>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</si>
  <si>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</si>
  <si>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</si>
  <si>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</si>
  <si>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</si>
  <si>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</si>
  <si>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</si>
  <si>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</si>
  <si>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</si>
  <si>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</si>
  <si>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</si>
  <si>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</si>
  <si>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</si>
  <si>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</si>
  <si>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</si>
  <si>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</si>
  <si>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</si>
  <si>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</si>
  <si>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</si>
  <si>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</si>
  <si>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</si>
  <si>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</si>
  <si>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</si>
  <si>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</si>
  <si>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</si>
  <si>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</si>
  <si>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</si>
  <si>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</si>
  <si>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</si>
  <si>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</si>
  <si>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</si>
  <si>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</si>
  <si>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</si>
  <si>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</si>
  <si>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</si>
  <si>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</si>
  <si>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</si>
  <si>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</si>
  <si>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</si>
  <si>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</si>
  <si>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</si>
  <si>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</si>
  <si>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</si>
  <si>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</si>
  <si>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</si>
  <si>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</si>
  <si>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</si>
  <si>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</si>
  <si>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</si>
  <si>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</si>
  <si>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</si>
  <si>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</si>
  <si>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</si>
  <si>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</si>
  <si>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</si>
  <si>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</si>
  <si>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</si>
  <si>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</si>
  <si>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</si>
  <si>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</si>
  <si>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</si>
  <si>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</si>
  <si>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</si>
  <si>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</si>
  <si>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</si>
  <si>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</si>
  <si>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</si>
  <si>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</si>
  <si>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</si>
  <si>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</si>
  <si>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</si>
  <si>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</si>
  <si>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</si>
  <si>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</si>
  <si>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</si>
  <si>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</si>
  <si>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</si>
  <si>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</si>
  <si>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</si>
  <si>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</si>
  <si>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</si>
  <si>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</si>
  <si>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</si>
  <si>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</si>
  <si>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</si>
  <si>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</si>
  <si>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</si>
  <si>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</si>
  <si>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</si>
  <si>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</si>
  <si>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</si>
  <si>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</si>
  <si>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</si>
  <si>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</si>
  <si>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</si>
  <si>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</si>
  <si>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</si>
  <si>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</si>
  <si>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</si>
  <si>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</si>
  <si>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</si>
  <si>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</si>
  <si>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</si>
  <si>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</si>
  <si>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</si>
  <si>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</si>
  <si>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</si>
  <si>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</si>
  <si>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</si>
  <si>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</si>
  <si>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</si>
  <si>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</si>
  <si>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</si>
  <si>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</si>
  <si>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</si>
  <si>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</si>
  <si>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</si>
  <si>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</si>
  <si>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</si>
  <si>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</si>
  <si>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</si>
  <si>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</si>
  <si>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</si>
  <si>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</si>
  <si>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</si>
  <si>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</si>
  <si>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</si>
  <si>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</si>
  <si>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</si>
  <si>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</si>
  <si>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</si>
  <si>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</si>
  <si>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</si>
  <si>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</si>
  <si>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</si>
  <si>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</si>
  <si>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</si>
  <si>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</si>
  <si>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</si>
  <si>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</si>
  <si>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</si>
  <si>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</si>
  <si>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</si>
  <si>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</si>
  <si>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</si>
  <si>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</si>
  <si>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</si>
  <si>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</si>
  <si>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</si>
  <si>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</si>
  <si>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</si>
  <si>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</si>
  <si>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</si>
  <si>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</si>
  <si>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</si>
  <si>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</si>
  <si>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</si>
  <si>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</si>
  <si>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</si>
  <si>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</si>
  <si>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</si>
  <si>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</si>
  <si>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</si>
  <si>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</si>
  <si>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</si>
  <si>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</si>
  <si>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</si>
  <si>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</si>
  <si>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</si>
  <si>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</si>
  <si>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</si>
  <si>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</si>
  <si>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</si>
  <si>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</si>
  <si>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</si>
  <si>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</si>
  <si>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</si>
  <si>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</si>
  <si>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</si>
  <si>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</si>
  <si>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</si>
  <si>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</si>
  <si>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</si>
  <si>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</si>
  <si>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</si>
  <si>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</si>
  <si>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</si>
  <si>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</si>
  <si>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</si>
  <si>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</si>
  <si>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</si>
  <si>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</si>
  <si>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</si>
  <si>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</si>
  <si>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</si>
  <si>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</si>
  <si>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</si>
  <si>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</si>
  <si>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</si>
  <si>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</si>
  <si>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</si>
  <si>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</si>
  <si>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</si>
  <si>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</si>
  <si>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</si>
  <si>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</si>
  <si>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</si>
  <si>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</si>
  <si>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</si>
  <si>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</si>
  <si>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</si>
  <si>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</si>
  <si>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</si>
  <si>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</si>
  <si>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</si>
  <si>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</si>
  <si>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</si>
  <si>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</si>
  <si>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</si>
  <si>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</si>
  <si>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</si>
  <si>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</si>
  <si>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</si>
  <si>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</si>
  <si>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</si>
  <si>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</si>
  <si>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</si>
  <si>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</si>
  <si>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</si>
  <si>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</si>
  <si>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</si>
  <si>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</si>
  <si>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</si>
  <si>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</si>
  <si>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</si>
  <si>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</si>
  <si>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</si>
  <si>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</si>
  <si>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</si>
  <si>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</si>
  <si>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</si>
  <si>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</si>
  <si>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</si>
  <si>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</si>
  <si>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</si>
  <si>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</si>
  <si>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</si>
  <si>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</si>
  <si>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</si>
  <si>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</si>
  <si>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</si>
  <si>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</si>
  <si>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</si>
  <si>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</si>
  <si>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</si>
  <si>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</si>
  <si>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</si>
  <si>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</si>
  <si>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</si>
  <si>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</si>
  <si>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</si>
  <si>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</si>
  <si>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</si>
  <si>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</si>
  <si>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</si>
  <si>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</si>
  <si>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</si>
  <si>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</si>
  <si>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</si>
  <si>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</si>
  <si>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</si>
  <si>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</si>
  <si>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</si>
  <si>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</si>
  <si>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</si>
  <si>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</si>
  <si>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</si>
  <si>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</si>
  <si>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</si>
  <si>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</si>
  <si>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</si>
  <si>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</si>
  <si>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</si>
  <si>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</si>
  <si>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</si>
  <si>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</si>
  <si>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</si>
  <si>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</si>
  <si>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</si>
  <si>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</si>
  <si>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</si>
  <si>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</si>
  <si>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</si>
  <si>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</si>
  <si>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</si>
  <si>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</si>
  <si>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</si>
  <si>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</si>
  <si>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</si>
  <si>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</si>
  <si>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</si>
  <si>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</si>
  <si>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</si>
  <si>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</si>
  <si>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</si>
  <si>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</si>
  <si>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</si>
  <si>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</si>
  <si>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</si>
  <si>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</si>
  <si>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</si>
  <si>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</si>
  <si>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</si>
  <si>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</si>
  <si>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</si>
  <si>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</si>
  <si>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</si>
  <si>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</si>
  <si>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</si>
  <si>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</si>
  <si>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</si>
  <si>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</si>
  <si>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</si>
  <si>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</si>
  <si>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</si>
  <si>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</si>
  <si>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</si>
  <si>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</si>
  <si>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</si>
  <si>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</si>
  <si>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</si>
  <si>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</si>
  <si>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</si>
  <si>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</si>
  <si>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</si>
  <si>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</si>
  <si>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</si>
  <si>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</si>
  <si>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</si>
  <si>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</si>
  <si>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</si>
  <si>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</si>
  <si>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</si>
  <si>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</si>
  <si>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</si>
  <si>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</si>
  <si>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</si>
  <si>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</si>
  <si>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</si>
  <si>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</si>
  <si>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</si>
  <si>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</si>
  <si>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</si>
  <si>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</si>
  <si>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</si>
  <si>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</si>
  <si>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</si>
  <si>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</si>
  <si>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</si>
  <si>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</si>
  <si>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</si>
  <si>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</si>
  <si>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</si>
  <si>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</si>
  <si>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</si>
  <si>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</si>
  <si>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</si>
  <si>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</si>
  <si>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</si>
  <si>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</si>
  <si>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</si>
  <si>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</si>
  <si>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</si>
  <si>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</si>
  <si>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</si>
  <si>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</si>
  <si>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</si>
  <si>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</si>
  <si>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</si>
  <si>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</si>
  <si>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</si>
  <si>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</si>
  <si>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</si>
  <si>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</si>
  <si>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</si>
  <si>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</si>
  <si>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</si>
  <si>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</si>
  <si>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</si>
  <si>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</si>
  <si>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</si>
  <si>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</si>
  <si>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</si>
  <si>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</si>
  <si>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</si>
  <si>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</si>
  <si>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</si>
  <si>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</si>
  <si>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</si>
  <si>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</si>
  <si>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</si>
  <si>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</si>
  <si>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</si>
  <si>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</si>
  <si>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</si>
  <si>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</si>
  <si>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</si>
  <si>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</si>
  <si>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</si>
  <si>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</si>
  <si>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</si>
  <si>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</si>
  <si>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</si>
  <si>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</si>
  <si>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</si>
  <si>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</si>
  <si>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</si>
  <si>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</si>
  <si>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</si>
  <si>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</si>
  <si>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</si>
  <si>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</si>
  <si>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</si>
  <si>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</si>
  <si>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</si>
  <si>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</si>
  <si>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</si>
  <si>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</si>
  <si>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</si>
  <si>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</si>
  <si>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</si>
  <si>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</si>
  <si>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</si>
  <si>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</si>
  <si>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</si>
  <si>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</si>
  <si>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</si>
  <si>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</si>
  <si>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</si>
  <si>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</si>
  <si>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</si>
  <si>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</si>
  <si>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</si>
  <si>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</si>
  <si>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</si>
  <si>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</si>
  <si>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</si>
  <si>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</si>
  <si>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</si>
  <si>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</si>
  <si>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</si>
  <si>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</si>
  <si>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</si>
  <si>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</si>
  <si>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</si>
  <si>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</si>
  <si>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</si>
  <si>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</si>
  <si>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</si>
  <si>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</si>
  <si>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</si>
  <si>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</si>
  <si>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</si>
  <si>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</si>
  <si>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</si>
  <si>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</si>
  <si>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</si>
  <si>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</si>
  <si>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</si>
  <si>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</si>
  <si>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</si>
  <si>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</si>
  <si>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</si>
  <si>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</si>
  <si>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</si>
  <si>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</si>
  <si>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</si>
  <si>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</si>
  <si>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</si>
  <si>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</si>
  <si>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</si>
  <si>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</si>
  <si>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</si>
  <si>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</si>
  <si>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</si>
  <si>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</si>
  <si>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</si>
  <si>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</si>
  <si>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</si>
  <si>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</si>
  <si>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</si>
  <si>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</si>
  <si>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</si>
  <si>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</si>
  <si>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</si>
  <si>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</si>
  <si>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</si>
  <si>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</si>
  <si>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</si>
  <si>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</si>
  <si>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</si>
  <si>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</si>
  <si>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</si>
  <si>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</si>
  <si>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</si>
  <si>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</si>
  <si>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</si>
  <si>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</si>
  <si>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</si>
  <si>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</si>
  <si>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</si>
  <si>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</si>
  <si>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</si>
  <si>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</si>
  <si>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</si>
  <si>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</si>
  <si>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</si>
  <si>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</si>
  <si>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</si>
  <si>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</si>
  <si>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</si>
  <si>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</si>
  <si>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</si>
  <si>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</si>
  <si>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</si>
  <si>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</si>
  <si>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</si>
  <si>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</si>
  <si>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</si>
  <si>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</si>
  <si>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</si>
  <si>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</si>
  <si>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</si>
  <si>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</si>
  <si>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</si>
  <si>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</si>
  <si>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</si>
  <si>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</si>
  <si>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</si>
  <si>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</si>
  <si>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</si>
  <si>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</si>
  <si>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</si>
  <si>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</si>
  <si>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</si>
  <si>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</si>
  <si>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</si>
  <si>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</si>
  <si>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</si>
  <si>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</si>
  <si>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</si>
  <si>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</si>
  <si>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</si>
  <si>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</si>
  <si>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</si>
  <si>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</si>
  <si>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</si>
  <si>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</si>
  <si>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</si>
  <si>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</si>
  <si>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</si>
  <si>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</si>
  <si>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</si>
  <si>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</si>
  <si>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</si>
  <si>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</si>
  <si>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</si>
  <si>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</si>
  <si>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</si>
  <si>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</si>
  <si>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</si>
  <si>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</si>
  <si>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</si>
  <si>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</si>
  <si>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</si>
  <si>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</si>
  <si>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</si>
  <si>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</si>
  <si>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</si>
  <si>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</si>
  <si>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</si>
  <si>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</si>
  <si>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</si>
  <si>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</si>
  <si>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</si>
  <si>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</si>
  <si>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</si>
  <si>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</si>
  <si>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</si>
  <si>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</si>
  <si>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</si>
  <si>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</si>
  <si>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</si>
  <si>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</si>
  <si>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</si>
  <si>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</si>
  <si>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</si>
  <si>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</si>
  <si>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</si>
  <si>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</si>
  <si>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</si>
  <si>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</si>
  <si>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</si>
  <si>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</si>
  <si>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</si>
  <si>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</si>
  <si>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</si>
  <si>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</si>
  <si>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</si>
  <si>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</si>
  <si>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</si>
  <si>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</si>
  <si>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</si>
  <si>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</si>
  <si>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</si>
  <si>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</si>
  <si>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</si>
  <si>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</si>
  <si>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</si>
  <si>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</si>
  <si>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</si>
  <si>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</si>
  <si>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</si>
  <si>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</si>
  <si>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</si>
  <si>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</si>
  <si>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</si>
  <si>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</si>
  <si>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</si>
  <si>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</si>
  <si>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</si>
  <si>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</si>
  <si>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</si>
  <si>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</si>
  <si>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</si>
  <si>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</si>
  <si>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</si>
  <si>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</si>
  <si>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</si>
  <si>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</si>
  <si>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</si>
  <si>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</si>
  <si>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</si>
  <si>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</si>
  <si>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</si>
  <si>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</si>
  <si>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</si>
  <si>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</si>
  <si>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</si>
  <si>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</si>
  <si>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</si>
  <si>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</si>
  <si>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</si>
  <si>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</si>
  <si>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</si>
  <si>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</si>
  <si>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</si>
  <si>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</si>
  <si>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</si>
  <si>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</si>
  <si>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</si>
  <si>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</si>
  <si>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</si>
  <si>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</si>
  <si>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</si>
  <si>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</si>
  <si>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</si>
  <si>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</si>
  <si>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</si>
  <si>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</si>
  <si>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</si>
  <si>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</si>
  <si>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</si>
  <si>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</si>
  <si>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</si>
  <si>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</si>
  <si>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</si>
  <si>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</si>
  <si>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</si>
  <si>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</si>
  <si>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</si>
  <si>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</si>
  <si>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</si>
  <si>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</si>
  <si>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</si>
  <si>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</si>
  <si>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</si>
  <si>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</si>
  <si>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</si>
  <si>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</si>
  <si>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</si>
  <si>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</si>
  <si>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</si>
  <si>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</si>
  <si>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</si>
  <si>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</si>
  <si>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</si>
  <si>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</si>
  <si>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</si>
  <si>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</si>
  <si>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</si>
  <si>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</si>
  <si>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</si>
  <si>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</si>
  <si>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</si>
  <si>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</si>
  <si>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</si>
  <si>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</si>
  <si>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</si>
  <si>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</si>
  <si>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</si>
  <si>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</si>
  <si>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</si>
  <si>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</si>
  <si>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</si>
  <si>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</si>
  <si>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</si>
  <si>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</si>
  <si>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</si>
  <si>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</si>
  <si>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</si>
  <si>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</si>
  <si>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</si>
  <si>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</si>
  <si>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</si>
  <si>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</si>
  <si>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</si>
  <si>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</si>
  <si>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</si>
  <si>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</si>
  <si>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</si>
  <si>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</si>
  <si>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</si>
  <si>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</si>
  <si>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</si>
  <si>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</si>
  <si>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</si>
  <si>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</si>
  <si>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</si>
  <si>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</si>
  <si>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</si>
  <si>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</si>
  <si>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</si>
  <si>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</si>
  <si>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</si>
  <si>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</si>
  <si>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</si>
  <si>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</si>
  <si>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</si>
  <si>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</si>
  <si>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</si>
  <si>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</si>
  <si>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</si>
  <si>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</si>
  <si>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</si>
  <si>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</si>
  <si>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</si>
  <si>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</si>
  <si>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</si>
  <si>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</si>
  <si>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</si>
  <si>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</si>
  <si>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</si>
  <si>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</si>
  <si>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</si>
  <si>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</si>
  <si>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</si>
  <si>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</si>
  <si>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</si>
  <si>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</si>
  <si>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</si>
  <si>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</si>
  <si>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</si>
  <si>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</si>
  <si>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</si>
  <si>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</si>
  <si>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</si>
  <si>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</si>
  <si>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</si>
  <si>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</si>
  <si>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</si>
  <si>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</si>
  <si>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</si>
  <si>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</si>
  <si>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</si>
  <si>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</si>
  <si>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</si>
  <si>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</si>
  <si>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</si>
  <si>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</si>
  <si>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</si>
  <si>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</si>
  <si>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</si>
  <si>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</si>
  <si>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</si>
  <si>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</si>
  <si>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</si>
  <si>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</si>
  <si>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</si>
  <si>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</si>
  <si>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</si>
  <si>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</si>
  <si>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</si>
  <si>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</si>
  <si>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</si>
  <si>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</si>
  <si>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</si>
  <si>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</si>
  <si>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</si>
  <si>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</si>
  <si>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</si>
  <si>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</si>
  <si>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</si>
  <si>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</si>
  <si>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</si>
  <si>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</si>
  <si>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</si>
  <si>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</si>
  <si>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</si>
  <si>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</si>
  <si>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</si>
  <si>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</si>
  <si>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</si>
  <si>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</si>
  <si>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</si>
  <si>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</si>
  <si>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</si>
  <si>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</si>
  <si>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</si>
  <si>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</si>
  <si>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</si>
  <si>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</si>
  <si>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</si>
  <si>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</si>
  <si>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</si>
  <si>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</si>
  <si>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</si>
  <si>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</si>
  <si>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</si>
  <si>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</si>
  <si>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</si>
  <si>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</si>
  <si>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</si>
  <si>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</si>
  <si>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</si>
  <si>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</si>
  <si>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</si>
  <si>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</si>
  <si>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</si>
  <si>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</si>
  <si>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</si>
  <si>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</si>
  <si>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</si>
  <si>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</si>
  <si>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</si>
  <si>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</si>
  <si>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</si>
  <si>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</si>
  <si>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</si>
  <si>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</si>
  <si>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</si>
  <si>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</si>
  <si>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</si>
  <si>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</si>
  <si>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</si>
  <si>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</si>
  <si>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</si>
  <si>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</si>
  <si>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</si>
  <si>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</si>
  <si>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</si>
  <si>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</si>
  <si>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</si>
  <si>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</si>
  <si>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</si>
  <si>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</si>
  <si>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</si>
  <si>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</si>
  <si>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</si>
  <si>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</si>
  <si>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</si>
  <si>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</si>
  <si>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</si>
  <si>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</si>
  <si>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</si>
  <si>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</si>
  <si>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</si>
  <si>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</si>
  <si>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</si>
  <si>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</si>
  <si>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</si>
  <si>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</si>
  <si>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</si>
  <si>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</si>
  <si>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</si>
  <si>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</si>
  <si>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</si>
  <si>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</si>
  <si>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</si>
  <si>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</si>
  <si>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</si>
  <si>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</si>
  <si>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</si>
  <si>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</si>
  <si>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</si>
  <si>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</si>
  <si>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</si>
  <si>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</si>
  <si>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</si>
  <si>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</si>
  <si>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</si>
  <si>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</si>
  <si>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</si>
  <si>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</si>
  <si>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</si>
  <si>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</si>
  <si>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</si>
  <si>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</si>
  <si>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</si>
  <si>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</si>
  <si>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</si>
  <si>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</si>
  <si>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</si>
  <si>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</si>
  <si>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</si>
  <si>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</si>
  <si>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</si>
  <si>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</si>
  <si>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</si>
  <si>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</si>
  <si>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</si>
  <si>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</si>
  <si>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</si>
  <si>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</si>
  <si>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</si>
  <si>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</si>
  <si>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</si>
  <si>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</si>
  <si>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</si>
  <si>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</si>
  <si>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</si>
  <si>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</si>
  <si>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</si>
  <si>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</si>
  <si>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</si>
  <si>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</si>
  <si>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</si>
  <si>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</si>
  <si>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</si>
  <si>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</si>
  <si>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</si>
  <si>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</si>
  <si>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</si>
  <si>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</si>
  <si>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</si>
  <si>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</si>
  <si>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</si>
  <si>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</si>
  <si>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</si>
  <si>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</si>
  <si>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</si>
  <si>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</si>
  <si>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</si>
  <si>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</si>
  <si>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</si>
  <si>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</si>
  <si>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</si>
  <si>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</si>
  <si>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</si>
  <si>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</si>
  <si>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</si>
  <si>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</si>
  <si>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</si>
  <si>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</si>
  <si>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</si>
  <si>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</si>
  <si>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</si>
  <si>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</si>
  <si>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</si>
  <si>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</si>
  <si>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</si>
  <si>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</si>
  <si>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</si>
  <si>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</si>
  <si>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</si>
  <si>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</si>
  <si>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</si>
  <si>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</si>
  <si>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</si>
  <si>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</si>
  <si>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</si>
  <si>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</si>
  <si>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</si>
  <si>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</si>
  <si>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</si>
  <si>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</si>
  <si>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</si>
  <si>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</si>
  <si>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</si>
  <si>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</si>
  <si>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</si>
  <si>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</si>
  <si>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</si>
  <si>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</si>
  <si>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</si>
  <si>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</si>
  <si>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</si>
  <si>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</si>
  <si>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</si>
  <si>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</si>
  <si>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</si>
  <si>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</si>
  <si>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</si>
  <si>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</si>
  <si>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</si>
  <si>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</si>
  <si>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</si>
  <si>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</si>
  <si>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</si>
  <si>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</si>
  <si>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</si>
  <si>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</si>
  <si>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</si>
  <si>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</si>
  <si>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</si>
  <si>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</si>
  <si>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</si>
  <si>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</si>
  <si>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</si>
  <si>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</si>
  <si>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</si>
  <si>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</si>
  <si>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</si>
  <si>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</si>
  <si>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</si>
  <si>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</si>
  <si>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</si>
  <si>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</si>
  <si>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</si>
  <si>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</si>
  <si>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</si>
  <si>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</si>
  <si>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</si>
  <si>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</si>
  <si>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</si>
  <si>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</si>
  <si>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</si>
  <si>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</si>
  <si>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</si>
  <si>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</si>
  <si>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</si>
  <si>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</si>
  <si>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</si>
  <si>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</si>
  <si>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</si>
  <si>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</si>
  <si>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</si>
  <si>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</si>
  <si>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</si>
  <si>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</si>
  <si>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</si>
  <si>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</si>
  <si>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</si>
  <si>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</si>
  <si>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</si>
  <si>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</si>
  <si>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</si>
  <si>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</si>
  <si>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</si>
  <si>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</si>
  <si>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</si>
  <si>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</si>
  <si>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</si>
  <si>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</si>
  <si>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</si>
  <si>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</si>
  <si>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</si>
  <si>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</si>
  <si>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</si>
  <si>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</si>
  <si>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</si>
  <si>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</si>
  <si>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</si>
  <si>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</si>
  <si>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</si>
  <si>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</si>
  <si>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</si>
  <si>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</si>
  <si>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</si>
  <si>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</si>
  <si>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</si>
  <si>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</si>
  <si>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</si>
  <si>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</si>
  <si>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</si>
  <si>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</si>
  <si>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</si>
  <si>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</si>
  <si>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</si>
  <si>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</si>
  <si>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</si>
  <si>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</si>
  <si>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</si>
  <si>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</si>
  <si>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</si>
  <si>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</si>
  <si>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</si>
  <si>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</si>
  <si>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</si>
  <si>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</si>
  <si>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</si>
  <si>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</si>
  <si>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</si>
  <si>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</si>
  <si>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</si>
  <si>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</si>
  <si>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</si>
  <si>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</si>
  <si>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</si>
  <si>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</si>
  <si>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</si>
  <si>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</si>
  <si>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</si>
  <si>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</si>
  <si>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</si>
  <si>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</si>
  <si>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</si>
  <si>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</si>
  <si>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</si>
  <si>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</si>
  <si>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</si>
  <si>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</si>
  <si>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</si>
  <si>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</si>
  <si>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</si>
  <si>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</si>
  <si>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</si>
  <si>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</si>
  <si>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</si>
  <si>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</si>
  <si>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</si>
  <si>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</si>
  <si>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</si>
  <si>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</si>
  <si>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</si>
  <si>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</si>
  <si>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</si>
  <si>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</si>
  <si>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</si>
  <si>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</si>
  <si>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</si>
  <si>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</si>
  <si>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</si>
  <si>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</si>
  <si>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</si>
  <si>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</si>
  <si>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</si>
  <si>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</si>
  <si>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</si>
  <si>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</si>
  <si>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</si>
  <si>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</si>
  <si>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</si>
  <si>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</si>
  <si>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</si>
  <si>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</si>
  <si>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</si>
  <si>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</si>
  <si>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</si>
  <si>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</si>
  <si>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</si>
  <si>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</si>
  <si>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</si>
  <si>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</si>
  <si>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</si>
  <si>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</si>
  <si>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</si>
  <si>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</si>
  <si>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</si>
  <si>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</si>
  <si>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</si>
  <si>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</si>
  <si>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</si>
  <si>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</si>
  <si>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</si>
  <si>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</si>
  <si>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</si>
  <si>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</si>
  <si>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</si>
  <si>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</si>
  <si>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</si>
  <si>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</si>
  <si>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</si>
  <si>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</si>
  <si>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</si>
  <si>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</si>
  <si>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</si>
  <si>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</si>
  <si>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</si>
  <si>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</si>
  <si>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</si>
  <si>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</si>
  <si>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</si>
  <si>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</si>
  <si>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</si>
  <si>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</si>
  <si>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</si>
  <si>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</si>
  <si>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</si>
  <si>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</si>
  <si>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</si>
  <si>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</si>
  <si>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</si>
  <si>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</si>
  <si>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</si>
  <si>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</si>
  <si>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</si>
  <si>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</si>
  <si>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</si>
  <si>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</si>
  <si>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</si>
  <si>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</si>
  <si>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</si>
  <si>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</si>
  <si>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</si>
  <si>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</si>
  <si>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</si>
  <si>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</si>
  <si>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</si>
  <si>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</si>
  <si>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</si>
  <si>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</si>
  <si>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</si>
  <si>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</si>
  <si>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</si>
  <si>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</si>
  <si>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</si>
  <si>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</si>
  <si>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</si>
  <si>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</si>
  <si>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</si>
  <si>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</si>
  <si>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</si>
  <si>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</si>
  <si>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</si>
  <si>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</si>
  <si>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</si>
  <si>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</si>
  <si>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</si>
  <si>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</si>
  <si>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</si>
  <si>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</si>
  <si>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</si>
  <si>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</si>
  <si>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</si>
  <si>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</si>
  <si>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</si>
  <si>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</si>
  <si>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</si>
  <si>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</si>
  <si>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</si>
  <si>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</si>
  <si>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</si>
  <si>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</si>
  <si>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</si>
  <si>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</si>
  <si>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</si>
  <si>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</si>
  <si>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</si>
  <si>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</si>
  <si>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</si>
  <si>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</si>
  <si>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</si>
  <si>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</si>
  <si>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</si>
  <si>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</si>
  <si>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</si>
  <si>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</si>
  <si>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</si>
  <si>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</si>
  <si>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</si>
  <si>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</si>
  <si>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</si>
  <si>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</si>
  <si>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</si>
  <si>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</si>
  <si>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</si>
  <si>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</si>
  <si>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</si>
  <si>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</si>
  <si>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</si>
  <si>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</si>
  <si>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</si>
  <si>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</si>
  <si>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</si>
  <si>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</si>
  <si>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</si>
  <si>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</si>
  <si>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</si>
  <si>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</si>
  <si>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</si>
  <si>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</si>
  <si>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</si>
  <si>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</si>
  <si>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</si>
  <si>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</si>
  <si>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</si>
  <si>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</si>
  <si>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</si>
  <si>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</si>
  <si>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</si>
  <si>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</si>
  <si>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</si>
  <si>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</si>
  <si>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</si>
  <si>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</si>
  <si>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</si>
  <si>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</si>
  <si>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</si>
  <si>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</si>
  <si>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</si>
  <si>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</si>
  <si>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</si>
  <si>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</si>
  <si>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</si>
  <si>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</si>
  <si>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</si>
  <si>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</si>
  <si>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</si>
  <si>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</si>
  <si>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</si>
  <si>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</si>
  <si>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</si>
  <si>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</si>
  <si>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</si>
  <si>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</si>
  <si>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</si>
  <si>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</si>
  <si>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</si>
  <si>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</si>
  <si>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</si>
  <si>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</si>
  <si>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</si>
  <si>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</si>
  <si>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</si>
  <si>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</si>
  <si>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</si>
  <si>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</si>
  <si>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</si>
  <si>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</si>
  <si>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</si>
  <si>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</si>
  <si>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</si>
  <si>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</si>
  <si>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</si>
  <si>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</si>
  <si>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</si>
  <si>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</si>
  <si>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</si>
  <si>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</si>
  <si>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</si>
  <si>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</si>
  <si>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</si>
  <si>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</si>
  <si>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</si>
  <si>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</si>
  <si>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</si>
  <si>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</si>
  <si>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</si>
  <si>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</si>
  <si>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</si>
  <si>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</si>
  <si>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</si>
  <si>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</si>
  <si>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</si>
  <si>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</si>
  <si>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</si>
  <si>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</si>
  <si>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</si>
  <si>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</si>
  <si>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</si>
  <si>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</si>
  <si>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</si>
  <si>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</si>
  <si>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</si>
  <si>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</si>
  <si>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</si>
  <si>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</si>
  <si>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</si>
  <si>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</si>
  <si>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</si>
  <si>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</si>
  <si>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</si>
  <si>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</si>
  <si>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</si>
  <si>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</si>
  <si>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</si>
  <si>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</si>
  <si>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</si>
  <si>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</si>
  <si>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</si>
  <si>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</si>
  <si>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</si>
  <si>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</si>
  <si>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</si>
  <si>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</si>
  <si>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</si>
  <si>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</si>
  <si>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</si>
  <si>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</si>
  <si>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</si>
  <si>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</si>
  <si>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</si>
  <si>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</si>
  <si>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</si>
  <si>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</si>
  <si>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</si>
  <si>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</si>
  <si>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</si>
  <si>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</si>
  <si>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</si>
  <si>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</si>
  <si>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</si>
  <si>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</si>
  <si>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</si>
  <si>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</si>
  <si>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</si>
  <si>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</si>
  <si>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</si>
  <si>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</si>
  <si>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</si>
  <si>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</si>
  <si>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</si>
  <si>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</si>
  <si>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</si>
  <si>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</si>
  <si>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</si>
  <si>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</si>
  <si>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</si>
  <si>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</si>
  <si>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</si>
  <si>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</si>
  <si>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</si>
  <si>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</si>
  <si>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</si>
  <si>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</si>
  <si>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</si>
  <si>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</si>
  <si>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</si>
  <si>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</si>
  <si>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</si>
  <si>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</si>
  <si>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</si>
  <si>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</si>
  <si>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</si>
  <si>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</si>
  <si>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</si>
  <si>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</si>
  <si>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</si>
  <si>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</si>
  <si>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</si>
  <si>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</si>
  <si>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</si>
  <si>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</si>
  <si>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</si>
  <si>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</si>
  <si>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</si>
  <si>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</si>
  <si>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</si>
  <si>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</si>
  <si>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</si>
  <si>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</si>
  <si>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</si>
  <si>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</si>
  <si>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</si>
  <si>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</si>
  <si>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</si>
  <si>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</si>
  <si>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</si>
  <si>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</si>
  <si>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</si>
  <si>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</si>
  <si>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</si>
  <si>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</si>
  <si>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</si>
  <si>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</si>
  <si>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</si>
  <si>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</si>
  <si>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</si>
  <si>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</si>
  <si>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</si>
  <si>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</si>
  <si>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</si>
  <si>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</si>
  <si>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</si>
  <si>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</si>
  <si>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</si>
  <si>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</si>
  <si>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</si>
  <si>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</si>
  <si>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</si>
  <si>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</si>
  <si>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</si>
  <si>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</si>
  <si>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</si>
  <si>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</si>
  <si>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</si>
  <si>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</si>
  <si>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</si>
  <si>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</si>
  <si>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</si>
  <si>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</si>
  <si>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</si>
  <si>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</si>
  <si>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</si>
  <si>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</si>
  <si>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</si>
  <si>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</si>
  <si>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</si>
  <si>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</si>
  <si>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</si>
  <si>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</si>
  <si>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</si>
  <si>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</si>
  <si>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</si>
  <si>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</si>
  <si>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</si>
  <si>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</si>
  <si>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</si>
  <si>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</si>
  <si>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</si>
  <si>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</si>
  <si>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</si>
  <si>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</si>
  <si>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</si>
  <si>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</si>
  <si>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</si>
  <si>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</si>
  <si>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</si>
  <si>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</si>
  <si>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</si>
  <si>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</si>
  <si>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</si>
  <si>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</si>
  <si>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</si>
  <si>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</si>
  <si>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</si>
  <si>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</si>
  <si>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</si>
  <si>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</si>
  <si>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</si>
  <si>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</si>
  <si>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</si>
  <si>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</si>
  <si>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</si>
  <si>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</si>
  <si>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</si>
  <si>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</si>
  <si>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</si>
  <si>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</si>
  <si>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</si>
  <si>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</si>
  <si>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</si>
  <si>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</si>
  <si>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</si>
  <si>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</si>
  <si>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</si>
  <si>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</si>
  <si>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</si>
  <si>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</si>
  <si>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</si>
  <si>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</si>
  <si>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</si>
  <si>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</si>
  <si>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</si>
  <si>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</si>
  <si>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</si>
  <si>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</si>
  <si>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</si>
  <si>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</si>
  <si>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</si>
  <si>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</si>
  <si>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</si>
  <si>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</si>
  <si>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</si>
  <si>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</si>
  <si>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</si>
  <si>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</si>
  <si>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</si>
  <si>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</si>
  <si>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</si>
  <si>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</si>
  <si>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</si>
  <si>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</si>
  <si>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</si>
  <si>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</si>
  <si>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</si>
  <si>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</si>
  <si>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</si>
  <si>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</si>
  <si>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</si>
  <si>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</si>
  <si>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</si>
  <si>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</si>
  <si>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</si>
  <si>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</si>
  <si>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</si>
  <si>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</si>
  <si>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</si>
  <si>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</si>
  <si>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</si>
  <si>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</si>
  <si>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</si>
  <si>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</si>
  <si>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</si>
  <si>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</si>
  <si>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</si>
  <si>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</si>
  <si>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</si>
  <si>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</si>
  <si>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</si>
  <si>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</si>
  <si>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</si>
  <si>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</si>
  <si>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</si>
  <si>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</si>
  <si>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</si>
  <si>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</si>
  <si>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</si>
  <si>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</si>
  <si>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</si>
  <si>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</si>
  <si>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</si>
  <si>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</si>
  <si>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</si>
  <si>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</si>
  <si>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</si>
  <si>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</si>
  <si>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</si>
  <si>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</si>
  <si>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</si>
  <si>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</si>
  <si>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</si>
  <si>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</si>
  <si>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</si>
  <si>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</si>
  <si>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</si>
  <si>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</si>
  <si>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</si>
  <si>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</si>
  <si>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</si>
  <si>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</si>
  <si>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</si>
  <si>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</si>
  <si>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</si>
  <si>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</si>
  <si>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</si>
  <si>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</si>
  <si>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</si>
  <si>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</si>
  <si>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</si>
  <si>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</si>
  <si>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</si>
  <si>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</si>
  <si>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</si>
  <si>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</si>
  <si>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</si>
  <si>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</si>
  <si>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</si>
  <si>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</si>
  <si>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</si>
  <si>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</si>
  <si>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</si>
  <si>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</si>
  <si>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</si>
  <si>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</si>
  <si>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</si>
  <si>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</si>
  <si>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</si>
  <si>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</si>
  <si>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</si>
  <si>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</si>
  <si>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</si>
  <si>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</si>
  <si>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</si>
  <si>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</si>
  <si>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</si>
  <si>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</si>
  <si>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</si>
  <si>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</si>
  <si>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</si>
  <si>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</si>
  <si>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</si>
  <si>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</si>
  <si>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</si>
  <si>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</si>
  <si>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</si>
  <si>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</si>
  <si>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</si>
  <si>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</si>
  <si>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</si>
  <si>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</si>
  <si>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</si>
  <si>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</si>
  <si>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</si>
  <si>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</si>
  <si>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</si>
  <si>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</si>
  <si>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</si>
  <si>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</si>
  <si>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</si>
  <si>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</si>
  <si>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</si>
  <si>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</si>
  <si>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</si>
  <si>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</si>
  <si>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</si>
  <si>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</si>
  <si>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</si>
  <si>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</si>
  <si>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</si>
  <si>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</si>
  <si>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</si>
  <si>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</si>
  <si>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</si>
  <si>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</si>
  <si>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</si>
  <si>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</si>
  <si>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</si>
  <si>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</si>
  <si>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</si>
  <si>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</si>
  <si>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</si>
  <si>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</si>
  <si>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</si>
  <si>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</si>
  <si>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</si>
  <si>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</si>
  <si>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</si>
  <si>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</si>
  <si>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</si>
  <si>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</si>
  <si>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</si>
  <si>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</si>
  <si>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</si>
  <si>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</si>
  <si>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</si>
  <si>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</si>
  <si>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</si>
  <si>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</si>
  <si>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</si>
  <si>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</si>
  <si>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</si>
  <si>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</si>
  <si>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</si>
  <si>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</si>
  <si>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</si>
  <si>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</si>
  <si>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</si>
  <si>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</si>
  <si>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</si>
  <si>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</si>
  <si>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</si>
  <si>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</si>
  <si>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</si>
  <si>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</si>
  <si>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</si>
  <si>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</si>
  <si>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</si>
  <si>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</si>
  <si>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</si>
  <si>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</si>
  <si>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</si>
  <si>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</si>
  <si>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</si>
  <si>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</si>
  <si>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</si>
  <si>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</si>
  <si>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</si>
  <si>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</si>
  <si>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</si>
  <si>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</si>
  <si>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</si>
  <si>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</si>
  <si>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</si>
  <si>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</si>
  <si>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</si>
  <si>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</si>
  <si>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</si>
  <si>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</si>
  <si>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</si>
  <si>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</si>
  <si>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</si>
  <si>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</si>
  <si>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</si>
  <si>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</si>
  <si>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</si>
  <si>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</si>
  <si>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</si>
  <si>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</si>
  <si>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</si>
  <si>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</si>
  <si>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</si>
  <si>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</si>
  <si>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</si>
  <si>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</si>
  <si>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</si>
  <si>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</si>
  <si>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</si>
  <si>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REGIMEN SIMPLIFICADO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</si>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</sst>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</cellXfs>
  <cellStyles count="2">
    <cellStyle name="Moneda [0]" xfId="1" builtinId="7"/>
    <cellStyle name="Normal" xfId="0" builtinId="0"/>
  </cellStyles>
  <dxfs count="53"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2"/>
      <tableStyleElement type="headerRow" dxfId="5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0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49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7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5" tableBorderDxfId="44">
  <autoFilter ref="A1:G61"/>
  <tableColumns count="7">
    <tableColumn id="1" name="id" dataDxfId="43"/>
    <tableColumn id="2" name="id_proveedor" dataDxfId="42"/>
    <tableColumn id="3" name="telefono" dataDxfId="41"/>
    <tableColumn id="4" name="direccion" dataDxfId="40"/>
    <tableColumn id="7" name="correo" dataDxfId="39"/>
    <tableColumn id="5" name="barrio" dataDxfId="38"/>
    <tableColumn id="6" name="ciudad" dataDxfId="37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3" totalsRowShown="0" dataDxfId="36">
  <autoFilter ref="A1:Q3243"/>
  <sortState ref="A2:Q3243">
    <sortCondition ref="C2:C3243"/>
    <sortCondition ref="D2:D3243"/>
  </sortState>
  <tableColumns count="17">
    <tableColumn id="1" name="id" dataDxfId="35"/>
    <tableColumn id="2" name="id_proveedor" dataDxfId="34"/>
    <tableColumn id="4" name="producto" dataDxfId="33"/>
    <tableColumn id="5" name="color" dataDxfId="32"/>
    <tableColumn id="6" name="medida" dataDxfId="31"/>
    <tableColumn id="7" name="cantidad" dataDxfId="30"/>
    <tableColumn id="8" name="presentacion" dataDxfId="29"/>
    <tableColumn id="9" name="costo" dataDxfId="28"/>
    <tableColumn id="10" name="utilidad" dataDxfId="27"/>
    <tableColumn id="11" name="venta" dataDxfId="26"/>
    <tableColumn id="12" name="iva" dataDxfId="25"/>
    <tableColumn id="13" name="venta_iva" dataDxfId="24"/>
    <tableColumn id="14" name="categoria" dataDxfId="23"/>
    <tableColumn id="15" name="disponible" dataDxfId="22"/>
    <tableColumn id="16" name="stock" dataDxfId="21"/>
    <tableColumn id="17" name="pedir" dataDxfId="20"/>
    <tableColumn id="3" name="prov" dataDxfId="19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18">
  <autoFilter ref="A1:Q3243"/>
  <tableColumns count="17">
    <tableColumn id="1" name="id" dataDxfId="17"/>
    <tableColumn id="2" name="id_proveedor" dataDxfId="16"/>
    <tableColumn id="4" name="producto" dataDxfId="15"/>
    <tableColumn id="5" name="color" dataDxfId="14"/>
    <tableColumn id="6" name="medida" dataDxfId="13"/>
    <tableColumn id="7" name="cantidad" dataDxfId="12"/>
    <tableColumn id="8" name="presentacion" dataDxfId="11"/>
    <tableColumn id="9" name="costo" dataDxfId="10"/>
    <tableColumn id="10" name="utilidad" dataDxfId="9"/>
    <tableColumn id="11" name="venta" dataDxfId="8">
      <calculatedColumnFormula>ROUNDUP(H2*(1+I2),0)</calculatedColumnFormula>
    </tableColumn>
    <tableColumn id="12" name="iva" dataDxfId="7"/>
    <tableColumn id="13" name="venta_iva" dataDxfId="6">
      <calculatedColumnFormula>ROUNDUP(J2*(1+K2),0)</calculatedColumnFormula>
    </tableColumn>
    <tableColumn id="14" name="categoria" dataDxfId="5"/>
    <tableColumn id="15" name="disponible" dataDxfId="4"/>
    <tableColumn id="16" name="stock" dataDxfId="3"/>
    <tableColumn id="17" name="pedir" dataDxfId="2"/>
    <tableColumn id="3" name="prov" dataDxfId="1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36"/>
  <sheetViews>
    <sheetView workbookViewId="0">
      <selection activeCell="K31" sqref="K31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</cols>
  <sheetData>
    <row r="6" spans="2:8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8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8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8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8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8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8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8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8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8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8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zoomScale="75" zoomScaleNormal="75" workbookViewId="0">
      <pane ySplit="1" topLeftCell="A2" activePane="bottomLeft" state="frozen"/>
      <selection pane="bottomLeft" activeCell="D19" sqref="D19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2989</v>
      </c>
      <c r="C2" t="s">
        <v>2988</v>
      </c>
      <c r="D2" t="s">
        <v>2990</v>
      </c>
      <c r="E2" t="s">
        <v>2988</v>
      </c>
      <c r="F2" t="s">
        <v>2988</v>
      </c>
      <c r="G2" t="s">
        <v>2988</v>
      </c>
      <c r="H2" t="s">
        <v>2988</v>
      </c>
      <c r="I2" t="s">
        <v>2988</v>
      </c>
      <c r="J2" t="s">
        <v>2988</v>
      </c>
      <c r="K2" t="s">
        <v>2988</v>
      </c>
      <c r="L2">
        <v>3</v>
      </c>
      <c r="M2">
        <v>3</v>
      </c>
      <c r="N2">
        <v>3</v>
      </c>
      <c r="O2" t="s">
        <v>2991</v>
      </c>
      <c r="P2" t="s">
        <v>2992</v>
      </c>
    </row>
    <row r="3" spans="1:16" x14ac:dyDescent="0.25">
      <c r="A3">
        <v>50</v>
      </c>
      <c r="B3" t="s">
        <v>2993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B4" t="s">
        <v>2993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B5" t="s">
        <v>2989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B6" t="s">
        <v>3006</v>
      </c>
      <c r="C6" t="s">
        <v>3007</v>
      </c>
      <c r="D6" t="s">
        <v>3008</v>
      </c>
      <c r="E6" t="s">
        <v>3007</v>
      </c>
      <c r="F6" t="s">
        <v>3007</v>
      </c>
      <c r="G6" t="s">
        <v>3007</v>
      </c>
      <c r="H6" t="s">
        <v>3007</v>
      </c>
      <c r="I6" t="s">
        <v>3007</v>
      </c>
      <c r="J6" t="s">
        <v>3007</v>
      </c>
      <c r="K6" t="s">
        <v>3007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B7" t="s">
        <v>2993</v>
      </c>
      <c r="C7" t="s">
        <v>3003</v>
      </c>
      <c r="D7" t="s">
        <v>3009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B8" t="s">
        <v>2993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B9" t="s">
        <v>2989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0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3007</v>
      </c>
      <c r="D5" t="s">
        <v>3007</v>
      </c>
      <c r="E5" t="s">
        <v>3007</v>
      </c>
      <c r="F5" t="s">
        <v>3007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44" sqref="D44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B2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2" width="20" bestFit="1" customWidth="1"/>
  </cols>
  <sheetData>
    <row r="1" spans="1:2" x14ac:dyDescent="0.25">
      <c r="A1" t="s">
        <v>2985</v>
      </c>
      <c r="B1" t="s">
        <v>3010</v>
      </c>
    </row>
    <row r="2" spans="1:2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31" activePane="bottomLeft" state="frozen"/>
      <selection pane="bottomLeft" activeCell="K72" sqref="K72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3011</v>
      </c>
      <c r="C60" t="s">
        <v>2993</v>
      </c>
      <c r="D60" t="s">
        <v>3012</v>
      </c>
      <c r="E60" t="s">
        <v>3013</v>
      </c>
      <c r="F60" t="s">
        <v>3014</v>
      </c>
      <c r="G60" s="24" t="s">
        <v>4</v>
      </c>
    </row>
    <row r="61" spans="1:7" x14ac:dyDescent="0.25">
      <c r="A61">
        <v>60</v>
      </c>
      <c r="B61" t="s">
        <v>3015</v>
      </c>
      <c r="C61" t="s">
        <v>2993</v>
      </c>
      <c r="D61" t="s">
        <v>3007</v>
      </c>
      <c r="E61" t="s">
        <v>3007</v>
      </c>
      <c r="F61" t="s">
        <v>3007</v>
      </c>
      <c r="G61" s="24" t="s">
        <v>747</v>
      </c>
    </row>
    <row r="62" spans="1:7" x14ac:dyDescent="0.25">
      <c r="A62">
        <v>61</v>
      </c>
      <c r="B62" t="s">
        <v>3016</v>
      </c>
      <c r="C62" t="s">
        <v>2989</v>
      </c>
      <c r="D62" t="s">
        <v>3017</v>
      </c>
      <c r="E62" t="s">
        <v>3017</v>
      </c>
      <c r="F62" t="s">
        <v>3017</v>
      </c>
      <c r="G62" s="24" t="s">
        <v>4</v>
      </c>
    </row>
  </sheetData>
  <conditionalFormatting sqref="A2:A62">
    <cfRule type="duplicateValues" dxfId="48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0" activePane="bottomLeft" state="frozen"/>
      <selection pane="bottomLeft" activeCell="B60" sqref="B60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3007</v>
      </c>
      <c r="D60" s="25" t="s">
        <v>3007</v>
      </c>
      <c r="E60" s="27" t="s">
        <v>3007</v>
      </c>
      <c r="F60" s="25" t="s">
        <v>3007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3017</v>
      </c>
      <c r="D61" s="26" t="s">
        <v>3017</v>
      </c>
      <c r="E61" s="27" t="s">
        <v>3017</v>
      </c>
      <c r="F61" s="26" t="s">
        <v>3017</v>
      </c>
      <c r="G61" s="26" t="s">
        <v>2469</v>
      </c>
    </row>
  </sheetData>
  <conditionalFormatting sqref="B2:B61">
    <cfRule type="duplicateValues" dxfId="46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3"/>
  <sheetViews>
    <sheetView showGridLines="0" zoomScale="75" zoomScaleNormal="75" workbookViewId="0">
      <pane ySplit="1" topLeftCell="A11" activePane="bottomLeft" state="frozen"/>
      <selection pane="bottomLeft" activeCell="D48" sqref="D48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4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4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4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4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4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4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4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4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4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4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4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4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4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4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4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4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4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4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42</v>
      </c>
      <c r="B20" s="1">
        <v>31</v>
      </c>
      <c r="C20" s="2" t="s">
        <v>153</v>
      </c>
      <c r="D20" s="2" t="s">
        <v>92</v>
      </c>
      <c r="E20" s="2" t="s">
        <v>148</v>
      </c>
      <c r="F20" s="2">
        <v>1600</v>
      </c>
      <c r="G20" s="2" t="s">
        <v>118</v>
      </c>
      <c r="H20" s="3">
        <v>528.4</v>
      </c>
      <c r="I20" s="2">
        <v>0.12</v>
      </c>
      <c r="J20" s="2">
        <v>592</v>
      </c>
      <c r="K20" s="2">
        <v>0</v>
      </c>
      <c r="L20" s="2">
        <v>592</v>
      </c>
      <c r="M20" s="2" t="s">
        <v>146</v>
      </c>
      <c r="N20" s="4"/>
      <c r="O20" s="5"/>
      <c r="P20" s="4"/>
      <c r="Q20" s="19" t="str">
        <f>VLOOKUP(tblProductos[[#This Row],[id_proveedor]],tblProveedores[],2,0)</f>
        <v>JANETH</v>
      </c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4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4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4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4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4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4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4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4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4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4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4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4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4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4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4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4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4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4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4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4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4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4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4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4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4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4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4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4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4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4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4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4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4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4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4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4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4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4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4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4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4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4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4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4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4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4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4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4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4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4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4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4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4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4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4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4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4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4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4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4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4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4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4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4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4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4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4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4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4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4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4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4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4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4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4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4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4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4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4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4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4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4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4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4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4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105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146</v>
      </c>
      <c r="N106" s="4"/>
      <c r="O106" s="5"/>
      <c r="P106" s="4"/>
      <c r="Q106" s="19" t="str">
        <f>VLOOKUP(tblProductos[[#This Row],[id_proveedor]],tblProveedores[],2,0)</f>
        <v>JANETH</v>
      </c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4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4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108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146</v>
      </c>
      <c r="N109" s="4"/>
      <c r="O109" s="5"/>
      <c r="P109" s="4"/>
      <c r="Q109" s="19" t="str">
        <f>VLOOKUP(tblProductos[[#This Row],[id_proveedor]],tblProveedores[],2,0)</f>
        <v>JANETH</v>
      </c>
    </row>
    <row r="110" spans="1:17" x14ac:dyDescent="0.25">
      <c r="A110" s="1">
        <v>109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146</v>
      </c>
      <c r="N110" s="4"/>
      <c r="O110" s="5"/>
      <c r="P110" s="4"/>
      <c r="Q110" s="19" t="str">
        <f>VLOOKUP(tblProductos[[#This Row],[id_proveedor]],tblProveedores[],2,0)</f>
        <v>JANETH</v>
      </c>
    </row>
    <row r="111" spans="1:17" x14ac:dyDescent="0.25">
      <c r="A111" s="1">
        <v>110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146</v>
      </c>
      <c r="N111" s="4"/>
      <c r="O111" s="5"/>
      <c r="P111" s="4"/>
      <c r="Q111" s="19" t="str">
        <f>VLOOKUP(tblProductos[[#This Row],[id_proveedor]],tblProveedores[],2,0)</f>
        <v>JANETH</v>
      </c>
    </row>
    <row r="112" spans="1:17" x14ac:dyDescent="0.25">
      <c r="A112" s="1">
        <v>111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146</v>
      </c>
      <c r="N112" s="4"/>
      <c r="O112" s="5"/>
      <c r="P112" s="4"/>
      <c r="Q112" s="19" t="str">
        <f>VLOOKUP(tblProductos[[#This Row],[id_proveedor]],tblProveedores[],2,0)</f>
        <v>JANETH</v>
      </c>
    </row>
    <row r="113" spans="1:17" x14ac:dyDescent="0.25">
      <c r="A113" s="1">
        <v>112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146</v>
      </c>
      <c r="N113" s="4"/>
      <c r="O113" s="5"/>
      <c r="P113" s="4"/>
      <c r="Q113" s="19" t="str">
        <f>VLOOKUP(tblProductos[[#This Row],[id_proveedor]],tblProveedores[],2,0)</f>
        <v>JANETH</v>
      </c>
    </row>
    <row r="114" spans="1:17" x14ac:dyDescent="0.25">
      <c r="A114" s="1">
        <v>113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146</v>
      </c>
      <c r="N114" s="4"/>
      <c r="O114" s="5"/>
      <c r="P114" s="4"/>
      <c r="Q114" s="19" t="str">
        <f>VLOOKUP(tblProductos[[#This Row],[id_proveedor]],tblProveedores[],2,0)</f>
        <v>JANETH</v>
      </c>
    </row>
    <row r="115" spans="1:17" x14ac:dyDescent="0.25">
      <c r="A115" s="1">
        <v>114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146</v>
      </c>
      <c r="N115" s="4"/>
      <c r="O115" s="5"/>
      <c r="P115" s="4"/>
      <c r="Q115" s="19" t="str">
        <f>VLOOKUP(tblProductos[[#This Row],[id_proveedor]],tblProveedores[],2,0)</f>
        <v>JANETH</v>
      </c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4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4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4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4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4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4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4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4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4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4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4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4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4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4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4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4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4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4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4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4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4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4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4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4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4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4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4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4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4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4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4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4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4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4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4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4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4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4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4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4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4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4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4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4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4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4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4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4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4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4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4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4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4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4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4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4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4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4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4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4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4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4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4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4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4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4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4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4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4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4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4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4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4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4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4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4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4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4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4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4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4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4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4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4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4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4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4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4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4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4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4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4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4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4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4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4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4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4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4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4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4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4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4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4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4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4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4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4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4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4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4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4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4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4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4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4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4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4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4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4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4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4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4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4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4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4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4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4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4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4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4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4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4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4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4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4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4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4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4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4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4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4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4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4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4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4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4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4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4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4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4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4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4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4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4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4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4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4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4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4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4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4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4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4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4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4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4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4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4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4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4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4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4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4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4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4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4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4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4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4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4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4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4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4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4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4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4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4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4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4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4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4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4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4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4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4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4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4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4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4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4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4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4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4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4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4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4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4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4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4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4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4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4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4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4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4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4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4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4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4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4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4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4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4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4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4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4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4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4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4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4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4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4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4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4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4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4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4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4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4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4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4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4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4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4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4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4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4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4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4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4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4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4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4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4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4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4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4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4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4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4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4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4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4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4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4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4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4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4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4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4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4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4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4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4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4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4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4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4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4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4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4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4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4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4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4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4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4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4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4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4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4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4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4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4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4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4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4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4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4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4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4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4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4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4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4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4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4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4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4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4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4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4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4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4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4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4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4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4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4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4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4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4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4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4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4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4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4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4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4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4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4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4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4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4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4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4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4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4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4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4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4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4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4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4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4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4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4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4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4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4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4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4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4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4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4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4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4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4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4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4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4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4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4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4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4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4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4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4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4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4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4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4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4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4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4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4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4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4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4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4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4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4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4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4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4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4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4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4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4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4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4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4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4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4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4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4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4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4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4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4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4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4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4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4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4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4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4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4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4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4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4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4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4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4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4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4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4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4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4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4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4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4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4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4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4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4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4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4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4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4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4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4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4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4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4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4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4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4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4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4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4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4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4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4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4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4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4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4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4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4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4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4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4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4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4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4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4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4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4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4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4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4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4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4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4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4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4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4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4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4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4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587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146</v>
      </c>
      <c r="N588" s="4"/>
      <c r="O588" s="5"/>
      <c r="P588" s="4"/>
      <c r="Q588" s="19" t="str">
        <f>VLOOKUP(tblProductos[[#This Row],[id_proveedor]],tblProveedores[],2,0)</f>
        <v>JANETH</v>
      </c>
    </row>
    <row r="589" spans="1:17" x14ac:dyDescent="0.25">
      <c r="A589" s="1">
        <v>588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146</v>
      </c>
      <c r="N589" s="4"/>
      <c r="O589" s="5"/>
      <c r="P589" s="4"/>
      <c r="Q589" s="19" t="str">
        <f>VLOOKUP(tblProductos[[#This Row],[id_proveedor]],tblProveedores[],2,0)</f>
        <v>JANETH</v>
      </c>
    </row>
    <row r="590" spans="1:17" x14ac:dyDescent="0.25">
      <c r="A590" s="1">
        <v>589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146</v>
      </c>
      <c r="N590" s="4"/>
      <c r="O590" s="5"/>
      <c r="P590" s="4"/>
      <c r="Q590" s="19" t="str">
        <f>VLOOKUP(tblProductos[[#This Row],[id_proveedor]],tblProveedores[],2,0)</f>
        <v>JANETH</v>
      </c>
    </row>
    <row r="591" spans="1:17" x14ac:dyDescent="0.25">
      <c r="A591" s="1">
        <v>590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146</v>
      </c>
      <c r="N591" s="4"/>
      <c r="O591" s="5"/>
      <c r="P591" s="4"/>
      <c r="Q591" s="19" t="str">
        <f>VLOOKUP(tblProductos[[#This Row],[id_proveedor]],tblProveedores[],2,0)</f>
        <v>JANETH</v>
      </c>
    </row>
    <row r="592" spans="1:17" x14ac:dyDescent="0.25">
      <c r="A592" s="1">
        <v>591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146</v>
      </c>
      <c r="N592" s="4"/>
      <c r="O592" s="5"/>
      <c r="P592" s="4"/>
      <c r="Q592" s="19" t="str">
        <f>VLOOKUP(tblProductos[[#This Row],[id_proveedor]],tblProveedores[],2,0)</f>
        <v>JANETH</v>
      </c>
    </row>
    <row r="593" spans="1:17" x14ac:dyDescent="0.25">
      <c r="A593" s="1">
        <v>592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146</v>
      </c>
      <c r="N593" s="4"/>
      <c r="O593" s="5"/>
      <c r="P593" s="4"/>
      <c r="Q593" s="19" t="str">
        <f>VLOOKUP(tblProductos[[#This Row],[id_proveedor]],tblProveedores[],2,0)</f>
        <v>JANETH</v>
      </c>
    </row>
    <row r="594" spans="1:17" x14ac:dyDescent="0.25">
      <c r="A594" s="1">
        <v>593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146</v>
      </c>
      <c r="N594" s="4"/>
      <c r="O594" s="5"/>
      <c r="P594" s="4"/>
      <c r="Q594" s="19" t="str">
        <f>VLOOKUP(tblProductos[[#This Row],[id_proveedor]],tblProveedores[],2,0)</f>
        <v>JANETH</v>
      </c>
    </row>
    <row r="595" spans="1:17" x14ac:dyDescent="0.25">
      <c r="A595" s="1">
        <v>594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146</v>
      </c>
      <c r="N595" s="4"/>
      <c r="O595" s="5"/>
      <c r="P595" s="4"/>
      <c r="Q595" s="19" t="str">
        <f>VLOOKUP(tblProductos[[#This Row],[id_proveedor]],tblProveedores[],2,0)</f>
        <v>JANETH</v>
      </c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4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4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4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4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4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4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4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4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4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4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4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4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4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4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4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4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4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4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4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4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4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4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4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4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4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4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4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4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4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4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4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4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4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4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4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4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4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4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4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4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4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4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4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4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4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4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4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4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4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4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4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4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4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4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4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4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4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4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4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4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4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4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4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4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4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4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4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4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4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4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4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4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4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4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4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4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4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4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4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4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4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4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4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4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4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4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4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4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4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4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4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4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4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4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4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4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4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4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4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4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4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4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4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4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4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4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4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4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4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4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4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4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4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4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4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4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4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4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4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4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4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4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4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4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4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4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4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4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4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4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4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4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727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146</v>
      </c>
      <c r="N728" s="4"/>
      <c r="O728" s="5"/>
      <c r="P728" s="4"/>
      <c r="Q728" s="19" t="str">
        <f>VLOOKUP(tblProductos[[#This Row],[id_proveedor]],tblProveedores[],2,0)</f>
        <v>JANETH</v>
      </c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4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4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730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146</v>
      </c>
      <c r="N731" s="4"/>
      <c r="O731" s="5"/>
      <c r="P731" s="4"/>
      <c r="Q731" s="19" t="str">
        <f>VLOOKUP(tblProductos[[#This Row],[id_proveedor]],tblProveedores[],2,0)</f>
        <v>JANETH</v>
      </c>
    </row>
    <row r="732" spans="1:17" x14ac:dyDescent="0.25">
      <c r="A732" s="1">
        <v>731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146</v>
      </c>
      <c r="N732" s="4"/>
      <c r="O732" s="5"/>
      <c r="P732" s="4"/>
      <c r="Q732" s="19" t="str">
        <f>VLOOKUP(tblProductos[[#This Row],[id_proveedor]],tblProveedores[],2,0)</f>
        <v>JANETH</v>
      </c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4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4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4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4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4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4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4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4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4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4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4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4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4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4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4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4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4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4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4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4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4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4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4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4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4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4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4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4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4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4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4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4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4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4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4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4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4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4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4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4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4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4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4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4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4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4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4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4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4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4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4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4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4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4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4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4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4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4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4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4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4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4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4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4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4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4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4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4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4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4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4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4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4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4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4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4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4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4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4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4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4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4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4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4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4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4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4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4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4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4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4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4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4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4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4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4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4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4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4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4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4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4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4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4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4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4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4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4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4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4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4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4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4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4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4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4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4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4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4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4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4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4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4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4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4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4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4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4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4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4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4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4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4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4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4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4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4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4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4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4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4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4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4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4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4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4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4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4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4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4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4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4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4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4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4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4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4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4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4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4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4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4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4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4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4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4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4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4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4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4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4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4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4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4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4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4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4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4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4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4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4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4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4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4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4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4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4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4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4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4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4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4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4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4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4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4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4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4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4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4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4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4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4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4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4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4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4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4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4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4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4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4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4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4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4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4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4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4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4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4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4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4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4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4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4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4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4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4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4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4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4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4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4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4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4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4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4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4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4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4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4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4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4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4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4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4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4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4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4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4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4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4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4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4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4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4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4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4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4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991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146</v>
      </c>
      <c r="N992" s="4"/>
      <c r="O992" s="5"/>
      <c r="P992" s="4"/>
      <c r="Q992" s="19" t="str">
        <f>VLOOKUP(tblProductos[[#This Row],[id_proveedor]],tblProveedores[],2,0)</f>
        <v>JANETH</v>
      </c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4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4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4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4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4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4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4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4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4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4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4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4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4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4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4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4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4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4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4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4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4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4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4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4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4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4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4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4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4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4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4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4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4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4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4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4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4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4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1030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146</v>
      </c>
      <c r="N1031" s="4"/>
      <c r="O1031" s="5"/>
      <c r="P1031" s="4"/>
      <c r="Q1031" s="19" t="str">
        <f>VLOOKUP(tblProductos[[#This Row],[id_proveedor]],tblProveedores[],2,0)</f>
        <v>JANETH</v>
      </c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4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4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4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1034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146</v>
      </c>
      <c r="N1035" s="4"/>
      <c r="O1035" s="5"/>
      <c r="P1035" s="4"/>
      <c r="Q1035" s="19" t="str">
        <f>VLOOKUP(tblProductos[[#This Row],[id_proveedor]],tblProveedores[],2,0)</f>
        <v>JANETH</v>
      </c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4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4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4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4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4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4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4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4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4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4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4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4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4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4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4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4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4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4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4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4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4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4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4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4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4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4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4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4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4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4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4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4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4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4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4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4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4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4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4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4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4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4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4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4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4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4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4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4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1083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146</v>
      </c>
      <c r="N1084" s="4"/>
      <c r="O1084" s="5"/>
      <c r="P1084" s="4"/>
      <c r="Q1084" s="19" t="str">
        <f>VLOOKUP(tblProductos[[#This Row],[id_proveedor]],tblProveedores[],2,0)</f>
        <v>JANETH</v>
      </c>
    </row>
    <row r="1085" spans="1:17" x14ac:dyDescent="0.25">
      <c r="A1085" s="1">
        <v>1084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146</v>
      </c>
      <c r="N1085" s="4"/>
      <c r="O1085" s="5"/>
      <c r="P1085" s="4"/>
      <c r="Q1085" s="19" t="str">
        <f>VLOOKUP(tblProductos[[#This Row],[id_proveedor]],tblProveedores[],2,0)</f>
        <v>JANETH</v>
      </c>
    </row>
    <row r="1086" spans="1:17" x14ac:dyDescent="0.25">
      <c r="A1086" s="1">
        <v>1085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146</v>
      </c>
      <c r="N1086" s="4"/>
      <c r="O1086" s="5"/>
      <c r="P1086" s="4"/>
      <c r="Q1086" s="19" t="str">
        <f>VLOOKUP(tblProductos[[#This Row],[id_proveedor]],tblProveedores[],2,0)</f>
        <v>JANETH</v>
      </c>
    </row>
    <row r="1087" spans="1:17" x14ac:dyDescent="0.25">
      <c r="A1087" s="1">
        <v>1086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146</v>
      </c>
      <c r="N1087" s="4"/>
      <c r="O1087" s="5"/>
      <c r="P1087" s="4"/>
      <c r="Q1087" s="19" t="str">
        <f>VLOOKUP(tblProductos[[#This Row],[id_proveedor]],tblProveedores[],2,0)</f>
        <v>JANETH</v>
      </c>
    </row>
    <row r="1088" spans="1:17" x14ac:dyDescent="0.25">
      <c r="A1088" s="1">
        <v>1087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146</v>
      </c>
      <c r="N1088" s="4"/>
      <c r="O1088" s="5"/>
      <c r="P1088" s="4"/>
      <c r="Q1088" s="19" t="str">
        <f>VLOOKUP(tblProductos[[#This Row],[id_proveedor]],tblProveedores[],2,0)</f>
        <v>JANETH</v>
      </c>
    </row>
    <row r="1089" spans="1:17" x14ac:dyDescent="0.25">
      <c r="A1089" s="1">
        <v>1088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4"/>
      <c r="O1089" s="5"/>
      <c r="P1089" s="4"/>
      <c r="Q1089" s="19" t="str">
        <f>VLOOKUP(tblProductos[[#This Row],[id_proveedor]],tblProveedores[],2,0)</f>
        <v>JANETH</v>
      </c>
    </row>
    <row r="1090" spans="1:17" x14ac:dyDescent="0.25">
      <c r="A1090" s="1">
        <v>1089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146</v>
      </c>
      <c r="N1090" s="4"/>
      <c r="O1090" s="5"/>
      <c r="P1090" s="4"/>
      <c r="Q1090" s="19" t="str">
        <f>VLOOKUP(tblProductos[[#This Row],[id_proveedor]],tblProveedores[],2,0)</f>
        <v>JANETH</v>
      </c>
    </row>
    <row r="1091" spans="1:17" x14ac:dyDescent="0.25">
      <c r="A1091" s="1">
        <v>1090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146</v>
      </c>
      <c r="N1091" s="4"/>
      <c r="O1091" s="5"/>
      <c r="P1091" s="4"/>
      <c r="Q1091" s="19" t="str">
        <f>VLOOKUP(tblProductos[[#This Row],[id_proveedor]],tblProveedores[],2,0)</f>
        <v>JANETH</v>
      </c>
    </row>
    <row r="1092" spans="1:17" x14ac:dyDescent="0.25">
      <c r="A1092" s="1">
        <v>1091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146</v>
      </c>
      <c r="N1092" s="4"/>
      <c r="O1092" s="5"/>
      <c r="P1092" s="4"/>
      <c r="Q1092" s="19" t="str">
        <f>VLOOKUP(tblProductos[[#This Row],[id_proveedor]],tblProveedores[],2,0)</f>
        <v>JANETH</v>
      </c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4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4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4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4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4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4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4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4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4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4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4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4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4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4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4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4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4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4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4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4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4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4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4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4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4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4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4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4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4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4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4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4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4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4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4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4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4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4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4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4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4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4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4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4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4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4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4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4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4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4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4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4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4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4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4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4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4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4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4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4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4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4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4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4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4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4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4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4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4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4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4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4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4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4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4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4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4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4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4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4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4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4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4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4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4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4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4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4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4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4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4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4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4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4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4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4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4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4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4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4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4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4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4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4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4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4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4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4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4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4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4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4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4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4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4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4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4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4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4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4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4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4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4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4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4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4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4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4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4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4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4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4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4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4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4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4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4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4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4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4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4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4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4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4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4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4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4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4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4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4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4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4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4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4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4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4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4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4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4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4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4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4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4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4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4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4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4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4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4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4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4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4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4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4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4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4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4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4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4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4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4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4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4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4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4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4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4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4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4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4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4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4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4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4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4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4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4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4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4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4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4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4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4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4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4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4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4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4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4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4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4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4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4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4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4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4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4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4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4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4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4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4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4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4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4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4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4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4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4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4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4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4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4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4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4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4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4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4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4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4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4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4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4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4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4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4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4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4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4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4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4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4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4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4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4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4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4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4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4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4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4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4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4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4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4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4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4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4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4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4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4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4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4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4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4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4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4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4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4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4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4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4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4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4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4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4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4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4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4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4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4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4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4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4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4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4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4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4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4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4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4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4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4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4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4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4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4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4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4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4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4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4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4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4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4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4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4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4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4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4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4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4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4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4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4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4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4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4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4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4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4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4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4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4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4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4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4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4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4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4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4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4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4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4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4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4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4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4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4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4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4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4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4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4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4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4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4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4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4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4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4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4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4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4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4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4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4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4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4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4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4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4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4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4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4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4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4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4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4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4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4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4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4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4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4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4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4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4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4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4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4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4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4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4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4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4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4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4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4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4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4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4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4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4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4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4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4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4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4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4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4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4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4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4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4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4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4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4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4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4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4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4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4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4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4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4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4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4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4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4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4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4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4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4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4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4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4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4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4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4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4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4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4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4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4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4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4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4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4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4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4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4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4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4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4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4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4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4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4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4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4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4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4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4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4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4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4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4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4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4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4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4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4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4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4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4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4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4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4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4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4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4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4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4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4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4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4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4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4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4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4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4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4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4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4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4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4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4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4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4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4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4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4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4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4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4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4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4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4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4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4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4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4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4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4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4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4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4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4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4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4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4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4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4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4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4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4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4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4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4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4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4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4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4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4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4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4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4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4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4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4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4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4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4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4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4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4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4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4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4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4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4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4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4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4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4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4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4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4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4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4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4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4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4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4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4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4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4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4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4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4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4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4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4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4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4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4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4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4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4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4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4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4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4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4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4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4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4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4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4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4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4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4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4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4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4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4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4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4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4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4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4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4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4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4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4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4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4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4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4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4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4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4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4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4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4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4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4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4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4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4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4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4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4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4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4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4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4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4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4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4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4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4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4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4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4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4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4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4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4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4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4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4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4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4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4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4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4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4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4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4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4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4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4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4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4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4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4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4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4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4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4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4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4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4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4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4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4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4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4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4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4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4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4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4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4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4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4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4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4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4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4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4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4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4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4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4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4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4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4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4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4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4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4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4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4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4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4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4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4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4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4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4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4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4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4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4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4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4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4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4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4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4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4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4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4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4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4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4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4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4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4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4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4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4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4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4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4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4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4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4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4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4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4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4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4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4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4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4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4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4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4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4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4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4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4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4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4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4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4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4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4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4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4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4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4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4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4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4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4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4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4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4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4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4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4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4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4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4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4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4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4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4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4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4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4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4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4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4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4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4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4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4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4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4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4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4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4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4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4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4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4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4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4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4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4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4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4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4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4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4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4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4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4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4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4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4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4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4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4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4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4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4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4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4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4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4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4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4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4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4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4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4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4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4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4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4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4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4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4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4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4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4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4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4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4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4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4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4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4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4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4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4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4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4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4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4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4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4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4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4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4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4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4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4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4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4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4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4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4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4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4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4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4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4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4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4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4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4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4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4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4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4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4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4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4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4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4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4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4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4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4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4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4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4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4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4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4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4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4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4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4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4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4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4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4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4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4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4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4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4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4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4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4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4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4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4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4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4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4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4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4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4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4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4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4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4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4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4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4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4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4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4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4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4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4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4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4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4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4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4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4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4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4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4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4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4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4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4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4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4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4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4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4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4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4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4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4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4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4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4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4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4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4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4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4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4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4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4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4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4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4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4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4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4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4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4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4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4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4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4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4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4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4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4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4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4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4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4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4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4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4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4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4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4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4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4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4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4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4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4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4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4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4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4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4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4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4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4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4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4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4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4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4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4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4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4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4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4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4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4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4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4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4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4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4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4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4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4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4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4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4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4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4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4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4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4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4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4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4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4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4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4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4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4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4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4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4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4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4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4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4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4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4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4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4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4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4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4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4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4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4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4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4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4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4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4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4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4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4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4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4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4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4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4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4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4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4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4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4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4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4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4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4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4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4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4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4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4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4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4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4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4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4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4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4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4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4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4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4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4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4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4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4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4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4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4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4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4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4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4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4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4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4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4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4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4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4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4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4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4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4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4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4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4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4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4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4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4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4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4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4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4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4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4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4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4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4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4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4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4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4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4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4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4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4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4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4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4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4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4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4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4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4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4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4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4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4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4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4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4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4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4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4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4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4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4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4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4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4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4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4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4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4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4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4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4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4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4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4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4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4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4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4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4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4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4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4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4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4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4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4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4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4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4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4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4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4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4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4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4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4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4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4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4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4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4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4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4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4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4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4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2277</v>
      </c>
      <c r="B2295" s="8">
        <v>31</v>
      </c>
      <c r="C2295" s="9" t="s">
        <v>153</v>
      </c>
      <c r="D2295" s="9" t="s">
        <v>268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146</v>
      </c>
      <c r="N2295" s="4"/>
      <c r="O2295" s="5"/>
      <c r="P2295" s="10"/>
      <c r="Q2295" s="19" t="str">
        <f>VLOOKUP(tblProductos[[#This Row],[id_proveedor]],tblProveedores[],2,0)</f>
        <v>JANETH</v>
      </c>
    </row>
    <row r="2296" spans="1:17" x14ac:dyDescent="0.25">
      <c r="A2296" s="8">
        <v>2278</v>
      </c>
      <c r="B2296" s="8">
        <v>31</v>
      </c>
      <c r="C2296" s="9" t="s">
        <v>153</v>
      </c>
      <c r="D2296" s="9" t="s">
        <v>261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146</v>
      </c>
      <c r="N2296" s="4"/>
      <c r="O2296" s="5"/>
      <c r="P2296" s="10"/>
      <c r="Q2296" s="19" t="str">
        <f>VLOOKUP(tblProductos[[#This Row],[id_proveedor]],tblProveedores[],2,0)</f>
        <v>JANETH</v>
      </c>
    </row>
    <row r="2297" spans="1:17" x14ac:dyDescent="0.25">
      <c r="A2297" s="8">
        <v>2279</v>
      </c>
      <c r="B2297" s="8">
        <v>31</v>
      </c>
      <c r="C2297" s="9" t="s">
        <v>153</v>
      </c>
      <c r="D2297" s="9" t="s">
        <v>376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146</v>
      </c>
      <c r="N2297" s="4"/>
      <c r="O2297" s="5"/>
      <c r="P2297" s="10"/>
      <c r="Q2297" s="19" t="str">
        <f>VLOOKUP(tblProductos[[#This Row],[id_proveedor]],tblProveedores[],2,0)</f>
        <v>JANETH</v>
      </c>
    </row>
    <row r="2298" spans="1:17" x14ac:dyDescent="0.25">
      <c r="A2298" s="1">
        <v>2280</v>
      </c>
      <c r="B2298" s="1">
        <v>31</v>
      </c>
      <c r="C2298" s="2" t="s">
        <v>153</v>
      </c>
      <c r="D2298" s="2" t="s">
        <v>307</v>
      </c>
      <c r="E2298" s="2" t="s">
        <v>148</v>
      </c>
      <c r="F2298" s="2">
        <v>1600</v>
      </c>
      <c r="G2298" s="2" t="s">
        <v>118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146</v>
      </c>
      <c r="N2298" s="4"/>
      <c r="O2298" s="5"/>
      <c r="P2298" s="4"/>
      <c r="Q2298" s="19" t="str">
        <f>VLOOKUP(tblProductos[[#This Row],[id_proveedor]],tblProveedores[],2,0)</f>
        <v>JANETH</v>
      </c>
    </row>
    <row r="2299" spans="1:17" x14ac:dyDescent="0.25">
      <c r="A2299" s="8">
        <v>2281</v>
      </c>
      <c r="B2299" s="8">
        <v>31</v>
      </c>
      <c r="C2299" s="9" t="s">
        <v>153</v>
      </c>
      <c r="D2299" s="9" t="s">
        <v>394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146</v>
      </c>
      <c r="N2299" s="4"/>
      <c r="O2299" s="5"/>
      <c r="P2299" s="10"/>
      <c r="Q2299" s="19" t="str">
        <f>VLOOKUP(tblProductos[[#This Row],[id_proveedor]],tblProveedores[],2,0)</f>
        <v>JANETH</v>
      </c>
    </row>
    <row r="2300" spans="1:17" x14ac:dyDescent="0.25">
      <c r="A2300" s="8">
        <v>2282</v>
      </c>
      <c r="B2300" s="8">
        <v>31</v>
      </c>
      <c r="C2300" s="9" t="s">
        <v>153</v>
      </c>
      <c r="D2300" s="9" t="s">
        <v>282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146</v>
      </c>
      <c r="N2300" s="4"/>
      <c r="O2300" s="5"/>
      <c r="P2300" s="10"/>
      <c r="Q2300" s="19" t="str">
        <f>VLOOKUP(tblProductos[[#This Row],[id_proveedor]],tblProveedores[],2,0)</f>
        <v>JANETH</v>
      </c>
    </row>
    <row r="2301" spans="1:17" x14ac:dyDescent="0.25">
      <c r="A2301" s="8">
        <v>2283</v>
      </c>
      <c r="B2301" s="8">
        <v>31</v>
      </c>
      <c r="C2301" s="9" t="s">
        <v>153</v>
      </c>
      <c r="D2301" s="9" t="s">
        <v>281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146</v>
      </c>
      <c r="N2301" s="4"/>
      <c r="O2301" s="5"/>
      <c r="P2301" s="10"/>
      <c r="Q2301" s="19" t="str">
        <f>VLOOKUP(tblProductos[[#This Row],[id_proveedor]],tblProveedores[],2,0)</f>
        <v>JANETH</v>
      </c>
    </row>
    <row r="2302" spans="1:17" x14ac:dyDescent="0.25">
      <c r="A2302" s="8">
        <v>2284</v>
      </c>
      <c r="B2302" s="8">
        <v>31</v>
      </c>
      <c r="C2302" s="9" t="s">
        <v>153</v>
      </c>
      <c r="D2302" s="9" t="s">
        <v>269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146</v>
      </c>
      <c r="N2302" s="4"/>
      <c r="O2302" s="5"/>
      <c r="P2302" s="10"/>
      <c r="Q2302" s="19" t="str">
        <f>VLOOKUP(tblProductos[[#This Row],[id_proveedor]],tblProveedores[],2,0)</f>
        <v>JANETH</v>
      </c>
    </row>
    <row r="2303" spans="1:17" x14ac:dyDescent="0.25">
      <c r="A2303" s="8">
        <v>2285</v>
      </c>
      <c r="B2303" s="8">
        <v>31</v>
      </c>
      <c r="C2303" s="9" t="s">
        <v>153</v>
      </c>
      <c r="D2303" s="9" t="s">
        <v>263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146</v>
      </c>
      <c r="N2303" s="4"/>
      <c r="O2303" s="5"/>
      <c r="P2303" s="10"/>
      <c r="Q2303" s="19" t="str">
        <f>VLOOKUP(tblProductos[[#This Row],[id_proveedor]],tblProveedores[],2,0)</f>
        <v>JANETH</v>
      </c>
    </row>
    <row r="2304" spans="1:17" x14ac:dyDescent="0.25">
      <c r="A2304" s="8">
        <v>2286</v>
      </c>
      <c r="B2304" s="8">
        <v>31</v>
      </c>
      <c r="C2304" s="9" t="s">
        <v>153</v>
      </c>
      <c r="D2304" s="9" t="s">
        <v>264</v>
      </c>
      <c r="E2304" s="9" t="s">
        <v>148</v>
      </c>
      <c r="F2304" s="9">
        <v>1600</v>
      </c>
      <c r="G2304" s="9" t="s">
        <v>118</v>
      </c>
      <c r="H2304" s="9">
        <v>528.4</v>
      </c>
      <c r="I2304" s="9">
        <v>0.12</v>
      </c>
      <c r="J2304" s="2">
        <v>592</v>
      </c>
      <c r="K2304" s="9">
        <v>0</v>
      </c>
      <c r="L2304" s="2">
        <v>592</v>
      </c>
      <c r="M2304" s="9" t="s">
        <v>146</v>
      </c>
      <c r="N2304" s="4"/>
      <c r="O2304" s="5"/>
      <c r="P2304" s="10"/>
      <c r="Q2304" s="19" t="str">
        <f>VLOOKUP(tblProductos[[#This Row],[id_proveedor]],tblProveedores[],2,0)</f>
        <v>JANETH</v>
      </c>
    </row>
    <row r="2305" spans="1:17" x14ac:dyDescent="0.25">
      <c r="A2305" s="8">
        <v>2287</v>
      </c>
      <c r="B2305" s="8">
        <v>31</v>
      </c>
      <c r="C2305" s="9" t="s">
        <v>153</v>
      </c>
      <c r="D2305" s="9" t="s">
        <v>174</v>
      </c>
      <c r="E2305" s="9" t="s">
        <v>148</v>
      </c>
      <c r="F2305" s="9">
        <v>1600</v>
      </c>
      <c r="G2305" s="9" t="s">
        <v>118</v>
      </c>
      <c r="H2305" s="9">
        <v>528.4</v>
      </c>
      <c r="I2305" s="9">
        <v>0.12</v>
      </c>
      <c r="J2305" s="2">
        <v>592</v>
      </c>
      <c r="K2305" s="9">
        <v>0</v>
      </c>
      <c r="L2305" s="2">
        <v>592</v>
      </c>
      <c r="M2305" s="9" t="s">
        <v>146</v>
      </c>
      <c r="N2305" s="4"/>
      <c r="O2305" s="5"/>
      <c r="P2305" s="10"/>
      <c r="Q2305" s="19" t="str">
        <f>VLOOKUP(tblProductos[[#This Row],[id_proveedor]],tblProveedores[],2,0)</f>
        <v>JANETH</v>
      </c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4"/>
      <c r="O2306" s="5"/>
      <c r="P2306" s="10"/>
      <c r="Q2306" s="19" t="str">
        <f>VLOOKUP(tblProductos[[#This Row],[id_proveedor]],tblProveedores[],2,0)</f>
        <v>JANETH</v>
      </c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4"/>
      <c r="O2307" s="5"/>
      <c r="P2307" s="10"/>
      <c r="Q2307" s="19" t="str">
        <f>VLOOKUP(tblProductos[[#This Row],[id_proveedor]],tblProveedores[],2,0)</f>
        <v>JANETH</v>
      </c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4"/>
      <c r="O2308" s="5"/>
      <c r="P2308" s="10"/>
      <c r="Q2308" s="19" t="str">
        <f>VLOOKUP(tblProductos[[#This Row],[id_proveedor]],tblProveedores[],2,0)</f>
        <v>JANETH</v>
      </c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4"/>
      <c r="O2309" s="5"/>
      <c r="P2309" s="10"/>
      <c r="Q2309" s="19" t="str">
        <f>VLOOKUP(tblProductos[[#This Row],[id_proveedor]],tblProveedores[],2,0)</f>
        <v>JANETH</v>
      </c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4"/>
      <c r="O2310" s="5"/>
      <c r="P2310" s="4"/>
      <c r="Q2310" s="19" t="str">
        <f>VLOOKUP(tblProductos[[#This Row],[id_proveedor]],tblProveedores[],2,0)</f>
        <v>JANETH</v>
      </c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4"/>
      <c r="O2311" s="5"/>
      <c r="P2311" s="4"/>
      <c r="Q2311" s="19" t="str">
        <f>VLOOKUP(tblProductos[[#This Row],[id_proveedor]],tblProveedores[],2,0)</f>
        <v>JANETH</v>
      </c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4"/>
      <c r="O2312" s="5"/>
      <c r="P2312" s="4"/>
      <c r="Q2312" s="19" t="str">
        <f>VLOOKUP(tblProductos[[#This Row],[id_proveedor]],tblProveedores[],2,0)</f>
        <v>JANETH</v>
      </c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4"/>
      <c r="O2313" s="5"/>
      <c r="P2313" s="4"/>
      <c r="Q2313" s="19" t="str">
        <f>VLOOKUP(tblProductos[[#This Row],[id_proveedor]],tblProveedores[],2,0)</f>
        <v>JANETH</v>
      </c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4"/>
      <c r="O2314" s="5"/>
      <c r="P2314" s="4"/>
      <c r="Q2314" s="19" t="str">
        <f>VLOOKUP(tblProductos[[#This Row],[id_proveedor]],tblProveedores[],2,0)</f>
        <v>JANETH</v>
      </c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4"/>
      <c r="O2315" s="5"/>
      <c r="P2315" s="10"/>
      <c r="Q2315" s="19" t="str">
        <f>VLOOKUP(tblProductos[[#This Row],[id_proveedor]],tblProveedores[],2,0)</f>
        <v>JANETH</v>
      </c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4"/>
      <c r="O2316" s="5"/>
      <c r="P2316" s="10"/>
      <c r="Q2316" s="19" t="str">
        <f>VLOOKUP(tblProductos[[#This Row],[id_proveedor]],tblProveedores[],2,0)</f>
        <v>JANETH</v>
      </c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4"/>
      <c r="O2317" s="5"/>
      <c r="P2317" s="10"/>
      <c r="Q2317" s="19" t="str">
        <f>VLOOKUP(tblProductos[[#This Row],[id_proveedor]],tblProveedores[],2,0)</f>
        <v>JANETH</v>
      </c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4"/>
      <c r="O2318" s="5"/>
      <c r="P2318" s="10"/>
      <c r="Q2318" s="19" t="str">
        <f>VLOOKUP(tblProductos[[#This Row],[id_proveedor]],tblProveedores[],2,0)</f>
        <v>JANETH</v>
      </c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4"/>
      <c r="O2319" s="5"/>
      <c r="P2319" s="10"/>
      <c r="Q2319" s="19" t="str">
        <f>VLOOKUP(tblProductos[[#This Row],[id_proveedor]],tblProveedores[],2,0)</f>
        <v>JANETH</v>
      </c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4"/>
      <c r="O2320" s="5"/>
      <c r="P2320" s="10"/>
      <c r="Q2320" s="19" t="str">
        <f>VLOOKUP(tblProductos[[#This Row],[id_proveedor]],tblProveedores[],2,0)</f>
        <v>JANETH</v>
      </c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4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4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4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4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4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4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4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4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4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4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4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4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4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4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4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4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4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4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4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4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4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4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4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4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4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4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4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4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4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4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4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4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4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4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4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4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4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4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4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4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4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4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4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4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4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4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4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4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4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4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4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4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4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4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4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4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4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4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4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4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4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4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2365</v>
      </c>
      <c r="B2383" s="1">
        <v>31</v>
      </c>
      <c r="C2383" s="2" t="s">
        <v>292</v>
      </c>
      <c r="D2383" s="2" t="s">
        <v>268</v>
      </c>
      <c r="E2383" s="2" t="s">
        <v>148</v>
      </c>
      <c r="F2383" s="2">
        <v>1600</v>
      </c>
      <c r="G2383" s="2" t="s">
        <v>118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146</v>
      </c>
      <c r="N2383" s="4"/>
      <c r="O2383" s="5"/>
      <c r="P2383" s="4"/>
      <c r="Q2383" s="19" t="str">
        <f>VLOOKUP(tblProductos[[#This Row],[id_proveedor]],tblProveedores[],2,0)</f>
        <v>JANETH</v>
      </c>
    </row>
    <row r="2384" spans="1:17" x14ac:dyDescent="0.25">
      <c r="A2384" s="1">
        <v>2366</v>
      </c>
      <c r="B2384" s="1">
        <v>31</v>
      </c>
      <c r="C2384" s="2" t="s">
        <v>292</v>
      </c>
      <c r="D2384" s="2" t="s">
        <v>261</v>
      </c>
      <c r="E2384" s="2" t="s">
        <v>148</v>
      </c>
      <c r="F2384" s="2">
        <v>1600</v>
      </c>
      <c r="G2384" s="2" t="s">
        <v>118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146</v>
      </c>
      <c r="N2384" s="4"/>
      <c r="O2384" s="5"/>
      <c r="P2384" s="4"/>
      <c r="Q2384" s="19" t="str">
        <f>VLOOKUP(tblProductos[[#This Row],[id_proveedor]],tblProveedores[],2,0)</f>
        <v>JANETH</v>
      </c>
    </row>
    <row r="2385" spans="1:17" x14ac:dyDescent="0.25">
      <c r="A2385" s="8">
        <v>2367</v>
      </c>
      <c r="B2385" s="8">
        <v>31</v>
      </c>
      <c r="C2385" s="9" t="s">
        <v>292</v>
      </c>
      <c r="D2385" s="9" t="s">
        <v>376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146</v>
      </c>
      <c r="N2385" s="4"/>
      <c r="O2385" s="5"/>
      <c r="P2385" s="10"/>
      <c r="Q2385" s="19" t="str">
        <f>VLOOKUP(tblProductos[[#This Row],[id_proveedor]],tblProveedores[],2,0)</f>
        <v>JANETH</v>
      </c>
    </row>
    <row r="2386" spans="1:17" x14ac:dyDescent="0.25">
      <c r="A2386" s="8">
        <v>2368</v>
      </c>
      <c r="B2386" s="8">
        <v>31</v>
      </c>
      <c r="C2386" s="9" t="s">
        <v>292</v>
      </c>
      <c r="D2386" s="9" t="s">
        <v>307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146</v>
      </c>
      <c r="N2386" s="4"/>
      <c r="O2386" s="5"/>
      <c r="P2386" s="10"/>
      <c r="Q2386" s="19" t="str">
        <f>VLOOKUP(tblProductos[[#This Row],[id_proveedor]],tblProveedores[],2,0)</f>
        <v>JANETH</v>
      </c>
    </row>
    <row r="2387" spans="1:17" x14ac:dyDescent="0.25">
      <c r="A2387" s="8">
        <v>2369</v>
      </c>
      <c r="B2387" s="8">
        <v>31</v>
      </c>
      <c r="C2387" s="9" t="s">
        <v>292</v>
      </c>
      <c r="D2387" s="9" t="s">
        <v>257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146</v>
      </c>
      <c r="N2387" s="4"/>
      <c r="O2387" s="5"/>
      <c r="P2387" s="10"/>
      <c r="Q2387" s="19" t="str">
        <f>VLOOKUP(tblProductos[[#This Row],[id_proveedor]],tblProveedores[],2,0)</f>
        <v>JANETH</v>
      </c>
    </row>
    <row r="2388" spans="1:17" x14ac:dyDescent="0.25">
      <c r="A2388" s="8">
        <v>2370</v>
      </c>
      <c r="B2388" s="8">
        <v>31</v>
      </c>
      <c r="C2388" s="9" t="s">
        <v>292</v>
      </c>
      <c r="D2388" s="9" t="s">
        <v>394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146</v>
      </c>
      <c r="N2388" s="4"/>
      <c r="O2388" s="5"/>
      <c r="P2388" s="10"/>
      <c r="Q2388" s="19" t="str">
        <f>VLOOKUP(tblProductos[[#This Row],[id_proveedor]],tblProveedores[],2,0)</f>
        <v>JANETH</v>
      </c>
    </row>
    <row r="2389" spans="1:17" x14ac:dyDescent="0.25">
      <c r="A2389" s="8">
        <v>2371</v>
      </c>
      <c r="B2389" s="8">
        <v>31</v>
      </c>
      <c r="C2389" s="9" t="s">
        <v>292</v>
      </c>
      <c r="D2389" s="9" t="s">
        <v>282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146</v>
      </c>
      <c r="N2389" s="4"/>
      <c r="O2389" s="5"/>
      <c r="P2389" s="10"/>
      <c r="Q2389" s="19" t="str">
        <f>VLOOKUP(tblProductos[[#This Row],[id_proveedor]],tblProveedores[],2,0)</f>
        <v>JANETH</v>
      </c>
    </row>
    <row r="2390" spans="1:17" x14ac:dyDescent="0.25">
      <c r="A2390" s="8">
        <v>2372</v>
      </c>
      <c r="B2390" s="8">
        <v>31</v>
      </c>
      <c r="C2390" s="9" t="s">
        <v>292</v>
      </c>
      <c r="D2390" s="9" t="s">
        <v>262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146</v>
      </c>
      <c r="N2390" s="4"/>
      <c r="O2390" s="5"/>
      <c r="P2390" s="10"/>
      <c r="Q2390" s="19" t="str">
        <f>VLOOKUP(tblProductos[[#This Row],[id_proveedor]],tblProveedores[],2,0)</f>
        <v>JANETH</v>
      </c>
    </row>
    <row r="2391" spans="1:17" x14ac:dyDescent="0.25">
      <c r="A2391" s="8">
        <v>2373</v>
      </c>
      <c r="B2391" s="8">
        <v>31</v>
      </c>
      <c r="C2391" s="9" t="s">
        <v>292</v>
      </c>
      <c r="D2391" s="9" t="s">
        <v>281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146</v>
      </c>
      <c r="N2391" s="4"/>
      <c r="O2391" s="5"/>
      <c r="P2391" s="10"/>
      <c r="Q2391" s="19" t="str">
        <f>VLOOKUP(tblProductos[[#This Row],[id_proveedor]],tblProveedores[],2,0)</f>
        <v>JANETH</v>
      </c>
    </row>
    <row r="2392" spans="1:17" x14ac:dyDescent="0.25">
      <c r="A2392" s="8">
        <v>2374</v>
      </c>
      <c r="B2392" s="8">
        <v>31</v>
      </c>
      <c r="C2392" s="9" t="s">
        <v>292</v>
      </c>
      <c r="D2392" s="9" t="s">
        <v>269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146</v>
      </c>
      <c r="N2392" s="4"/>
      <c r="O2392" s="5"/>
      <c r="P2392" s="10"/>
      <c r="Q2392" s="19" t="str">
        <f>VLOOKUP(tblProductos[[#This Row],[id_proveedor]],tblProveedores[],2,0)</f>
        <v>JANETH</v>
      </c>
    </row>
    <row r="2393" spans="1:17" x14ac:dyDescent="0.25">
      <c r="A2393" s="8">
        <v>2375</v>
      </c>
      <c r="B2393" s="8">
        <v>31</v>
      </c>
      <c r="C2393" s="9" t="s">
        <v>292</v>
      </c>
      <c r="D2393" s="9" t="s">
        <v>260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146</v>
      </c>
      <c r="N2393" s="4"/>
      <c r="O2393" s="5"/>
      <c r="P2393" s="10"/>
      <c r="Q2393" s="19" t="str">
        <f>VLOOKUP(tblProductos[[#This Row],[id_proveedor]],tblProveedores[],2,0)</f>
        <v>JANETH</v>
      </c>
    </row>
    <row r="2394" spans="1:17" x14ac:dyDescent="0.25">
      <c r="A2394" s="8">
        <v>2376</v>
      </c>
      <c r="B2394" s="8">
        <v>31</v>
      </c>
      <c r="C2394" s="9" t="s">
        <v>292</v>
      </c>
      <c r="D2394" s="9" t="s">
        <v>263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146</v>
      </c>
      <c r="N2394" s="4"/>
      <c r="O2394" s="5"/>
      <c r="P2394" s="10"/>
      <c r="Q2394" s="19" t="str">
        <f>VLOOKUP(tblProductos[[#This Row],[id_proveedor]],tblProveedores[],2,0)</f>
        <v>JANETH</v>
      </c>
    </row>
    <row r="2395" spans="1:17" x14ac:dyDescent="0.25">
      <c r="A2395" s="8">
        <v>2377</v>
      </c>
      <c r="B2395" s="8">
        <v>31</v>
      </c>
      <c r="C2395" s="9" t="s">
        <v>292</v>
      </c>
      <c r="D2395" s="9" t="s">
        <v>264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146</v>
      </c>
      <c r="N2395" s="4"/>
      <c r="O2395" s="5"/>
      <c r="P2395" s="10"/>
      <c r="Q2395" s="19" t="str">
        <f>VLOOKUP(tblProductos[[#This Row],[id_proveedor]],tblProveedores[],2,0)</f>
        <v>JANETH</v>
      </c>
    </row>
    <row r="2396" spans="1:17" x14ac:dyDescent="0.25">
      <c r="A2396" s="8">
        <v>2378</v>
      </c>
      <c r="B2396" s="8">
        <v>31</v>
      </c>
      <c r="C2396" s="9" t="s">
        <v>292</v>
      </c>
      <c r="D2396" s="9" t="s">
        <v>174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146</v>
      </c>
      <c r="N2396" s="4"/>
      <c r="O2396" s="5"/>
      <c r="P2396" s="10"/>
      <c r="Q2396" s="19" t="str">
        <f>VLOOKUP(tblProductos[[#This Row],[id_proveedor]],tblProveedores[],2,0)</f>
        <v>JANETH</v>
      </c>
    </row>
    <row r="2397" spans="1:17" x14ac:dyDescent="0.25">
      <c r="A2397" s="8">
        <v>2379</v>
      </c>
      <c r="B2397" s="8">
        <v>31</v>
      </c>
      <c r="C2397" s="9" t="s">
        <v>292</v>
      </c>
      <c r="D2397" s="9" t="s">
        <v>270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146</v>
      </c>
      <c r="N2397" s="4"/>
      <c r="O2397" s="5"/>
      <c r="P2397" s="10"/>
      <c r="Q2397" s="19" t="str">
        <f>VLOOKUP(tblProductos[[#This Row],[id_proveedor]],tblProveedores[],2,0)</f>
        <v>JANETH</v>
      </c>
    </row>
    <row r="2398" spans="1:17" x14ac:dyDescent="0.25">
      <c r="A2398" s="8">
        <v>2380</v>
      </c>
      <c r="B2398" s="8">
        <v>31</v>
      </c>
      <c r="C2398" s="9" t="s">
        <v>292</v>
      </c>
      <c r="D2398" s="9" t="s">
        <v>283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146</v>
      </c>
      <c r="N2398" s="4"/>
      <c r="O2398" s="5"/>
      <c r="P2398" s="10"/>
      <c r="Q2398" s="19" t="str">
        <f>VLOOKUP(tblProductos[[#This Row],[id_proveedor]],tblProveedores[],2,0)</f>
        <v>JANETH</v>
      </c>
    </row>
    <row r="2399" spans="1:17" x14ac:dyDescent="0.25">
      <c r="A2399" s="1">
        <v>2381</v>
      </c>
      <c r="B2399" s="1">
        <v>31</v>
      </c>
      <c r="C2399" s="2" t="s">
        <v>292</v>
      </c>
      <c r="D2399" s="2" t="s">
        <v>258</v>
      </c>
      <c r="E2399" s="2" t="s">
        <v>148</v>
      </c>
      <c r="F2399" s="2">
        <v>1600</v>
      </c>
      <c r="G2399" s="2" t="s">
        <v>118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146</v>
      </c>
      <c r="N2399" s="4"/>
      <c r="O2399" s="5"/>
      <c r="P2399" s="4"/>
      <c r="Q2399" s="19" t="str">
        <f>VLOOKUP(tblProductos[[#This Row],[id_proveedor]],tblProveedores[],2,0)</f>
        <v>JANETH</v>
      </c>
    </row>
    <row r="2400" spans="1:17" x14ac:dyDescent="0.25">
      <c r="A2400" s="8">
        <v>2382</v>
      </c>
      <c r="B2400" s="8">
        <v>31</v>
      </c>
      <c r="C2400" s="9" t="s">
        <v>292</v>
      </c>
      <c r="D2400" s="9" t="s">
        <v>139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146</v>
      </c>
      <c r="N2400" s="4"/>
      <c r="O2400" s="5"/>
      <c r="P2400" s="10"/>
      <c r="Q2400" s="19" t="str">
        <f>VLOOKUP(tblProductos[[#This Row],[id_proveedor]],tblProveedores[],2,0)</f>
        <v>JANETH</v>
      </c>
    </row>
    <row r="2401" spans="1:17" x14ac:dyDescent="0.25">
      <c r="A2401" s="8">
        <v>2383</v>
      </c>
      <c r="B2401" s="8">
        <v>31</v>
      </c>
      <c r="C2401" s="9" t="s">
        <v>292</v>
      </c>
      <c r="D2401" s="9" t="s">
        <v>284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146</v>
      </c>
      <c r="N2401" s="4"/>
      <c r="O2401" s="5"/>
      <c r="P2401" s="10"/>
      <c r="Q2401" s="19" t="str">
        <f>VLOOKUP(tblProductos[[#This Row],[id_proveedor]],tblProveedores[],2,0)</f>
        <v>JANETH</v>
      </c>
    </row>
    <row r="2402" spans="1:17" x14ac:dyDescent="0.25">
      <c r="A2402" s="8">
        <v>2384</v>
      </c>
      <c r="B2402" s="8">
        <v>31</v>
      </c>
      <c r="C2402" s="9" t="s">
        <v>292</v>
      </c>
      <c r="D2402" s="9" t="s">
        <v>395</v>
      </c>
      <c r="E2402" s="9" t="s">
        <v>148</v>
      </c>
      <c r="F2402" s="9">
        <v>1600</v>
      </c>
      <c r="G2402" s="9" t="s">
        <v>118</v>
      </c>
      <c r="H2402" s="9">
        <v>257.87</v>
      </c>
      <c r="I2402" s="9">
        <v>0.12</v>
      </c>
      <c r="J2402" s="2">
        <v>289</v>
      </c>
      <c r="K2402" s="9">
        <v>0</v>
      </c>
      <c r="L2402" s="2">
        <v>289</v>
      </c>
      <c r="M2402" s="9" t="s">
        <v>146</v>
      </c>
      <c r="N2402" s="4"/>
      <c r="O2402" s="5"/>
      <c r="P2402" s="10"/>
      <c r="Q2402" s="19" t="str">
        <f>VLOOKUP(tblProductos[[#This Row],[id_proveedor]],tblProveedores[],2,0)</f>
        <v>JANETH</v>
      </c>
    </row>
    <row r="2403" spans="1:17" x14ac:dyDescent="0.25">
      <c r="A2403" s="8">
        <v>2385</v>
      </c>
      <c r="B2403" s="8">
        <v>31</v>
      </c>
      <c r="C2403" s="9" t="s">
        <v>292</v>
      </c>
      <c r="D2403" s="9" t="s">
        <v>265</v>
      </c>
      <c r="E2403" s="9" t="s">
        <v>148</v>
      </c>
      <c r="F2403" s="9">
        <v>1600</v>
      </c>
      <c r="G2403" s="9" t="s">
        <v>118</v>
      </c>
      <c r="H2403" s="9">
        <v>257.87</v>
      </c>
      <c r="I2403" s="9">
        <v>0.12</v>
      </c>
      <c r="J2403" s="2">
        <v>289</v>
      </c>
      <c r="K2403" s="9">
        <v>0</v>
      </c>
      <c r="L2403" s="2">
        <v>289</v>
      </c>
      <c r="M2403" s="9" t="s">
        <v>146</v>
      </c>
      <c r="N2403" s="4"/>
      <c r="O2403" s="5"/>
      <c r="P2403" s="10"/>
      <c r="Q2403" s="19" t="str">
        <f>VLOOKUP(tblProductos[[#This Row],[id_proveedor]],tblProveedores[],2,0)</f>
        <v>JANETH</v>
      </c>
    </row>
    <row r="2404" spans="1:17" x14ac:dyDescent="0.25">
      <c r="A2404" s="8">
        <v>2386</v>
      </c>
      <c r="B2404" s="8">
        <v>31</v>
      </c>
      <c r="C2404" s="9" t="s">
        <v>292</v>
      </c>
      <c r="D2404" s="9" t="s">
        <v>259</v>
      </c>
      <c r="E2404" s="9" t="s">
        <v>148</v>
      </c>
      <c r="F2404" s="9">
        <v>1600</v>
      </c>
      <c r="G2404" s="9" t="s">
        <v>118</v>
      </c>
      <c r="H2404" s="9">
        <v>257.87</v>
      </c>
      <c r="I2404" s="9">
        <v>0.12</v>
      </c>
      <c r="J2404" s="2">
        <v>289</v>
      </c>
      <c r="K2404" s="9">
        <v>0</v>
      </c>
      <c r="L2404" s="2">
        <v>289</v>
      </c>
      <c r="M2404" s="9" t="s">
        <v>146</v>
      </c>
      <c r="N2404" s="4"/>
      <c r="O2404" s="5"/>
      <c r="P2404" s="10"/>
      <c r="Q2404" s="19" t="str">
        <f>VLOOKUP(tblProductos[[#This Row],[id_proveedor]],tblProveedores[],2,0)</f>
        <v>JANETH</v>
      </c>
    </row>
    <row r="2405" spans="1:17" x14ac:dyDescent="0.25">
      <c r="A2405" s="8">
        <v>2387</v>
      </c>
      <c r="B2405" s="8">
        <v>31</v>
      </c>
      <c r="C2405" s="9" t="s">
        <v>292</v>
      </c>
      <c r="D2405" s="9" t="s">
        <v>271</v>
      </c>
      <c r="E2405" s="9" t="s">
        <v>148</v>
      </c>
      <c r="F2405" s="9">
        <v>1600</v>
      </c>
      <c r="G2405" s="9" t="s">
        <v>118</v>
      </c>
      <c r="H2405" s="9">
        <v>257.87</v>
      </c>
      <c r="I2405" s="9">
        <v>0.12</v>
      </c>
      <c r="J2405" s="2">
        <v>289</v>
      </c>
      <c r="K2405" s="9">
        <v>0</v>
      </c>
      <c r="L2405" s="2">
        <v>289</v>
      </c>
      <c r="M2405" s="9" t="s">
        <v>146</v>
      </c>
      <c r="N2405" s="4"/>
      <c r="O2405" s="5"/>
      <c r="P2405" s="10"/>
      <c r="Q2405" s="19" t="str">
        <f>VLOOKUP(tblProductos[[#This Row],[id_proveedor]],tblProveedores[],2,0)</f>
        <v>JANETH</v>
      </c>
    </row>
    <row r="2406" spans="1:17" x14ac:dyDescent="0.25">
      <c r="A2406" s="8">
        <v>2388</v>
      </c>
      <c r="B2406" s="8">
        <v>31</v>
      </c>
      <c r="C2406" s="9" t="s">
        <v>292</v>
      </c>
      <c r="D2406" s="9" t="s">
        <v>267</v>
      </c>
      <c r="E2406" s="9" t="s">
        <v>148</v>
      </c>
      <c r="F2406" s="9">
        <v>1600</v>
      </c>
      <c r="G2406" s="9" t="s">
        <v>118</v>
      </c>
      <c r="H2406" s="9">
        <v>257.87</v>
      </c>
      <c r="I2406" s="9">
        <v>0.12</v>
      </c>
      <c r="J2406" s="2">
        <v>289</v>
      </c>
      <c r="K2406" s="9">
        <v>0</v>
      </c>
      <c r="L2406" s="2">
        <v>289</v>
      </c>
      <c r="M2406" s="9" t="s">
        <v>146</v>
      </c>
      <c r="N2406" s="4"/>
      <c r="O2406" s="5"/>
      <c r="P2406" s="10"/>
      <c r="Q2406" s="19" t="str">
        <f>VLOOKUP(tblProductos[[#This Row],[id_proveedor]],tblProveedores[],2,0)</f>
        <v>JANETH</v>
      </c>
    </row>
    <row r="2407" spans="1:17" x14ac:dyDescent="0.25">
      <c r="A2407" s="8">
        <v>2389</v>
      </c>
      <c r="B2407" s="8">
        <v>31</v>
      </c>
      <c r="C2407" s="9" t="s">
        <v>292</v>
      </c>
      <c r="D2407" s="9" t="s">
        <v>396</v>
      </c>
      <c r="E2407" s="9" t="s">
        <v>148</v>
      </c>
      <c r="F2407" s="9">
        <v>1600</v>
      </c>
      <c r="G2407" s="9" t="s">
        <v>118</v>
      </c>
      <c r="H2407" s="9">
        <v>257.87</v>
      </c>
      <c r="I2407" s="9">
        <v>0.12</v>
      </c>
      <c r="J2407" s="2">
        <v>289</v>
      </c>
      <c r="K2407" s="9">
        <v>0</v>
      </c>
      <c r="L2407" s="2">
        <v>289</v>
      </c>
      <c r="M2407" s="9" t="s">
        <v>146</v>
      </c>
      <c r="N2407" s="4"/>
      <c r="O2407" s="5"/>
      <c r="P2407" s="10"/>
      <c r="Q2407" s="19" t="str">
        <f>VLOOKUP(tblProductos[[#This Row],[id_proveedor]],tblProveedores[],2,0)</f>
        <v>JANETH</v>
      </c>
    </row>
    <row r="2408" spans="1:17" x14ac:dyDescent="0.25">
      <c r="A2408" s="8">
        <v>2390</v>
      </c>
      <c r="B2408" s="8">
        <v>31</v>
      </c>
      <c r="C2408" s="9" t="s">
        <v>292</v>
      </c>
      <c r="D2408" s="9" t="s">
        <v>272</v>
      </c>
      <c r="E2408" s="9" t="s">
        <v>148</v>
      </c>
      <c r="F2408" s="9">
        <v>1600</v>
      </c>
      <c r="G2408" s="9" t="s">
        <v>118</v>
      </c>
      <c r="H2408" s="9">
        <v>257.87</v>
      </c>
      <c r="I2408" s="9">
        <v>0.12</v>
      </c>
      <c r="J2408" s="2">
        <v>289</v>
      </c>
      <c r="K2408" s="9">
        <v>0</v>
      </c>
      <c r="L2408" s="2">
        <v>289</v>
      </c>
      <c r="M2408" s="9" t="s">
        <v>146</v>
      </c>
      <c r="N2408" s="4"/>
      <c r="O2408" s="5"/>
      <c r="P2408" s="10"/>
      <c r="Q2408" s="19" t="str">
        <f>VLOOKUP(tblProductos[[#This Row],[id_proveedor]],tblProveedores[],2,0)</f>
        <v>JANETH</v>
      </c>
    </row>
    <row r="2409" spans="1:17" x14ac:dyDescent="0.25">
      <c r="A2409" s="8">
        <v>2391</v>
      </c>
      <c r="B2409" s="8">
        <v>31</v>
      </c>
      <c r="C2409" s="9" t="s">
        <v>292</v>
      </c>
      <c r="D2409" s="9" t="s">
        <v>266</v>
      </c>
      <c r="E2409" s="9" t="s">
        <v>148</v>
      </c>
      <c r="F2409" s="9">
        <v>1600</v>
      </c>
      <c r="G2409" s="9" t="s">
        <v>118</v>
      </c>
      <c r="H2409" s="9">
        <v>257.87</v>
      </c>
      <c r="I2409" s="9">
        <v>0.12</v>
      </c>
      <c r="J2409" s="2">
        <v>289</v>
      </c>
      <c r="K2409" s="9">
        <v>0</v>
      </c>
      <c r="L2409" s="2">
        <v>289</v>
      </c>
      <c r="M2409" s="9" t="s">
        <v>146</v>
      </c>
      <c r="N2409" s="4"/>
      <c r="O2409" s="5"/>
      <c r="P2409" s="10"/>
      <c r="Q2409" s="19" t="str">
        <f>VLOOKUP(tblProductos[[#This Row],[id_proveedor]],tblProveedores[],2,0)</f>
        <v>JANETH</v>
      </c>
    </row>
    <row r="2410" spans="1:17" x14ac:dyDescent="0.25">
      <c r="A2410" s="8">
        <v>2392</v>
      </c>
      <c r="B2410" s="8">
        <v>31</v>
      </c>
      <c r="C2410" s="9" t="s">
        <v>292</v>
      </c>
      <c r="D2410" s="9" t="s">
        <v>305</v>
      </c>
      <c r="E2410" s="9" t="s">
        <v>148</v>
      </c>
      <c r="F2410" s="9">
        <v>1600</v>
      </c>
      <c r="G2410" s="9" t="s">
        <v>118</v>
      </c>
      <c r="H2410" s="9">
        <v>257.87</v>
      </c>
      <c r="I2410" s="9">
        <v>0.12</v>
      </c>
      <c r="J2410" s="2">
        <v>289</v>
      </c>
      <c r="K2410" s="9">
        <v>0</v>
      </c>
      <c r="L2410" s="2">
        <v>289</v>
      </c>
      <c r="M2410" s="9" t="s">
        <v>146</v>
      </c>
      <c r="N2410" s="4"/>
      <c r="O2410" s="5"/>
      <c r="P2410" s="10"/>
      <c r="Q2410" s="19" t="str">
        <f>VLOOKUP(tblProductos[[#This Row],[id_proveedor]],tblProveedores[],2,0)</f>
        <v>JANETH</v>
      </c>
    </row>
    <row r="2411" spans="1:17" x14ac:dyDescent="0.25">
      <c r="A2411" s="8">
        <v>2393</v>
      </c>
      <c r="B2411" s="8">
        <v>31</v>
      </c>
      <c r="C2411" s="9" t="s">
        <v>292</v>
      </c>
      <c r="D2411" s="9" t="s">
        <v>369</v>
      </c>
      <c r="E2411" s="9" t="s">
        <v>148</v>
      </c>
      <c r="F2411" s="9">
        <v>1600</v>
      </c>
      <c r="G2411" s="9" t="s">
        <v>118</v>
      </c>
      <c r="H2411" s="9">
        <v>257.87</v>
      </c>
      <c r="I2411" s="9">
        <v>0.12</v>
      </c>
      <c r="J2411" s="2">
        <v>289</v>
      </c>
      <c r="K2411" s="9">
        <v>0</v>
      </c>
      <c r="L2411" s="2">
        <v>289</v>
      </c>
      <c r="M2411" s="9" t="s">
        <v>146</v>
      </c>
      <c r="N2411" s="4"/>
      <c r="O2411" s="5"/>
      <c r="P2411" s="10"/>
      <c r="Q2411" s="19" t="str">
        <f>VLOOKUP(tblProductos[[#This Row],[id_proveedor]],tblProveedores[],2,0)</f>
        <v>JANETH</v>
      </c>
    </row>
    <row r="2412" spans="1:17" x14ac:dyDescent="0.25">
      <c r="A2412" s="8">
        <v>2394</v>
      </c>
      <c r="B2412" s="8">
        <v>31</v>
      </c>
      <c r="C2412" s="9" t="s">
        <v>292</v>
      </c>
      <c r="D2412" s="9" t="s">
        <v>273</v>
      </c>
      <c r="E2412" s="9" t="s">
        <v>148</v>
      </c>
      <c r="F2412" s="9">
        <v>1600</v>
      </c>
      <c r="G2412" s="9" t="s">
        <v>118</v>
      </c>
      <c r="H2412" s="9">
        <v>257.87</v>
      </c>
      <c r="I2412" s="9">
        <v>0.12</v>
      </c>
      <c r="J2412" s="2">
        <v>289</v>
      </c>
      <c r="K2412" s="9">
        <v>0</v>
      </c>
      <c r="L2412" s="2">
        <v>289</v>
      </c>
      <c r="M2412" s="9" t="s">
        <v>146</v>
      </c>
      <c r="N2412" s="4"/>
      <c r="O2412" s="5"/>
      <c r="P2412" s="10"/>
      <c r="Q2412" s="19" t="str">
        <f>VLOOKUP(tblProductos[[#This Row],[id_proveedor]],tblProveedores[],2,0)</f>
        <v>JANETH</v>
      </c>
    </row>
    <row r="2413" spans="1:17" x14ac:dyDescent="0.25">
      <c r="A2413" s="8">
        <v>2395</v>
      </c>
      <c r="B2413" s="8">
        <v>31</v>
      </c>
      <c r="C2413" s="9" t="s">
        <v>292</v>
      </c>
      <c r="D2413" s="9" t="s">
        <v>170</v>
      </c>
      <c r="E2413" s="9" t="s">
        <v>148</v>
      </c>
      <c r="F2413" s="9">
        <v>1600</v>
      </c>
      <c r="G2413" s="9" t="s">
        <v>118</v>
      </c>
      <c r="H2413" s="9">
        <v>257.87</v>
      </c>
      <c r="I2413" s="9">
        <v>0.12</v>
      </c>
      <c r="J2413" s="2">
        <v>289</v>
      </c>
      <c r="K2413" s="9">
        <v>0</v>
      </c>
      <c r="L2413" s="2">
        <v>289</v>
      </c>
      <c r="M2413" s="9" t="s">
        <v>146</v>
      </c>
      <c r="N2413" s="4"/>
      <c r="O2413" s="5"/>
      <c r="P2413" s="10"/>
      <c r="Q2413" s="19" t="str">
        <f>VLOOKUP(tblProductos[[#This Row],[id_proveedor]],tblProveedores[],2,0)</f>
        <v>JANETH</v>
      </c>
    </row>
    <row r="2414" spans="1:17" x14ac:dyDescent="0.25">
      <c r="A2414" s="8">
        <v>2396</v>
      </c>
      <c r="B2414" s="8">
        <v>31</v>
      </c>
      <c r="C2414" s="9" t="s">
        <v>292</v>
      </c>
      <c r="D2414" s="9" t="s">
        <v>274</v>
      </c>
      <c r="E2414" s="9" t="s">
        <v>148</v>
      </c>
      <c r="F2414" s="9">
        <v>1600</v>
      </c>
      <c r="G2414" s="9" t="s">
        <v>118</v>
      </c>
      <c r="H2414" s="9">
        <v>257.87</v>
      </c>
      <c r="I2414" s="9">
        <v>0.12</v>
      </c>
      <c r="J2414" s="2">
        <v>289</v>
      </c>
      <c r="K2414" s="9">
        <v>0</v>
      </c>
      <c r="L2414" s="2">
        <v>289</v>
      </c>
      <c r="M2414" s="9" t="s">
        <v>146</v>
      </c>
      <c r="N2414" s="4"/>
      <c r="O2414" s="5"/>
      <c r="P2414" s="10"/>
      <c r="Q2414" s="19" t="str">
        <f>VLOOKUP(tblProductos[[#This Row],[id_proveedor]],tblProveedores[],2,0)</f>
        <v>JANETH</v>
      </c>
    </row>
    <row r="2415" spans="1:17" x14ac:dyDescent="0.25">
      <c r="A2415" s="1">
        <v>2397</v>
      </c>
      <c r="B2415" s="1">
        <v>31</v>
      </c>
      <c r="C2415" s="2" t="s">
        <v>292</v>
      </c>
      <c r="D2415" s="2" t="s">
        <v>280</v>
      </c>
      <c r="E2415" s="2" t="s">
        <v>148</v>
      </c>
      <c r="F2415" s="2">
        <v>1600</v>
      </c>
      <c r="G2415" s="2" t="s">
        <v>118</v>
      </c>
      <c r="H2415" s="3">
        <v>257.87</v>
      </c>
      <c r="I2415" s="2">
        <v>0.12</v>
      </c>
      <c r="J2415" s="2">
        <v>289</v>
      </c>
      <c r="K2415" s="2">
        <v>0</v>
      </c>
      <c r="L2415" s="2">
        <v>289</v>
      </c>
      <c r="M2415" s="2" t="s">
        <v>146</v>
      </c>
      <c r="N2415" s="4"/>
      <c r="O2415" s="5"/>
      <c r="P2415" s="4"/>
      <c r="Q2415" s="19" t="str">
        <f>VLOOKUP(tblProductos[[#This Row],[id_proveedor]],tblProveedores[],2,0)</f>
        <v>JANETH</v>
      </c>
    </row>
    <row r="2416" spans="1:17" x14ac:dyDescent="0.25">
      <c r="A2416" s="1">
        <v>2398</v>
      </c>
      <c r="B2416" s="1">
        <v>31</v>
      </c>
      <c r="C2416" s="2" t="s">
        <v>292</v>
      </c>
      <c r="D2416" s="2" t="s">
        <v>275</v>
      </c>
      <c r="E2416" s="2" t="s">
        <v>148</v>
      </c>
      <c r="F2416" s="2">
        <v>1600</v>
      </c>
      <c r="G2416" s="2" t="s">
        <v>118</v>
      </c>
      <c r="H2416" s="3">
        <v>257.87</v>
      </c>
      <c r="I2416" s="2">
        <v>0.12</v>
      </c>
      <c r="J2416" s="2">
        <v>289</v>
      </c>
      <c r="K2416" s="2">
        <v>0</v>
      </c>
      <c r="L2416" s="2">
        <v>289</v>
      </c>
      <c r="M2416" s="2" t="s">
        <v>146</v>
      </c>
      <c r="N2416" s="4"/>
      <c r="O2416" s="5"/>
      <c r="P2416" s="4"/>
      <c r="Q2416" s="19" t="str">
        <f>VLOOKUP(tblProductos[[#This Row],[id_proveedor]],tblProveedores[],2,0)</f>
        <v>JANETH</v>
      </c>
    </row>
    <row r="2417" spans="1:17" x14ac:dyDescent="0.25">
      <c r="A2417" s="1">
        <v>2399</v>
      </c>
      <c r="B2417" s="1">
        <v>31</v>
      </c>
      <c r="C2417" s="2" t="s">
        <v>292</v>
      </c>
      <c r="D2417" s="2" t="s">
        <v>285</v>
      </c>
      <c r="E2417" s="2" t="s">
        <v>148</v>
      </c>
      <c r="F2417" s="2">
        <v>1600</v>
      </c>
      <c r="G2417" s="2" t="s">
        <v>118</v>
      </c>
      <c r="H2417" s="3">
        <v>257.87</v>
      </c>
      <c r="I2417" s="2">
        <v>0.12</v>
      </c>
      <c r="J2417" s="2">
        <v>289</v>
      </c>
      <c r="K2417" s="2">
        <v>0</v>
      </c>
      <c r="L2417" s="2">
        <v>289</v>
      </c>
      <c r="M2417" s="2" t="s">
        <v>146</v>
      </c>
      <c r="N2417" s="4"/>
      <c r="O2417" s="5"/>
      <c r="P2417" s="4"/>
      <c r="Q2417" s="19" t="str">
        <f>VLOOKUP(tblProductos[[#This Row],[id_proveedor]],tblProveedores[],2,0)</f>
        <v>JANETH</v>
      </c>
    </row>
    <row r="2418" spans="1:17" x14ac:dyDescent="0.25">
      <c r="A2418" s="1">
        <v>2400</v>
      </c>
      <c r="B2418" s="1">
        <v>31</v>
      </c>
      <c r="C2418" s="2" t="s">
        <v>292</v>
      </c>
      <c r="D2418" s="2" t="s">
        <v>286</v>
      </c>
      <c r="E2418" s="2" t="s">
        <v>148</v>
      </c>
      <c r="F2418" s="2">
        <v>1600</v>
      </c>
      <c r="G2418" s="2" t="s">
        <v>118</v>
      </c>
      <c r="H2418" s="3">
        <v>257.87</v>
      </c>
      <c r="I2418" s="2">
        <v>0.12</v>
      </c>
      <c r="J2418" s="2">
        <v>289</v>
      </c>
      <c r="K2418" s="2">
        <v>0</v>
      </c>
      <c r="L2418" s="2">
        <v>289</v>
      </c>
      <c r="M2418" s="2" t="s">
        <v>146</v>
      </c>
      <c r="N2418" s="4"/>
      <c r="O2418" s="5"/>
      <c r="P2418" s="4"/>
      <c r="Q2418" s="19" t="str">
        <f>VLOOKUP(tblProductos[[#This Row],[id_proveedor]],tblProveedores[],2,0)</f>
        <v>JANETH</v>
      </c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4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4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4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4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4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4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4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4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4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4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4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4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4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4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4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4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4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4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2436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146</v>
      </c>
      <c r="N2437" s="4"/>
      <c r="O2437" s="5"/>
      <c r="P2437" s="10"/>
      <c r="Q2437" s="19" t="str">
        <f>VLOOKUP(tblProductos[[#This Row],[id_proveedor]],tblProveedores[],2,0)</f>
        <v>JANETH</v>
      </c>
    </row>
    <row r="2438" spans="1:17" x14ac:dyDescent="0.25">
      <c r="A2438" s="8">
        <v>2437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146</v>
      </c>
      <c r="N2438" s="4"/>
      <c r="O2438" s="5"/>
      <c r="P2438" s="10"/>
      <c r="Q2438" s="19" t="str">
        <f>VLOOKUP(tblProductos[[#This Row],[id_proveedor]],tblProveedores[],2,0)</f>
        <v>JANETH</v>
      </c>
    </row>
    <row r="2439" spans="1:17" x14ac:dyDescent="0.25">
      <c r="A2439" s="1">
        <v>2438</v>
      </c>
      <c r="B2439" s="1">
        <v>31</v>
      </c>
      <c r="C2439" s="2" t="s">
        <v>372</v>
      </c>
      <c r="D2439" s="2" t="s">
        <v>376</v>
      </c>
      <c r="E2439" s="2" t="s">
        <v>148</v>
      </c>
      <c r="F2439" s="2">
        <v>1000</v>
      </c>
      <c r="G2439" s="2" t="s">
        <v>118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146</v>
      </c>
      <c r="N2439" s="4"/>
      <c r="O2439" s="5"/>
      <c r="P2439" s="4"/>
      <c r="Q2439" s="19" t="str">
        <f>VLOOKUP(tblProductos[[#This Row],[id_proveedor]],tblProveedores[],2,0)</f>
        <v>JANETH</v>
      </c>
    </row>
    <row r="2440" spans="1:17" x14ac:dyDescent="0.25">
      <c r="A2440" s="8">
        <v>2439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146</v>
      </c>
      <c r="N2440" s="4"/>
      <c r="O2440" s="5"/>
      <c r="P2440" s="10"/>
      <c r="Q2440" s="19" t="str">
        <f>VLOOKUP(tblProductos[[#This Row],[id_proveedor]],tblProveedores[],2,0)</f>
        <v>JANETH</v>
      </c>
    </row>
    <row r="2441" spans="1:17" x14ac:dyDescent="0.25">
      <c r="A2441" s="8">
        <v>2440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146</v>
      </c>
      <c r="N2441" s="4"/>
      <c r="O2441" s="5"/>
      <c r="P2441" s="10"/>
      <c r="Q2441" s="19" t="str">
        <f>VLOOKUP(tblProductos[[#This Row],[id_proveedor]],tblProveedores[],2,0)</f>
        <v>JANETH</v>
      </c>
    </row>
    <row r="2442" spans="1:17" x14ac:dyDescent="0.25">
      <c r="A2442" s="8">
        <v>2441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146</v>
      </c>
      <c r="N2442" s="4"/>
      <c r="O2442" s="5"/>
      <c r="P2442" s="10"/>
      <c r="Q2442" s="19" t="str">
        <f>VLOOKUP(tblProductos[[#This Row],[id_proveedor]],tblProveedores[],2,0)</f>
        <v>JANETH</v>
      </c>
    </row>
    <row r="2443" spans="1:17" x14ac:dyDescent="0.25">
      <c r="A2443" s="8">
        <v>2442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146</v>
      </c>
      <c r="N2443" s="4"/>
      <c r="O2443" s="5"/>
      <c r="P2443" s="10"/>
      <c r="Q2443" s="19" t="str">
        <f>VLOOKUP(tblProductos[[#This Row],[id_proveedor]],tblProveedores[],2,0)</f>
        <v>JANETH</v>
      </c>
    </row>
    <row r="2444" spans="1:17" x14ac:dyDescent="0.25">
      <c r="A2444" s="8">
        <v>2443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146</v>
      </c>
      <c r="N2444" s="4"/>
      <c r="O2444" s="5"/>
      <c r="P2444" s="10"/>
      <c r="Q2444" s="19" t="str">
        <f>VLOOKUP(tblProductos[[#This Row],[id_proveedor]],tblProveedores[],2,0)</f>
        <v>JANETH</v>
      </c>
    </row>
    <row r="2445" spans="1:17" x14ac:dyDescent="0.25">
      <c r="A2445" s="8">
        <v>2444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146</v>
      </c>
      <c r="N2445" s="4"/>
      <c r="O2445" s="5"/>
      <c r="P2445" s="10"/>
      <c r="Q2445" s="19" t="str">
        <f>VLOOKUP(tblProductos[[#This Row],[id_proveedor]],tblProveedores[],2,0)</f>
        <v>JANETH</v>
      </c>
    </row>
    <row r="2446" spans="1:17" x14ac:dyDescent="0.25">
      <c r="A2446" s="8">
        <v>2445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146</v>
      </c>
      <c r="N2446" s="4"/>
      <c r="O2446" s="5"/>
      <c r="P2446" s="10"/>
      <c r="Q2446" s="19" t="str">
        <f>VLOOKUP(tblProductos[[#This Row],[id_proveedor]],tblProveedores[],2,0)</f>
        <v>JANETH</v>
      </c>
    </row>
    <row r="2447" spans="1:17" x14ac:dyDescent="0.25">
      <c r="A2447" s="1">
        <v>2446</v>
      </c>
      <c r="B2447" s="1">
        <v>31</v>
      </c>
      <c r="C2447" s="2" t="s">
        <v>372</v>
      </c>
      <c r="D2447" s="2" t="s">
        <v>260</v>
      </c>
      <c r="E2447" s="2" t="s">
        <v>148</v>
      </c>
      <c r="F2447" s="2">
        <v>1000</v>
      </c>
      <c r="G2447" s="2" t="s">
        <v>118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146</v>
      </c>
      <c r="N2447" s="4"/>
      <c r="O2447" s="5"/>
      <c r="P2447" s="4"/>
      <c r="Q2447" s="19" t="str">
        <f>VLOOKUP(tblProductos[[#This Row],[id_proveedor]],tblProveedores[],2,0)</f>
        <v>JANETH</v>
      </c>
    </row>
    <row r="2448" spans="1:17" x14ac:dyDescent="0.25">
      <c r="A2448" s="1">
        <v>2447</v>
      </c>
      <c r="B2448" s="1">
        <v>31</v>
      </c>
      <c r="C2448" s="2" t="s">
        <v>372</v>
      </c>
      <c r="D2448" s="2" t="s">
        <v>263</v>
      </c>
      <c r="E2448" s="2" t="s">
        <v>148</v>
      </c>
      <c r="F2448" s="2">
        <v>1000</v>
      </c>
      <c r="G2448" s="2" t="s">
        <v>118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146</v>
      </c>
      <c r="N2448" s="4"/>
      <c r="O2448" s="5"/>
      <c r="P2448" s="4"/>
      <c r="Q2448" s="19" t="str">
        <f>VLOOKUP(tblProductos[[#This Row],[id_proveedor]],tblProveedores[],2,0)</f>
        <v>JANETH</v>
      </c>
    </row>
    <row r="2449" spans="1:17" x14ac:dyDescent="0.25">
      <c r="A2449" s="8">
        <v>2448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146</v>
      </c>
      <c r="N2449" s="4"/>
      <c r="O2449" s="5"/>
      <c r="P2449" s="10"/>
      <c r="Q2449" s="19" t="str">
        <f>VLOOKUP(tblProductos[[#This Row],[id_proveedor]],tblProveedores[],2,0)</f>
        <v>JANETH</v>
      </c>
    </row>
    <row r="2450" spans="1:17" x14ac:dyDescent="0.25">
      <c r="A2450" s="8">
        <v>2449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146</v>
      </c>
      <c r="N2450" s="4"/>
      <c r="O2450" s="5"/>
      <c r="P2450" s="10"/>
      <c r="Q2450" s="19" t="str">
        <f>VLOOKUP(tblProductos[[#This Row],[id_proveedor]],tblProveedores[],2,0)</f>
        <v>JANETH</v>
      </c>
    </row>
    <row r="2451" spans="1:17" x14ac:dyDescent="0.25">
      <c r="A2451" s="8">
        <v>2450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146</v>
      </c>
      <c r="N2451" s="4"/>
      <c r="O2451" s="5"/>
      <c r="P2451" s="10"/>
      <c r="Q2451" s="19" t="str">
        <f>VLOOKUP(tblProductos[[#This Row],[id_proveedor]],tblProveedores[],2,0)</f>
        <v>JANETH</v>
      </c>
    </row>
    <row r="2452" spans="1:17" x14ac:dyDescent="0.25">
      <c r="A2452" s="8">
        <v>2451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146</v>
      </c>
      <c r="N2452" s="4"/>
      <c r="O2452" s="5"/>
      <c r="P2452" s="10"/>
      <c r="Q2452" s="19" t="str">
        <f>VLOOKUP(tblProductos[[#This Row],[id_proveedor]],tblProveedores[],2,0)</f>
        <v>JANETH</v>
      </c>
    </row>
    <row r="2453" spans="1:17" x14ac:dyDescent="0.25">
      <c r="A2453" s="8">
        <v>2452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146</v>
      </c>
      <c r="N2453" s="4"/>
      <c r="O2453" s="5"/>
      <c r="P2453" s="10"/>
      <c r="Q2453" s="19" t="str">
        <f>VLOOKUP(tblProductos[[#This Row],[id_proveedor]],tblProveedores[],2,0)</f>
        <v>JANETH</v>
      </c>
    </row>
    <row r="2454" spans="1:17" x14ac:dyDescent="0.25">
      <c r="A2454" s="8">
        <v>2453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146</v>
      </c>
      <c r="N2454" s="4"/>
      <c r="O2454" s="5"/>
      <c r="P2454" s="10"/>
      <c r="Q2454" s="19" t="str">
        <f>VLOOKUP(tblProductos[[#This Row],[id_proveedor]],tblProveedores[],2,0)</f>
        <v>JANETH</v>
      </c>
    </row>
    <row r="2455" spans="1:17" x14ac:dyDescent="0.25">
      <c r="A2455" s="8">
        <v>2454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146</v>
      </c>
      <c r="N2455" s="4"/>
      <c r="O2455" s="5"/>
      <c r="P2455" s="10"/>
      <c r="Q2455" s="19" t="str">
        <f>VLOOKUP(tblProductos[[#This Row],[id_proveedor]],tblProveedores[],2,0)</f>
        <v>JANETH</v>
      </c>
    </row>
    <row r="2456" spans="1:17" x14ac:dyDescent="0.25">
      <c r="A2456" s="8">
        <v>2455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146</v>
      </c>
      <c r="N2456" s="4"/>
      <c r="O2456" s="5"/>
      <c r="P2456" s="10"/>
      <c r="Q2456" s="19" t="str">
        <f>VLOOKUP(tblProductos[[#This Row],[id_proveedor]],tblProveedores[],2,0)</f>
        <v>JANETH</v>
      </c>
    </row>
    <row r="2457" spans="1:17" x14ac:dyDescent="0.25">
      <c r="A2457" s="8">
        <v>2456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146</v>
      </c>
      <c r="N2457" s="4"/>
      <c r="O2457" s="5"/>
      <c r="P2457" s="10"/>
      <c r="Q2457" s="19" t="str">
        <f>VLOOKUP(tblProductos[[#This Row],[id_proveedor]],tblProveedores[],2,0)</f>
        <v>JANETH</v>
      </c>
    </row>
    <row r="2458" spans="1:17" x14ac:dyDescent="0.25">
      <c r="A2458" s="8">
        <v>2457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146</v>
      </c>
      <c r="N2458" s="4"/>
      <c r="O2458" s="5"/>
      <c r="P2458" s="10"/>
      <c r="Q2458" s="19" t="str">
        <f>VLOOKUP(tblProductos[[#This Row],[id_proveedor]],tblProveedores[],2,0)</f>
        <v>JANETH</v>
      </c>
    </row>
    <row r="2459" spans="1:17" x14ac:dyDescent="0.25">
      <c r="A2459" s="1">
        <v>2458</v>
      </c>
      <c r="B2459" s="1">
        <v>31</v>
      </c>
      <c r="C2459" s="2" t="s">
        <v>372</v>
      </c>
      <c r="D2459" s="2" t="s">
        <v>271</v>
      </c>
      <c r="E2459" s="2" t="s">
        <v>148</v>
      </c>
      <c r="F2459" s="2">
        <v>1000</v>
      </c>
      <c r="G2459" s="2" t="s">
        <v>118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146</v>
      </c>
      <c r="N2459" s="4"/>
      <c r="O2459" s="5"/>
      <c r="P2459" s="4"/>
      <c r="Q2459" s="19" t="str">
        <f>VLOOKUP(tblProductos[[#This Row],[id_proveedor]],tblProveedores[],2,0)</f>
        <v>JANETH</v>
      </c>
    </row>
    <row r="2460" spans="1:17" x14ac:dyDescent="0.25">
      <c r="A2460" s="8">
        <v>2459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146</v>
      </c>
      <c r="N2460" s="4"/>
      <c r="O2460" s="5"/>
      <c r="P2460" s="10"/>
      <c r="Q2460" s="19" t="str">
        <f>VLOOKUP(tblProductos[[#This Row],[id_proveedor]],tblProveedores[],2,0)</f>
        <v>JANETH</v>
      </c>
    </row>
    <row r="2461" spans="1:17" x14ac:dyDescent="0.25">
      <c r="A2461" s="8">
        <v>2460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146</v>
      </c>
      <c r="N2461" s="4"/>
      <c r="O2461" s="5"/>
      <c r="P2461" s="10"/>
      <c r="Q2461" s="19" t="str">
        <f>VLOOKUP(tblProductos[[#This Row],[id_proveedor]],tblProveedores[],2,0)</f>
        <v>JANETH</v>
      </c>
    </row>
    <row r="2462" spans="1:17" x14ac:dyDescent="0.25">
      <c r="A2462" s="8">
        <v>2461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146</v>
      </c>
      <c r="N2462" s="4"/>
      <c r="O2462" s="5"/>
      <c r="P2462" s="10"/>
      <c r="Q2462" s="19" t="str">
        <f>VLOOKUP(tblProductos[[#This Row],[id_proveedor]],tblProveedores[],2,0)</f>
        <v>JANETH</v>
      </c>
    </row>
    <row r="2463" spans="1:17" x14ac:dyDescent="0.25">
      <c r="A2463" s="1">
        <v>2462</v>
      </c>
      <c r="B2463" s="1">
        <v>31</v>
      </c>
      <c r="C2463" s="2" t="s">
        <v>372</v>
      </c>
      <c r="D2463" s="2" t="s">
        <v>266</v>
      </c>
      <c r="E2463" s="2" t="s">
        <v>148</v>
      </c>
      <c r="F2463" s="2">
        <v>1000</v>
      </c>
      <c r="G2463" s="2" t="s">
        <v>118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146</v>
      </c>
      <c r="N2463" s="4"/>
      <c r="O2463" s="5"/>
      <c r="P2463" s="4"/>
      <c r="Q2463" s="19" t="str">
        <f>VLOOKUP(tblProductos[[#This Row],[id_proveedor]],tblProveedores[],2,0)</f>
        <v>JANETH</v>
      </c>
    </row>
    <row r="2464" spans="1:17" x14ac:dyDescent="0.25">
      <c r="A2464" s="1">
        <v>2463</v>
      </c>
      <c r="B2464" s="1">
        <v>31</v>
      </c>
      <c r="C2464" s="2" t="s">
        <v>372</v>
      </c>
      <c r="D2464" s="2" t="s">
        <v>305</v>
      </c>
      <c r="E2464" s="2" t="s">
        <v>148</v>
      </c>
      <c r="F2464" s="2">
        <v>1000</v>
      </c>
      <c r="G2464" s="2" t="s">
        <v>118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146</v>
      </c>
      <c r="N2464" s="4"/>
      <c r="O2464" s="5"/>
      <c r="P2464" s="4"/>
      <c r="Q2464" s="19" t="str">
        <f>VLOOKUP(tblProductos[[#This Row],[id_proveedor]],tblProveedores[],2,0)</f>
        <v>JANETH</v>
      </c>
    </row>
    <row r="2465" spans="1:17" x14ac:dyDescent="0.25">
      <c r="A2465" s="1">
        <v>2464</v>
      </c>
      <c r="B2465" s="1">
        <v>31</v>
      </c>
      <c r="C2465" s="2" t="s">
        <v>372</v>
      </c>
      <c r="D2465" s="2" t="s">
        <v>369</v>
      </c>
      <c r="E2465" s="2" t="s">
        <v>148</v>
      </c>
      <c r="F2465" s="2">
        <v>1000</v>
      </c>
      <c r="G2465" s="2" t="s">
        <v>118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146</v>
      </c>
      <c r="N2465" s="4"/>
      <c r="O2465" s="5"/>
      <c r="P2465" s="4"/>
      <c r="Q2465" s="19" t="str">
        <f>VLOOKUP(tblProductos[[#This Row],[id_proveedor]],tblProveedores[],2,0)</f>
        <v>JANETH</v>
      </c>
    </row>
    <row r="2466" spans="1:17" x14ac:dyDescent="0.25">
      <c r="A2466" s="1">
        <v>2465</v>
      </c>
      <c r="B2466" s="1">
        <v>31</v>
      </c>
      <c r="C2466" s="2" t="s">
        <v>372</v>
      </c>
      <c r="D2466" s="2" t="s">
        <v>273</v>
      </c>
      <c r="E2466" s="2" t="s">
        <v>148</v>
      </c>
      <c r="F2466" s="2">
        <v>1000</v>
      </c>
      <c r="G2466" s="2" t="s">
        <v>118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146</v>
      </c>
      <c r="N2466" s="4"/>
      <c r="O2466" s="5"/>
      <c r="P2466" s="4"/>
      <c r="Q2466" s="19" t="str">
        <f>VLOOKUP(tblProductos[[#This Row],[id_proveedor]],tblProveedores[],2,0)</f>
        <v>JANETH</v>
      </c>
    </row>
    <row r="2467" spans="1:17" x14ac:dyDescent="0.25">
      <c r="A2467" s="1">
        <v>2466</v>
      </c>
      <c r="B2467" s="1">
        <v>31</v>
      </c>
      <c r="C2467" s="2" t="s">
        <v>372</v>
      </c>
      <c r="D2467" s="2" t="s">
        <v>170</v>
      </c>
      <c r="E2467" s="2" t="s">
        <v>148</v>
      </c>
      <c r="F2467" s="2">
        <v>1000</v>
      </c>
      <c r="G2467" s="2" t="s">
        <v>118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146</v>
      </c>
      <c r="N2467" s="4"/>
      <c r="O2467" s="5"/>
      <c r="P2467" s="4"/>
      <c r="Q2467" s="19" t="str">
        <f>VLOOKUP(tblProductos[[#This Row],[id_proveedor]],tblProveedores[],2,0)</f>
        <v>JANETH</v>
      </c>
    </row>
    <row r="2468" spans="1:17" x14ac:dyDescent="0.25">
      <c r="A2468" s="1">
        <v>2467</v>
      </c>
      <c r="B2468" s="1">
        <v>31</v>
      </c>
      <c r="C2468" s="2" t="s">
        <v>372</v>
      </c>
      <c r="D2468" s="2" t="s">
        <v>274</v>
      </c>
      <c r="E2468" s="2" t="s">
        <v>148</v>
      </c>
      <c r="F2468" s="2">
        <v>1000</v>
      </c>
      <c r="G2468" s="2" t="s">
        <v>118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146</v>
      </c>
      <c r="N2468" s="4"/>
      <c r="O2468" s="5"/>
      <c r="P2468" s="4"/>
      <c r="Q2468" s="19" t="str">
        <f>VLOOKUP(tblProductos[[#This Row],[id_proveedor]],tblProveedores[],2,0)</f>
        <v>JANETH</v>
      </c>
    </row>
    <row r="2469" spans="1:17" x14ac:dyDescent="0.25">
      <c r="A2469" s="1">
        <v>2468</v>
      </c>
      <c r="B2469" s="1">
        <v>31</v>
      </c>
      <c r="C2469" s="2" t="s">
        <v>372</v>
      </c>
      <c r="D2469" s="2" t="s">
        <v>280</v>
      </c>
      <c r="E2469" s="2" t="s">
        <v>148</v>
      </c>
      <c r="F2469" s="2">
        <v>1000</v>
      </c>
      <c r="G2469" s="2" t="s">
        <v>118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146</v>
      </c>
      <c r="N2469" s="4"/>
      <c r="O2469" s="5"/>
      <c r="P2469" s="4"/>
      <c r="Q2469" s="19" t="str">
        <f>VLOOKUP(tblProductos[[#This Row],[id_proveedor]],tblProveedores[],2,0)</f>
        <v>JANETH</v>
      </c>
    </row>
    <row r="2470" spans="1:17" x14ac:dyDescent="0.25">
      <c r="A2470" s="1">
        <v>2469</v>
      </c>
      <c r="B2470" s="1">
        <v>31</v>
      </c>
      <c r="C2470" s="2" t="s">
        <v>372</v>
      </c>
      <c r="D2470" s="2" t="s">
        <v>275</v>
      </c>
      <c r="E2470" s="2" t="s">
        <v>148</v>
      </c>
      <c r="F2470" s="2">
        <v>1000</v>
      </c>
      <c r="G2470" s="2" t="s">
        <v>118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146</v>
      </c>
      <c r="N2470" s="4"/>
      <c r="O2470" s="5"/>
      <c r="P2470" s="4"/>
      <c r="Q2470" s="19" t="str">
        <f>VLOOKUP(tblProductos[[#This Row],[id_proveedor]],tblProveedores[],2,0)</f>
        <v>JANETH</v>
      </c>
    </row>
    <row r="2471" spans="1:17" x14ac:dyDescent="0.25">
      <c r="A2471" s="1">
        <v>2470</v>
      </c>
      <c r="B2471" s="1">
        <v>31</v>
      </c>
      <c r="C2471" s="2" t="s">
        <v>372</v>
      </c>
      <c r="D2471" s="2" t="s">
        <v>285</v>
      </c>
      <c r="E2471" s="2" t="s">
        <v>148</v>
      </c>
      <c r="F2471" s="2">
        <v>1000</v>
      </c>
      <c r="G2471" s="2" t="s">
        <v>118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146</v>
      </c>
      <c r="N2471" s="4"/>
      <c r="O2471" s="5"/>
      <c r="P2471" s="4"/>
      <c r="Q2471" s="19" t="str">
        <f>VLOOKUP(tblProductos[[#This Row],[id_proveedor]],tblProveedores[],2,0)</f>
        <v>JANETH</v>
      </c>
    </row>
    <row r="2472" spans="1:17" x14ac:dyDescent="0.25">
      <c r="A2472" s="1">
        <v>2471</v>
      </c>
      <c r="B2472" s="1">
        <v>31</v>
      </c>
      <c r="C2472" s="2" t="s">
        <v>372</v>
      </c>
      <c r="D2472" s="2" t="s">
        <v>286</v>
      </c>
      <c r="E2472" s="2" t="s">
        <v>148</v>
      </c>
      <c r="F2472" s="2">
        <v>1000</v>
      </c>
      <c r="G2472" s="2" t="s">
        <v>118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146</v>
      </c>
      <c r="N2472" s="4"/>
      <c r="O2472" s="5"/>
      <c r="P2472" s="4"/>
      <c r="Q2472" s="19" t="str">
        <f>VLOOKUP(tblProductos[[#This Row],[id_proveedor]],tblProveedores[],2,0)</f>
        <v>JANETH</v>
      </c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4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4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4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4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4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4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4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4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4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4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4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4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4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4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4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4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4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4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4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4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4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4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4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4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4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4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4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4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4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4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4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4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4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4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4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4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4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4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4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4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4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4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4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4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4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4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4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4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4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4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4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4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4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4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4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4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4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4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4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4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4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4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4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4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4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4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4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4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4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4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4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4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4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4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4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4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4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4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4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4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4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4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4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4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4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4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4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4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4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4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4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4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4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4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4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4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4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4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4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4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4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4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4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4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4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4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4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4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4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4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4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4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4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4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4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4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4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4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4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4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4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4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4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4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4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4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4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4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4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4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4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4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4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4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4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4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4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4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4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4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4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4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4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4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4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4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4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4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4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4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4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4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4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4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4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4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4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4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4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4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4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4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4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4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4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4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4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4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4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4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4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4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4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4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4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4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4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4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4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4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4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4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4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4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4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4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4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4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4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4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4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4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4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4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4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4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4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4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4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4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4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4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4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4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4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4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4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4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4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4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4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4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4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4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4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4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4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4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4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4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4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4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4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4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4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4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4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4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4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4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4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4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4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4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4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4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4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4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4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4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4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4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4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4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4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4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4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4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4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4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4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4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4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4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4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4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4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4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4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4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4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4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4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4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4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4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4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4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4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4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4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4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4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4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4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4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4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4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4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4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4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4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4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4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4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4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4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4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4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4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4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4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4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4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4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4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4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4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4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4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4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4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4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4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4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4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4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4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4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4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4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4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4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4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4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4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4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4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4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4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4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4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4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4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4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4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4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4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4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4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4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4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4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4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4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4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4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4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4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4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4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4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4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4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4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4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4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4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4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4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4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4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4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4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4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4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4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4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4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4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4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4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4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4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4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4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4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4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4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4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4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4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4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4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4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4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4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4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4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4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4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4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4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4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4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4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4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4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4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4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4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4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4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4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4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4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4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4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4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4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4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4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4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4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4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4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4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4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4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4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4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4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4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4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4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4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4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4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4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4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4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4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4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4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4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4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4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4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4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4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4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4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4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4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4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4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4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4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4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4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4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4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4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4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4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4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4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4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4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4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4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4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4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4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4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4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4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4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4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4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4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4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4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4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4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4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4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4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4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4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4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4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4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4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4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4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4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4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4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4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4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4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4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4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4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4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4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4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4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4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4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4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4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4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4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4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4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4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4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4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4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4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4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4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4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4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4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4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4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4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4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4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4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4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4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4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4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4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4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4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4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4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4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4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4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4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4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4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4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4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4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4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4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4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4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4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4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4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4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4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4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4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4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4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4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4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4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4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4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4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4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4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4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4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4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4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4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4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4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4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4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4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4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4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4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4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4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4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4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4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4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4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4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4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4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4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4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4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4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4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4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4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4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4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4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4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4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4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4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4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4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4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4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4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4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4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4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4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4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4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4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4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4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4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4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4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4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4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4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4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4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4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4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4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4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4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4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4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4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4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4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4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4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4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4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4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4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4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4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4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4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4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4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4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4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4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4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4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4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4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4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4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4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4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4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4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4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4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4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4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4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4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4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4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4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4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4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4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4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4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4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4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4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4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4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4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4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4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4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4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4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4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4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4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4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4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4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4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4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4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4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4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4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4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4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4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4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4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4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4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4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4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4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4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4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4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4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4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4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4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4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4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4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4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4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4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4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4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4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4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4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4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4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4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4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4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4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4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4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4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4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4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4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4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4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4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4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4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4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4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4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4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4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4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4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4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4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4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4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4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4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4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4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4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4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4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4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4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4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4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4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4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4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4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4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4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4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4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4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4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4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4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4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4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4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4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4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4"/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4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4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4"/>
      <c r="O3243" s="5"/>
      <c r="P3243" s="4"/>
      <c r="Q3243" s="19" t="str">
        <f>VLOOKUP(tblProductos[[#This Row],[id_proveedor]],tblProveedores[],2,0)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F2" sqref="F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2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3018</v>
      </c>
      <c r="C2" t="s">
        <v>3019</v>
      </c>
      <c r="D2" t="s">
        <v>594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O24" sqref="O2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tabSelected="1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3020</v>
      </c>
      <c r="C2" t="s">
        <v>3021</v>
      </c>
      <c r="D2" t="s">
        <v>3021</v>
      </c>
      <c r="E2" t="s">
        <v>3022</v>
      </c>
      <c r="F2" t="s">
        <v>3023</v>
      </c>
      <c r="G2" t="s">
        <v>3024</v>
      </c>
      <c r="H2" t="s">
        <v>2643</v>
      </c>
    </row>
    <row r="3" spans="1:8" x14ac:dyDescent="0.25">
      <c r="A3">
        <v>2</v>
      </c>
      <c r="B3" t="s">
        <v>3025</v>
      </c>
      <c r="C3" t="s">
        <v>3026</v>
      </c>
      <c r="D3" t="s">
        <v>3026</v>
      </c>
      <c r="E3" t="s">
        <v>3026</v>
      </c>
      <c r="F3" t="s">
        <v>3027</v>
      </c>
      <c r="G3" t="s">
        <v>3028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2019-01-11T14:16:47Z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