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<sst xmlns="http://schemas.openxmlformats.org/spreadsheetml/2006/main" count="34639" uniqueCount="3059">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</sst>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</cellXfs>
  <cellStyles count="2">
    <cellStyle name="Moneda [0]" xfId="1" builtinId="7"/>
    <cellStyle name="Normal" xfId="0" builtinId="0"/>
  </cellStyles>
  <dxfs count="53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9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7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5" tableBorderDxfId="44">
  <autoFilter ref="A1:G61"/>
  <tableColumns count="7">
    <tableColumn id="1" name="id" dataDxfId="43"/>
    <tableColumn id="2" name="id_proveedor" dataDxfId="42"/>
    <tableColumn id="3" name="telefono" dataDxfId="41"/>
    <tableColumn id="4" name="direccion" dataDxfId="40"/>
    <tableColumn id="7" name="correo" dataDxfId="39"/>
    <tableColumn id="5" name="barrio" dataDxfId="38"/>
    <tableColumn id="6" name="ciudad" dataDxfId="37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6">
  <autoFilter ref="A1:Q3245"/>
  <sortState ref="A2:Q3243">
    <sortCondition ref="C2:C3243"/>
    <sortCondition ref="D2:D3243"/>
  </sortState>
  <tableColumns count="17">
    <tableColumn id="1" name="id" dataDxfId="35"/>
    <tableColumn id="2" name="id_proveedor" dataDxfId="34"/>
    <tableColumn id="4" name="producto" dataDxfId="33"/>
    <tableColumn id="5" name="color" dataDxfId="32"/>
    <tableColumn id="6" name="medida" dataDxfId="31"/>
    <tableColumn id="7" name="cantidad" dataDxfId="30"/>
    <tableColumn id="8" name="presentacion" dataDxfId="29"/>
    <tableColumn id="9" name="costo" dataDxfId="28"/>
    <tableColumn id="10" name="utilidad" dataDxfId="27"/>
    <tableColumn id="11" name="venta" dataDxfId="26"/>
    <tableColumn id="12" name="iva" dataDxfId="25"/>
    <tableColumn id="13" name="venta_iva" dataDxfId="24"/>
    <tableColumn id="14" name="categoria" dataDxfId="23"/>
    <tableColumn id="15" name="disponible" dataDxfId="2"/>
    <tableColumn id="16" name="stock" dataDxfId="22"/>
    <tableColumn id="17" name="pedir" dataDxfId="21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0">
  <autoFilter ref="A1:Q3243"/>
  <tableColumns count="17">
    <tableColumn id="1" name="id" dataDxfId="19"/>
    <tableColumn id="2" name="id_proveedor" dataDxfId="18"/>
    <tableColumn id="4" name="producto" dataDxfId="17"/>
    <tableColumn id="5" name="color" dataDxfId="16"/>
    <tableColumn id="6" name="medida" dataDxfId="15"/>
    <tableColumn id="7" name="cantidad" dataDxfId="14"/>
    <tableColumn id="8" name="presentacion" dataDxfId="13"/>
    <tableColumn id="9" name="costo" dataDxfId="12"/>
    <tableColumn id="10" name="utilidad" dataDxfId="11"/>
    <tableColumn id="11" name="venta" dataDxfId="10">
      <calculatedColumnFormula>ROUNDUP(H2*(1+I2),0)</calculatedColumnFormula>
    </tableColumn>
    <tableColumn id="12" name="iva" dataDxfId="9"/>
    <tableColumn id="13" name="venta_iva" dataDxfId="8">
      <calculatedColumnFormula>ROUNDUP(J2*(1+K2),0)</calculatedColumnFormula>
    </tableColumn>
    <tableColumn id="14" name="categoria" dataDxfId="7"/>
    <tableColumn id="15" name="disponible" dataDxfId="6"/>
    <tableColumn id="16" name="stock" dataDxfId="5"/>
    <tableColumn id="17" name="pedir" dataDxfId="4"/>
    <tableColumn id="3" name="prov" dataDxfId="3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tabSelected="1" workbookViewId="0">
      <selection activeCell="K31" sqref="K31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8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8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8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8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8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8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8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8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8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8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 activeCell="P2" sqref="P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0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B2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2" width="20" bestFit="1" customWidth="1"/>
  </cols>
  <sheetData>
    <row r="1" spans="1:2" x14ac:dyDescent="0.25">
      <c r="A1" t="s">
        <v>2985</v>
      </c>
      <c r="B1" t="s">
        <v>3009</v>
      </c>
    </row>
    <row r="2" spans="1:2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8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6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5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5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5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5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5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5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5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5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5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5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5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5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5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5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5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5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5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5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5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5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5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5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5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5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5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5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5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5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5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5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5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5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5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5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5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5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5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5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5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5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5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5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5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5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5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5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5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5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5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5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5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5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5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5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5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5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5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5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5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5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5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5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5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5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5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5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5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5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5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5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5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5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5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5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5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5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5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5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5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5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5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5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5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5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5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5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5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5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5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5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5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5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5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5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5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5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5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5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5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5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5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5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5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5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5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5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5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5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5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5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5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5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5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5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2019-01-14T22:56:26Z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