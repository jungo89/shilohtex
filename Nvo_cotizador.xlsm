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Users\JK\Juank\Excel\Nvo_cotizador\Prueba_nvo\"/>
    </mc:Choice>
  </mc:AlternateContent>
  <bookViews>
    <workbookView xWindow="0" yWindow="0" windowWidth="28800" windowHeight="12300" tabRatio="870" activeTab="1"/>
  </bookViews>
  <sheets>
    <sheet name="impresion_factura" sheetId="24" r:id="rId1"/>
    <sheet name="clientes" sheetId="1" r:id="rId2"/>
    <sheet name="contacto_cliente" sheetId="20" r:id="rId3"/>
    <sheet name="proveedores" sheetId="4" r:id="rId4"/>
    <sheet name="contacto_proveedor" sheetId="22" r:id="rId5"/>
    <sheet name="productos" sheetId="2" r:id="rId6"/>
    <sheet name="detalles_pedido" sheetId="7" r:id="rId7"/>
    <sheet name="detalles_pedido_compra" sheetId="8" r:id="rId8"/>
    <sheet name="empleados" sheetId="9" r:id="rId9"/>
    <sheet name="estado_de_detalles_de_pedidos" sheetId="10" r:id="rId10"/>
    <sheet name="estado_de_impuestos_de_pedidos" sheetId="11" r:id="rId11"/>
    <sheet name="estado_de_pedidos" sheetId="12" r:id="rId12"/>
    <sheet name="estado_de_pedidos_de_compra" sheetId="13" r:id="rId13"/>
    <sheet name="factura" sheetId="14" r:id="rId14"/>
    <sheet name="pedidos" sheetId="15" r:id="rId15"/>
    <sheet name="pedidos_de_compra" sheetId="16" r:id="rId16"/>
    <sheet name="tipo_de_transacciones_de_invent" sheetId="17" r:id="rId17"/>
    <sheet name="ubicacion_producto" sheetId="23" r:id="rId18"/>
    <sheet name="transacciones_de_inventario" sheetId="18" r:id="rId19"/>
    <sheet name="transportadores" sheetId="19" r:id="rId2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1" i="20"/>
  <c r="H212" i="20"/>
  <c r="H213" i="20"/>
  <c r="H214" i="20"/>
  <c r="H215" i="20"/>
  <c r="H216" i="20"/>
  <c r="H217" i="20"/>
  <c r="H218" i="20"/>
  <c r="H219" i="20"/>
  <c r="H220" i="20"/>
  <c r="H221" i="20"/>
  <c r="H222" i="20"/>
  <c r="H223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41" i="20"/>
  <c r="H242" i="20"/>
  <c r="H243" i="20"/>
  <c r="H244" i="20"/>
  <c r="H245" i="20"/>
  <c r="H246" i="20"/>
  <c r="H247" i="20"/>
  <c r="H248" i="20"/>
  <c r="H249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5" i="20"/>
  <c r="H276" i="20"/>
  <c r="H277" i="20"/>
  <c r="H278" i="20"/>
  <c r="H279" i="20"/>
  <c r="H280" i="20"/>
  <c r="H281" i="20"/>
  <c r="H282" i="20"/>
  <c r="H283" i="20"/>
  <c r="H284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2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H322" i="20"/>
  <c r="H323" i="20"/>
  <c r="H324" i="20"/>
  <c r="H325" i="20"/>
  <c r="H326" i="20"/>
  <c r="H327" i="20"/>
  <c r="H328" i="20"/>
  <c r="H329" i="20"/>
  <c r="H330" i="20"/>
  <c r="H331" i="20"/>
  <c r="H332" i="20"/>
  <c r="H333" i="20"/>
  <c r="H334" i="20"/>
  <c r="H335" i="20"/>
  <c r="H336" i="20"/>
  <c r="H337" i="20"/>
  <c r="H338" i="20"/>
  <c r="H339" i="20"/>
  <c r="H340" i="20"/>
  <c r="H341" i="20"/>
  <c r="H342" i="20"/>
  <c r="H343" i="20"/>
  <c r="H344" i="20"/>
  <c r="H345" i="20"/>
  <c r="H346" i="20"/>
  <c r="H347" i="20"/>
  <c r="H348" i="20"/>
  <c r="H349" i="20"/>
  <c r="H350" i="20"/>
  <c r="H351" i="20"/>
  <c r="H352" i="20"/>
  <c r="H353" i="20"/>
  <c r="H354" i="20"/>
  <c r="H355" i="20"/>
  <c r="H356" i="20"/>
  <c r="H357" i="20"/>
  <c r="H358" i="20"/>
  <c r="H359" i="20"/>
  <c r="H360" i="20"/>
  <c r="H361" i="20"/>
  <c r="H362" i="20"/>
  <c r="H363" i="20"/>
  <c r="H364" i="20"/>
  <c r="H365" i="20"/>
  <c r="H366" i="20"/>
  <c r="H367" i="20"/>
  <c r="H368" i="20"/>
  <c r="H369" i="20"/>
  <c r="H370" i="20"/>
  <c r="H371" i="20"/>
  <c r="H372" i="20"/>
  <c r="H373" i="20"/>
  <c r="H374" i="20"/>
  <c r="H375" i="20"/>
  <c r="H376" i="20"/>
  <c r="H377" i="20"/>
  <c r="H378" i="20"/>
  <c r="H379" i="20"/>
  <c r="H380" i="20"/>
  <c r="H381" i="20"/>
  <c r="H382" i="20"/>
  <c r="H383" i="20"/>
  <c r="H384" i="20"/>
  <c r="H385" i="20"/>
  <c r="H386" i="20"/>
  <c r="H387" i="20"/>
  <c r="H388" i="20"/>
  <c r="H389" i="20"/>
  <c r="H390" i="20"/>
  <c r="H391" i="20"/>
  <c r="H392" i="20"/>
  <c r="H393" i="20"/>
  <c r="H394" i="20"/>
  <c r="H395" i="20"/>
  <c r="H396" i="20"/>
  <c r="H397" i="20"/>
  <c r="H398" i="20"/>
  <c r="H399" i="20"/>
  <c r="H400" i="20"/>
  <c r="H401" i="20"/>
  <c r="H402" i="20"/>
  <c r="H403" i="20"/>
  <c r="H404" i="20"/>
  <c r="H405" i="20"/>
  <c r="H406" i="20"/>
  <c r="H407" i="20"/>
  <c r="H408" i="20"/>
  <c r="H409" i="20"/>
  <c r="H410" i="20"/>
  <c r="H411" i="20"/>
  <c r="H412" i="20"/>
  <c r="H413" i="20"/>
  <c r="H414" i="20"/>
  <c r="H415" i="20"/>
  <c r="H416" i="20"/>
  <c r="H417" i="20"/>
  <c r="H418" i="20"/>
  <c r="H419" i="20"/>
  <c r="H420" i="20"/>
  <c r="H421" i="20"/>
  <c r="H422" i="20"/>
  <c r="H423" i="20"/>
  <c r="H424" i="20"/>
  <c r="H425" i="20"/>
  <c r="H426" i="20"/>
  <c r="H427" i="20"/>
  <c r="H428" i="20"/>
  <c r="H429" i="20"/>
  <c r="H430" i="20"/>
  <c r="H431" i="20"/>
  <c r="H432" i="20"/>
  <c r="H433" i="20"/>
  <c r="H434" i="20"/>
  <c r="H435" i="20"/>
  <c r="H436" i="20"/>
  <c r="H437" i="20"/>
  <c r="H438" i="20"/>
  <c r="H439" i="20"/>
  <c r="H440" i="20"/>
  <c r="H441" i="20"/>
  <c r="H442" i="20"/>
  <c r="H443" i="20"/>
  <c r="H444" i="20"/>
  <c r="H445" i="20"/>
  <c r="H446" i="20"/>
  <c r="H447" i="20"/>
  <c r="H448" i="20"/>
  <c r="H449" i="20"/>
  <c r="H450" i="20"/>
  <c r="H451" i="20"/>
  <c r="H452" i="20"/>
  <c r="H453" i="20"/>
  <c r="H454" i="20"/>
  <c r="H455" i="20"/>
  <c r="H456" i="20"/>
  <c r="H457" i="20"/>
  <c r="H458" i="20"/>
  <c r="H459" i="20"/>
  <c r="H460" i="20"/>
  <c r="H461" i="20"/>
  <c r="H462" i="20"/>
  <c r="H463" i="20"/>
  <c r="H464" i="20"/>
  <c r="H465" i="20"/>
  <c r="H466" i="20"/>
  <c r="H467" i="20"/>
  <c r="H468" i="20"/>
  <c r="H469" i="20"/>
  <c r="H470" i="20"/>
  <c r="H471" i="20"/>
  <c r="H472" i="20"/>
  <c r="H473" i="20"/>
  <c r="H474" i="20"/>
  <c r="H475" i="20"/>
  <c r="H476" i="20"/>
  <c r="H477" i="20"/>
  <c r="H478" i="20"/>
  <c r="H479" i="20"/>
  <c r="H480" i="20"/>
  <c r="H481" i="20"/>
  <c r="H482" i="20"/>
  <c r="H483" i="20"/>
  <c r="H484" i="20"/>
  <c r="H485" i="20"/>
  <c r="H486" i="20"/>
  <c r="H487" i="20"/>
  <c r="H488" i="20"/>
  <c r="H489" i="20"/>
  <c r="H490" i="20"/>
  <c r="H491" i="20"/>
  <c r="H492" i="20"/>
  <c r="H493" i="20"/>
  <c r="H494" i="20"/>
  <c r="H495" i="20"/>
  <c r="H496" i="20"/>
  <c r="H497" i="20"/>
  <c r="H498" i="20"/>
  <c r="H499" i="20"/>
  <c r="H500" i="20"/>
  <c r="H501" i="20"/>
  <c r="H502" i="20"/>
  <c r="H503" i="20"/>
  <c r="H504" i="20"/>
  <c r="H505" i="20"/>
  <c r="H506" i="20"/>
  <c r="H507" i="20"/>
  <c r="H508" i="20"/>
  <c r="H509" i="20"/>
  <c r="H510" i="20"/>
  <c r="H511" i="20"/>
  <c r="H512" i="20"/>
  <c r="H513" i="20"/>
  <c r="H514" i="20"/>
  <c r="H515" i="20"/>
  <c r="H516" i="20"/>
  <c r="H517" i="20"/>
  <c r="H518" i="20"/>
  <c r="H519" i="20"/>
  <c r="H520" i="20"/>
  <c r="H521" i="20"/>
  <c r="H522" i="20"/>
  <c r="H523" i="20"/>
  <c r="H524" i="20"/>
  <c r="H525" i="20"/>
  <c r="H526" i="20"/>
  <c r="H527" i="20"/>
  <c r="H528" i="20"/>
  <c r="H529" i="20"/>
  <c r="H530" i="20"/>
  <c r="H531" i="20"/>
  <c r="H532" i="20"/>
  <c r="H533" i="20"/>
  <c r="H534" i="20"/>
  <c r="H535" i="20"/>
  <c r="H536" i="20"/>
  <c r="H537" i="20"/>
  <c r="H538" i="20"/>
  <c r="H539" i="20"/>
  <c r="H540" i="20"/>
  <c r="H541" i="20"/>
  <c r="H542" i="20"/>
  <c r="H543" i="20"/>
  <c r="H544" i="20"/>
  <c r="H545" i="20"/>
  <c r="H546" i="20"/>
  <c r="H547" i="20"/>
  <c r="H548" i="20"/>
  <c r="H549" i="20"/>
  <c r="H550" i="20"/>
  <c r="H551" i="20"/>
  <c r="H552" i="20"/>
  <c r="H553" i="20"/>
  <c r="H554" i="20"/>
  <c r="H555" i="20"/>
  <c r="H556" i="20"/>
  <c r="H557" i="20"/>
  <c r="H558" i="20"/>
  <c r="H559" i="20"/>
  <c r="H560" i="20"/>
  <c r="H561" i="20"/>
  <c r="H562" i="20"/>
  <c r="H563" i="20"/>
  <c r="H564" i="20"/>
  <c r="H565" i="20"/>
  <c r="H566" i="20"/>
  <c r="H567" i="20"/>
  <c r="H568" i="20"/>
  <c r="H569" i="20"/>
  <c r="H570" i="20"/>
  <c r="H571" i="20"/>
  <c r="H572" i="20"/>
  <c r="H573" i="20"/>
  <c r="H574" i="20"/>
  <c r="H575" i="20"/>
  <c r="H576" i="20"/>
  <c r="H577" i="20"/>
  <c r="H578" i="20"/>
  <c r="H579" i="20"/>
  <c r="H580" i="20"/>
  <c r="H581" i="20"/>
  <c r="H582" i="20"/>
  <c r="H583" i="20"/>
  <c r="H584" i="20"/>
  <c r="H585" i="20"/>
  <c r="H586" i="20"/>
  <c r="H587" i="20"/>
  <c r="H588" i="20"/>
  <c r="H589" i="20"/>
  <c r="H590" i="20"/>
  <c r="H591" i="20"/>
  <c r="H592" i="20"/>
  <c r="H593" i="20"/>
  <c r="H594" i="20"/>
  <c r="H595" i="20"/>
  <c r="H596" i="20"/>
  <c r="H597" i="20"/>
  <c r="H598" i="20"/>
  <c r="H599" i="20"/>
  <c r="H600" i="20"/>
  <c r="H601" i="20"/>
  <c r="H602" i="20"/>
  <c r="H603" i="20"/>
  <c r="H604" i="20"/>
  <c r="H605" i="20"/>
  <c r="H606" i="20"/>
  <c r="H607" i="20"/>
  <c r="H608" i="20"/>
  <c r="H609" i="20"/>
  <c r="H610" i="20"/>
  <c r="H611" i="20"/>
  <c r="H612" i="20"/>
  <c r="H613" i="20"/>
  <c r="H614" i="20"/>
  <c r="H615" i="20"/>
  <c r="H616" i="20"/>
  <c r="H617" i="20"/>
  <c r="H618" i="20"/>
  <c r="H619" i="20"/>
  <c r="H620" i="20"/>
  <c r="H621" i="20"/>
  <c r="H622" i="20"/>
  <c r="H623" i="20"/>
  <c r="H624" i="20"/>
  <c r="H625" i="20"/>
  <c r="H626" i="20"/>
  <c r="H627" i="20"/>
  <c r="H628" i="20"/>
  <c r="H629" i="20"/>
  <c r="H630" i="20"/>
  <c r="H631" i="20"/>
  <c r="H632" i="20"/>
  <c r="H633" i="20"/>
  <c r="H634" i="20"/>
  <c r="H635" i="20"/>
  <c r="H636" i="20"/>
  <c r="H637" i="20"/>
  <c r="H638" i="20"/>
  <c r="H639" i="20"/>
  <c r="H640" i="20"/>
  <c r="H641" i="20"/>
  <c r="H642" i="20"/>
  <c r="H643" i="20"/>
  <c r="H644" i="20"/>
  <c r="H645" i="20"/>
  <c r="H646" i="20"/>
  <c r="H647" i="20"/>
  <c r="H648" i="20"/>
  <c r="H649" i="20"/>
  <c r="H650" i="20"/>
  <c r="H651" i="20"/>
  <c r="H652" i="20"/>
  <c r="H653" i="20"/>
  <c r="H654" i="20"/>
  <c r="H655" i="20"/>
  <c r="H656" i="20"/>
  <c r="H657" i="20"/>
  <c r="H658" i="20"/>
  <c r="H659" i="20"/>
  <c r="H660" i="20"/>
  <c r="H661" i="20"/>
  <c r="H662" i="20"/>
  <c r="H663" i="20"/>
  <c r="H664" i="20"/>
  <c r="H665" i="20"/>
  <c r="H666" i="20"/>
  <c r="H667" i="20"/>
  <c r="H668" i="20"/>
  <c r="H669" i="20"/>
  <c r="H670" i="20"/>
  <c r="H671" i="20"/>
  <c r="H672" i="20"/>
  <c r="H673" i="20"/>
  <c r="H674" i="20"/>
  <c r="H675" i="20"/>
  <c r="H676" i="20"/>
  <c r="H677" i="20"/>
  <c r="H678" i="20"/>
  <c r="H679" i="20"/>
  <c r="H680" i="20"/>
  <c r="H681" i="20"/>
  <c r="H682" i="20"/>
  <c r="H683" i="20"/>
  <c r="H684" i="20"/>
  <c r="H685" i="20"/>
  <c r="H686" i="20"/>
  <c r="H687" i="20"/>
  <c r="H688" i="20"/>
  <c r="H689" i="20"/>
  <c r="H690" i="20"/>
  <c r="H691" i="20"/>
  <c r="H692" i="20"/>
  <c r="H693" i="20"/>
  <c r="H694" i="20"/>
  <c r="H695" i="20"/>
  <c r="H696" i="20"/>
  <c r="H697" i="20"/>
  <c r="H698" i="20"/>
  <c r="H699" i="20"/>
  <c r="H700" i="20"/>
  <c r="H701" i="20"/>
  <c r="H702" i="20"/>
  <c r="H703" i="20"/>
  <c r="H704" i="20"/>
  <c r="H705" i="20"/>
  <c r="H706" i="20"/>
  <c r="H707" i="20"/>
  <c r="H708" i="20"/>
  <c r="H709" i="20"/>
  <c r="H710" i="20"/>
  <c r="H711" i="20"/>
  <c r="H712" i="20"/>
  <c r="H713" i="20"/>
  <c r="H714" i="20"/>
  <c r="H715" i="20"/>
  <c r="H716" i="20"/>
  <c r="H717" i="20"/>
  <c r="H718" i="20"/>
  <c r="H719" i="20"/>
  <c r="H720" i="20"/>
  <c r="H721" i="20"/>
  <c r="H722" i="20"/>
  <c r="H723" i="20"/>
  <c r="H724" i="20"/>
  <c r="H725" i="20"/>
  <c r="H726" i="20"/>
  <c r="H727" i="20"/>
  <c r="H728" i="20"/>
  <c r="H729" i="20"/>
  <c r="H730" i="20"/>
  <c r="H731" i="20"/>
  <c r="H732" i="20"/>
  <c r="H733" i="20"/>
  <c r="H734" i="20"/>
  <c r="H735" i="20"/>
  <c r="H736" i="20"/>
  <c r="H737" i="20"/>
  <c r="H738" i="20"/>
  <c r="H739" i="20"/>
  <c r="H740" i="20"/>
  <c r="H741" i="20"/>
  <c r="H742" i="20"/>
  <c r="H743" i="20"/>
  <c r="H744" i="20"/>
  <c r="H745" i="20"/>
  <c r="H746" i="20"/>
  <c r="H747" i="20"/>
  <c r="H748" i="20"/>
  <c r="H749" i="20"/>
  <c r="H750" i="20"/>
  <c r="H751" i="20"/>
  <c r="H752" i="20"/>
  <c r="H753" i="20"/>
  <c r="H754" i="20"/>
  <c r="H755" i="20"/>
  <c r="H756" i="20"/>
  <c r="H757" i="20"/>
  <c r="H758" i="20"/>
  <c r="H759" i="20"/>
  <c r="H760" i="20"/>
  <c r="H761" i="20"/>
  <c r="H762" i="20"/>
  <c r="H763" i="20"/>
  <c r="H764" i="20"/>
  <c r="H765" i="20"/>
  <c r="H766" i="20"/>
  <c r="H767" i="20"/>
  <c r="H768" i="20"/>
  <c r="H769" i="20"/>
  <c r="H770" i="20"/>
  <c r="H771" i="20"/>
  <c r="H772" i="20"/>
  <c r="H773" i="20"/>
  <c r="H774" i="20"/>
  <c r="H775" i="20"/>
  <c r="H776" i="20"/>
  <c r="H777" i="20"/>
  <c r="H778" i="20"/>
  <c r="H779" i="20"/>
  <c r="H780" i="20"/>
  <c r="H781" i="20"/>
  <c r="H782" i="20"/>
  <c r="H783" i="20"/>
  <c r="H784" i="20"/>
  <c r="H785" i="20"/>
  <c r="H786" i="20"/>
  <c r="H787" i="20"/>
  <c r="H788" i="20"/>
  <c r="H789" i="20"/>
  <c r="H790" i="20"/>
  <c r="H791" i="20"/>
  <c r="H792" i="20"/>
  <c r="H793" i="20"/>
  <c r="H794" i="20"/>
  <c r="H795" i="20"/>
  <c r="H796" i="20"/>
  <c r="H797" i="20"/>
  <c r="H798" i="20"/>
  <c r="H799" i="20"/>
  <c r="H800" i="20"/>
  <c r="H801" i="20"/>
  <c r="H802" i="20"/>
  <c r="H803" i="20"/>
  <c r="H804" i="20"/>
  <c r="H805" i="20"/>
  <c r="H806" i="20"/>
  <c r="H807" i="20"/>
  <c r="H808" i="20"/>
  <c r="H809" i="20"/>
  <c r="H810" i="20"/>
  <c r="H811" i="20"/>
  <c r="H812" i="20"/>
  <c r="H813" i="20"/>
  <c r="H814" i="20"/>
  <c r="H815" i="20"/>
  <c r="H816" i="20"/>
  <c r="H817" i="20"/>
  <c r="H818" i="20"/>
  <c r="H819" i="20"/>
  <c r="H820" i="20"/>
  <c r="H821" i="20"/>
  <c r="H822" i="20"/>
  <c r="H823" i="20"/>
  <c r="H824" i="20"/>
  <c r="H825" i="20"/>
  <c r="H826" i="20"/>
  <c r="H827" i="20"/>
  <c r="H828" i="20"/>
  <c r="H829" i="20"/>
  <c r="H830" i="20"/>
  <c r="H831" i="20"/>
  <c r="H832" i="20"/>
  <c r="H833" i="20"/>
  <c r="H834" i="20"/>
  <c r="H835" i="20"/>
  <c r="H836" i="20"/>
  <c r="H837" i="20"/>
  <c r="H838" i="20"/>
  <c r="H839" i="20"/>
  <c r="H840" i="20"/>
  <c r="H841" i="20"/>
  <c r="H842" i="20"/>
  <c r="H843" i="20"/>
  <c r="H844" i="20"/>
  <c r="H845" i="20"/>
  <c r="H846" i="20"/>
  <c r="H847" i="20"/>
  <c r="H848" i="20"/>
  <c r="H849" i="20"/>
  <c r="H850" i="20"/>
  <c r="H851" i="20"/>
  <c r="H852" i="20"/>
  <c r="H853" i="20"/>
  <c r="H854" i="20"/>
  <c r="H855" i="20"/>
  <c r="H856" i="20"/>
  <c r="H857" i="20"/>
  <c r="H858" i="20"/>
  <c r="H859" i="20"/>
  <c r="H860" i="20"/>
  <c r="H861" i="20"/>
  <c r="H862" i="20"/>
  <c r="H863" i="20"/>
  <c r="H864" i="20"/>
  <c r="H865" i="20"/>
  <c r="H866" i="20"/>
  <c r="H867" i="20"/>
  <c r="H868" i="20"/>
  <c r="H869" i="20"/>
  <c r="H870" i="20"/>
  <c r="H871" i="20"/>
  <c r="H872" i="20"/>
  <c r="H873" i="20"/>
  <c r="H874" i="20"/>
  <c r="H875" i="20"/>
  <c r="H876" i="20"/>
  <c r="H877" i="20"/>
  <c r="H878" i="20"/>
  <c r="H879" i="20"/>
  <c r="H880" i="20"/>
  <c r="H881" i="20"/>
  <c r="H882" i="20"/>
  <c r="H883" i="20"/>
  <c r="H884" i="20"/>
  <c r="H885" i="20"/>
  <c r="H886" i="20"/>
  <c r="H887" i="20"/>
  <c r="H888" i="20"/>
  <c r="H889" i="20"/>
  <c r="H890" i="20"/>
  <c r="H891" i="20"/>
  <c r="H892" i="20"/>
  <c r="H893" i="20"/>
  <c r="H894" i="20"/>
  <c r="H895" i="20"/>
  <c r="H896" i="20"/>
  <c r="H897" i="20"/>
  <c r="H898" i="20"/>
  <c r="H899" i="20"/>
  <c r="H900" i="20"/>
  <c r="H901" i="20"/>
  <c r="H902" i="20"/>
  <c r="H903" i="20"/>
  <c r="H904" i="20"/>
  <c r="H905" i="20"/>
  <c r="H906" i="20"/>
  <c r="H907" i="20"/>
  <c r="H908" i="20"/>
  <c r="H909" i="20"/>
  <c r="H910" i="20"/>
  <c r="H911" i="20"/>
  <c r="H912" i="20"/>
  <c r="H913" i="20"/>
  <c r="H914" i="20"/>
  <c r="H915" i="20"/>
  <c r="H916" i="20"/>
  <c r="H917" i="20"/>
  <c r="H918" i="20"/>
  <c r="H919" i="20"/>
  <c r="H920" i="20"/>
  <c r="H921" i="20"/>
  <c r="H922" i="20"/>
  <c r="H923" i="20"/>
  <c r="H924" i="20"/>
  <c r="H925" i="20"/>
  <c r="H926" i="20"/>
  <c r="H927" i="20"/>
  <c r="H928" i="20"/>
  <c r="H929" i="20"/>
  <c r="H930" i="20"/>
  <c r="H931" i="20"/>
  <c r="H932" i="20"/>
  <c r="H933" i="20"/>
  <c r="H934" i="20"/>
  <c r="H935" i="20"/>
  <c r="H936" i="20"/>
  <c r="H937" i="20"/>
  <c r="H938" i="20"/>
  <c r="H939" i="20"/>
  <c r="H940" i="20"/>
  <c r="H941" i="20"/>
  <c r="H942" i="20"/>
  <c r="H943" i="20"/>
  <c r="H944" i="20"/>
  <c r="H945" i="20"/>
  <c r="H946" i="20"/>
  <c r="H947" i="20"/>
  <c r="H948" i="20"/>
  <c r="H949" i="20"/>
  <c r="H950" i="20"/>
  <c r="H951" i="20"/>
  <c r="H952" i="20"/>
  <c r="H953" i="20"/>
  <c r="H954" i="20"/>
  <c r="H955" i="20"/>
  <c r="H956" i="20"/>
  <c r="H957" i="20"/>
  <c r="H958" i="20"/>
  <c r="H959" i="20"/>
  <c r="H960" i="20"/>
  <c r="H961" i="20"/>
  <c r="H962" i="20"/>
  <c r="H963" i="20"/>
  <c r="H964" i="20"/>
  <c r="H965" i="20"/>
  <c r="H966" i="20"/>
  <c r="H967" i="20"/>
  <c r="H968" i="20"/>
  <c r="H969" i="20"/>
  <c r="H970" i="20"/>
  <c r="H971" i="20"/>
  <c r="H972" i="20"/>
  <c r="H973" i="20"/>
  <c r="H974" i="20"/>
  <c r="H975" i="20"/>
  <c r="H976" i="20"/>
  <c r="H977" i="20"/>
  <c r="H978" i="20"/>
  <c r="H979" i="20"/>
  <c r="H980" i="20"/>
  <c r="H981" i="20"/>
  <c r="H982" i="20"/>
  <c r="H983" i="20"/>
  <c r="H984" i="20"/>
  <c r="H985" i="20"/>
  <c r="H986" i="20"/>
  <c r="H987" i="20"/>
  <c r="H988" i="20"/>
  <c r="H989" i="20"/>
  <c r="H990" i="20"/>
  <c r="H991" i="20"/>
  <c r="H992" i="20"/>
  <c r="H993" i="20"/>
  <c r="H994" i="20"/>
  <c r="H995" i="20"/>
  <c r="H996" i="20"/>
  <c r="H997" i="20"/>
  <c r="H998" i="20"/>
  <c r="H999" i="20"/>
  <c r="H1000" i="20"/>
  <c r="H1001" i="20"/>
  <c r="H1002" i="20"/>
  <c r="H1003" i="20"/>
  <c r="H1004" i="20"/>
  <c r="H1005" i="20"/>
  <c r="H1006" i="20"/>
  <c r="H1007" i="20"/>
  <c r="H1008" i="20"/>
  <c r="H1009" i="20"/>
  <c r="H1010" i="20"/>
  <c r="H1011" i="20"/>
  <c r="H1012" i="20"/>
  <c r="H1013" i="20"/>
  <c r="H1014" i="20"/>
  <c r="H1015" i="20"/>
  <c r="H1016" i="20"/>
  <c r="H1017" i="20"/>
  <c r="H1018" i="20"/>
  <c r="H1019" i="20"/>
  <c r="H1020" i="20"/>
  <c r="H1021" i="20"/>
  <c r="H1022" i="20"/>
  <c r="H1023" i="20"/>
  <c r="H1024" i="20"/>
  <c r="H1025" i="20"/>
  <c r="H1026" i="20"/>
  <c r="H1027" i="20"/>
  <c r="H1028" i="20"/>
  <c r="H1029" i="20"/>
  <c r="H1030" i="20"/>
  <c r="H1031" i="20"/>
  <c r="H1032" i="20"/>
  <c r="H1033" i="20"/>
  <c r="H1034" i="20"/>
  <c r="H1035" i="20"/>
  <c r="H1036" i="20"/>
  <c r="H1037" i="20"/>
  <c r="H1038" i="20"/>
  <c r="H1039" i="20"/>
  <c r="H1040" i="20"/>
  <c r="H1041" i="20"/>
  <c r="H1042" i="20"/>
  <c r="H1043" i="20"/>
  <c r="H1044" i="20"/>
  <c r="H1045" i="20"/>
  <c r="H1046" i="20"/>
  <c r="H1047" i="20"/>
  <c r="H1048" i="20"/>
  <c r="H1049" i="20"/>
  <c r="H1050" i="20"/>
  <c r="H1051" i="20"/>
  <c r="H1052" i="20"/>
  <c r="H1053" i="20"/>
  <c r="H1054" i="20"/>
  <c r="H1055" i="20"/>
  <c r="H1056" i="20"/>
  <c r="H1057" i="20"/>
  <c r="H1058" i="20"/>
  <c r="H1059" i="20"/>
  <c r="H1060" i="20"/>
  <c r="H1061" i="20"/>
  <c r="H1062" i="20"/>
  <c r="H1063" i="20"/>
  <c r="H1064" i="20"/>
  <c r="H1065" i="20"/>
  <c r="H1066" i="20"/>
  <c r="H1067" i="20"/>
  <c r="H1068" i="20"/>
  <c r="H1069" i="20"/>
  <c r="H1070" i="20"/>
  <c r="H1071" i="20"/>
  <c r="H1072" i="20"/>
  <c r="H1073" i="20"/>
  <c r="H1074" i="20"/>
  <c r="H1075" i="20"/>
  <c r="H1076" i="20"/>
  <c r="H1077" i="20"/>
  <c r="H1078" i="20"/>
  <c r="H1079" i="20"/>
  <c r="H1080" i="20"/>
  <c r="H1081" i="20"/>
  <c r="H1082" i="20"/>
  <c r="H1083" i="20"/>
  <c r="H1084" i="20"/>
  <c r="H1085" i="20"/>
  <c r="H1086" i="20"/>
  <c r="H1087" i="20"/>
  <c r="H1088" i="20"/>
  <c r="H1089" i="20"/>
  <c r="H1090" i="20"/>
  <c r="H1091" i="20"/>
  <c r="H1092" i="20"/>
  <c r="H1093" i="20"/>
  <c r="H1094" i="20"/>
  <c r="H1095" i="20"/>
  <c r="H1096" i="20"/>
  <c r="H1097" i="20"/>
  <c r="H1098" i="20"/>
  <c r="H1099" i="20"/>
  <c r="H1100" i="20"/>
  <c r="H1101" i="20"/>
  <c r="H1102" i="20"/>
  <c r="H1103" i="20"/>
  <c r="H1104" i="20"/>
  <c r="H1105" i="20"/>
  <c r="H1106" i="20"/>
  <c r="H1107" i="20"/>
  <c r="H1108" i="20"/>
  <c r="J3243" i="2" l="1"/>
  <c r="L3243" i="2" s="1"/>
  <c r="J3242" i="2"/>
  <c r="L3242" i="2" s="1"/>
  <c r="J3241" i="2"/>
  <c r="L3241" i="2" s="1"/>
  <c r="J3240" i="2"/>
  <c r="L3240" i="2" s="1"/>
  <c r="J3239" i="2"/>
  <c r="L3239" i="2" s="1"/>
  <c r="J3238" i="2"/>
  <c r="L3238" i="2" s="1"/>
  <c r="J3237" i="2"/>
  <c r="L3237" i="2" s="1"/>
  <c r="J3236" i="2"/>
  <c r="L3236" i="2" s="1"/>
  <c r="J3235" i="2"/>
  <c r="L3235" i="2" s="1"/>
  <c r="J3234" i="2"/>
  <c r="L3234" i="2" s="1"/>
  <c r="J3233" i="2"/>
  <c r="L3233" i="2" s="1"/>
  <c r="J3232" i="2"/>
  <c r="L3232" i="2" s="1"/>
  <c r="J3231" i="2"/>
  <c r="L3231" i="2" s="1"/>
  <c r="J3230" i="2"/>
  <c r="L3230" i="2" s="1"/>
  <c r="J3229" i="2"/>
  <c r="L3229" i="2" s="1"/>
  <c r="J3228" i="2"/>
  <c r="L3228" i="2" s="1"/>
  <c r="J3227" i="2"/>
  <c r="L3227" i="2" s="1"/>
  <c r="J3226" i="2"/>
  <c r="L3226" i="2" s="1"/>
  <c r="J3225" i="2"/>
  <c r="L3225" i="2" s="1"/>
  <c r="J3224" i="2"/>
  <c r="L3224" i="2" s="1"/>
  <c r="J3223" i="2"/>
  <c r="L3223" i="2" s="1"/>
  <c r="J3222" i="2"/>
  <c r="L3222" i="2" s="1"/>
  <c r="J3221" i="2"/>
  <c r="L3221" i="2" s="1"/>
  <c r="J3220" i="2"/>
  <c r="L3220" i="2" s="1"/>
  <c r="J3219" i="2"/>
  <c r="L3219" i="2" s="1"/>
  <c r="J3218" i="2"/>
  <c r="L3218" i="2" s="1"/>
  <c r="J3217" i="2"/>
  <c r="L3217" i="2" s="1"/>
  <c r="J3216" i="2"/>
  <c r="L3216" i="2" s="1"/>
  <c r="J3215" i="2"/>
  <c r="L3215" i="2" s="1"/>
  <c r="J3214" i="2"/>
  <c r="L3214" i="2" s="1"/>
  <c r="J3213" i="2"/>
  <c r="L3213" i="2" s="1"/>
  <c r="J3212" i="2"/>
  <c r="L3212" i="2" s="1"/>
  <c r="J3211" i="2"/>
  <c r="L3211" i="2" s="1"/>
  <c r="J3210" i="2"/>
  <c r="L3210" i="2" s="1"/>
  <c r="J3209" i="2"/>
  <c r="L3209" i="2" s="1"/>
  <c r="J3208" i="2"/>
  <c r="L3208" i="2" s="1"/>
  <c r="J3207" i="2"/>
  <c r="L3207" i="2" s="1"/>
  <c r="J3206" i="2"/>
  <c r="L3206" i="2" s="1"/>
  <c r="J3205" i="2"/>
  <c r="L3205" i="2" s="1"/>
  <c r="J3204" i="2"/>
  <c r="L3204" i="2" s="1"/>
  <c r="J3203" i="2"/>
  <c r="L3203" i="2" s="1"/>
  <c r="J3202" i="2"/>
  <c r="L3202" i="2" s="1"/>
  <c r="J3201" i="2"/>
  <c r="L3201" i="2" s="1"/>
  <c r="J3200" i="2"/>
  <c r="L3200" i="2" s="1"/>
  <c r="J3199" i="2"/>
  <c r="L3199" i="2" s="1"/>
  <c r="J3198" i="2"/>
  <c r="L3198" i="2" s="1"/>
  <c r="J3197" i="2"/>
  <c r="L3197" i="2" s="1"/>
  <c r="J3196" i="2"/>
  <c r="L3196" i="2" s="1"/>
  <c r="J3195" i="2"/>
  <c r="L3195" i="2" s="1"/>
  <c r="J3194" i="2"/>
  <c r="L3194" i="2" s="1"/>
  <c r="J3193" i="2"/>
  <c r="L3193" i="2" s="1"/>
  <c r="J3192" i="2"/>
  <c r="L3192" i="2" s="1"/>
  <c r="J3191" i="2"/>
  <c r="L3191" i="2" s="1"/>
  <c r="J3190" i="2"/>
  <c r="L3190" i="2" s="1"/>
  <c r="J3189" i="2"/>
  <c r="L3189" i="2" s="1"/>
  <c r="J3188" i="2"/>
  <c r="L3188" i="2" s="1"/>
  <c r="J3187" i="2"/>
  <c r="L3187" i="2" s="1"/>
  <c r="J3186" i="2"/>
  <c r="L3186" i="2" s="1"/>
  <c r="J3185" i="2"/>
  <c r="L3185" i="2" s="1"/>
  <c r="J3184" i="2"/>
  <c r="L3184" i="2" s="1"/>
  <c r="J3183" i="2"/>
  <c r="L3183" i="2" s="1"/>
  <c r="J3182" i="2"/>
  <c r="L3182" i="2" s="1"/>
  <c r="J3181" i="2"/>
  <c r="L3181" i="2" s="1"/>
  <c r="J3180" i="2"/>
  <c r="L3180" i="2" s="1"/>
  <c r="J3179" i="2"/>
  <c r="L3179" i="2" s="1"/>
  <c r="J3178" i="2"/>
  <c r="L3178" i="2" s="1"/>
  <c r="J3177" i="2"/>
  <c r="L3177" i="2" s="1"/>
  <c r="J3176" i="2"/>
  <c r="L3176" i="2" s="1"/>
  <c r="J3175" i="2"/>
  <c r="L3175" i="2" s="1"/>
  <c r="J3174" i="2"/>
  <c r="L3174" i="2" s="1"/>
  <c r="J3173" i="2"/>
  <c r="L3173" i="2" s="1"/>
  <c r="J3172" i="2"/>
  <c r="L3172" i="2" s="1"/>
  <c r="J3171" i="2"/>
  <c r="L3171" i="2" s="1"/>
  <c r="J3170" i="2"/>
  <c r="L3170" i="2" s="1"/>
  <c r="J3169" i="2"/>
  <c r="L3169" i="2" s="1"/>
  <c r="J3168" i="2"/>
  <c r="L3168" i="2" s="1"/>
  <c r="J3167" i="2"/>
  <c r="L3167" i="2" s="1"/>
  <c r="J3166" i="2"/>
  <c r="L3166" i="2" s="1"/>
  <c r="J3165" i="2"/>
  <c r="L3165" i="2" s="1"/>
  <c r="J3164" i="2"/>
  <c r="L3164" i="2" s="1"/>
  <c r="J3163" i="2"/>
  <c r="L3163" i="2" s="1"/>
  <c r="J3162" i="2"/>
  <c r="L3162" i="2" s="1"/>
  <c r="J3161" i="2"/>
  <c r="L3161" i="2" s="1"/>
  <c r="J3160" i="2"/>
  <c r="L3160" i="2" s="1"/>
  <c r="J3159" i="2"/>
  <c r="L3159" i="2" s="1"/>
  <c r="J3158" i="2"/>
  <c r="L3158" i="2" s="1"/>
  <c r="J3157" i="2"/>
  <c r="L3157" i="2" s="1"/>
  <c r="J3156" i="2"/>
  <c r="L3156" i="2" s="1"/>
  <c r="J3155" i="2"/>
  <c r="L3155" i="2" s="1"/>
  <c r="J3154" i="2"/>
  <c r="L3154" i="2" s="1"/>
  <c r="J3153" i="2"/>
  <c r="L3153" i="2" s="1"/>
  <c r="J3152" i="2"/>
  <c r="L3152" i="2" s="1"/>
  <c r="J3151" i="2"/>
  <c r="L3151" i="2" s="1"/>
  <c r="J3150" i="2"/>
  <c r="L3150" i="2" s="1"/>
  <c r="J3149" i="2"/>
  <c r="L3149" i="2" s="1"/>
  <c r="J3148" i="2"/>
  <c r="L3148" i="2" s="1"/>
  <c r="J3147" i="2"/>
  <c r="L3147" i="2" s="1"/>
  <c r="J3146" i="2"/>
  <c r="L3146" i="2" s="1"/>
  <c r="J3145" i="2"/>
  <c r="L3145" i="2" s="1"/>
  <c r="J3144" i="2"/>
  <c r="L3144" i="2" s="1"/>
  <c r="J3143" i="2"/>
  <c r="L3143" i="2" s="1"/>
  <c r="J3142" i="2"/>
  <c r="L3142" i="2" s="1"/>
  <c r="J3141" i="2"/>
  <c r="L3141" i="2" s="1"/>
  <c r="J3140" i="2"/>
  <c r="L3140" i="2" s="1"/>
  <c r="J3139" i="2"/>
  <c r="L3139" i="2" s="1"/>
  <c r="J3138" i="2"/>
  <c r="L3138" i="2" s="1"/>
  <c r="J3137" i="2"/>
  <c r="L3137" i="2" s="1"/>
  <c r="J3136" i="2"/>
  <c r="L3136" i="2" s="1"/>
  <c r="J3135" i="2"/>
  <c r="L3135" i="2" s="1"/>
  <c r="J3134" i="2"/>
  <c r="L3134" i="2" s="1"/>
  <c r="J3133" i="2"/>
  <c r="L3133" i="2" s="1"/>
  <c r="J3132" i="2"/>
  <c r="L3132" i="2" s="1"/>
  <c r="J3131" i="2"/>
  <c r="L3131" i="2" s="1"/>
  <c r="J3130" i="2"/>
  <c r="L3130" i="2" s="1"/>
  <c r="J3129" i="2"/>
  <c r="L3129" i="2" s="1"/>
  <c r="J3128" i="2"/>
  <c r="L3128" i="2" s="1"/>
  <c r="J3127" i="2"/>
  <c r="L3127" i="2" s="1"/>
  <c r="J3126" i="2"/>
  <c r="L3126" i="2" s="1"/>
  <c r="J3125" i="2"/>
  <c r="L3125" i="2" s="1"/>
  <c r="J3124" i="2"/>
  <c r="L3124" i="2" s="1"/>
  <c r="J3123" i="2"/>
  <c r="L3123" i="2" s="1"/>
  <c r="J3122" i="2"/>
  <c r="L3122" i="2" s="1"/>
  <c r="J3121" i="2"/>
  <c r="L3121" i="2" s="1"/>
  <c r="J3120" i="2"/>
  <c r="L3120" i="2" s="1"/>
  <c r="J3119" i="2"/>
  <c r="L3119" i="2" s="1"/>
  <c r="J3118" i="2"/>
  <c r="L3118" i="2" s="1"/>
  <c r="J3117" i="2"/>
  <c r="L3117" i="2" s="1"/>
  <c r="J3116" i="2"/>
  <c r="L3116" i="2" s="1"/>
  <c r="J3115" i="2"/>
  <c r="L3115" i="2" s="1"/>
  <c r="J3114" i="2"/>
  <c r="L3114" i="2" s="1"/>
  <c r="J3113" i="2"/>
  <c r="L3113" i="2" s="1"/>
  <c r="J3112" i="2"/>
  <c r="L3112" i="2" s="1"/>
  <c r="J3111" i="2"/>
  <c r="L3111" i="2" s="1"/>
  <c r="J3110" i="2"/>
  <c r="L3110" i="2" s="1"/>
  <c r="J3109" i="2"/>
  <c r="L3109" i="2" s="1"/>
  <c r="J3108" i="2"/>
  <c r="L3108" i="2" s="1"/>
  <c r="J3107" i="2"/>
  <c r="L3107" i="2" s="1"/>
  <c r="J3106" i="2"/>
  <c r="L3106" i="2" s="1"/>
  <c r="J3105" i="2"/>
  <c r="L3105" i="2" s="1"/>
  <c r="J3104" i="2"/>
  <c r="L3104" i="2" s="1"/>
  <c r="J3103" i="2"/>
  <c r="L3103" i="2" s="1"/>
  <c r="J3102" i="2"/>
  <c r="L3102" i="2" s="1"/>
  <c r="J3101" i="2"/>
  <c r="L3101" i="2" s="1"/>
  <c r="J3100" i="2"/>
  <c r="L3100" i="2" s="1"/>
  <c r="J3099" i="2"/>
  <c r="L3099" i="2" s="1"/>
  <c r="J3098" i="2"/>
  <c r="L3098" i="2" s="1"/>
  <c r="J3097" i="2"/>
  <c r="L3097" i="2" s="1"/>
  <c r="J3096" i="2"/>
  <c r="L3096" i="2" s="1"/>
  <c r="J3095" i="2"/>
  <c r="L3095" i="2" s="1"/>
  <c r="J3094" i="2"/>
  <c r="L3094" i="2" s="1"/>
  <c r="J3093" i="2"/>
  <c r="L3093" i="2" s="1"/>
  <c r="J3092" i="2"/>
  <c r="L3092" i="2" s="1"/>
  <c r="J3091" i="2"/>
  <c r="L3091" i="2" s="1"/>
  <c r="J3090" i="2"/>
  <c r="L3090" i="2" s="1"/>
  <c r="J3089" i="2"/>
  <c r="L3089" i="2" s="1"/>
  <c r="J3088" i="2"/>
  <c r="L3088" i="2" s="1"/>
  <c r="J3087" i="2"/>
  <c r="L3087" i="2" s="1"/>
  <c r="J3086" i="2"/>
  <c r="L3086" i="2" s="1"/>
  <c r="J3085" i="2"/>
  <c r="L3085" i="2" s="1"/>
  <c r="J3084" i="2"/>
  <c r="L3084" i="2" s="1"/>
  <c r="J3083" i="2"/>
  <c r="L3083" i="2" s="1"/>
  <c r="J3082" i="2"/>
  <c r="L3082" i="2" s="1"/>
  <c r="J3081" i="2"/>
  <c r="L3081" i="2" s="1"/>
  <c r="J3080" i="2"/>
  <c r="L3080" i="2" s="1"/>
  <c r="J3079" i="2"/>
  <c r="L3079" i="2" s="1"/>
  <c r="J3078" i="2"/>
  <c r="L3078" i="2" s="1"/>
  <c r="J3077" i="2"/>
  <c r="L3077" i="2" s="1"/>
  <c r="J3076" i="2"/>
  <c r="L3076" i="2" s="1"/>
  <c r="J3075" i="2"/>
  <c r="L3075" i="2" s="1"/>
  <c r="J3074" i="2"/>
  <c r="L3074" i="2" s="1"/>
  <c r="J3073" i="2"/>
  <c r="L3073" i="2" s="1"/>
  <c r="J3072" i="2"/>
  <c r="L3072" i="2" s="1"/>
  <c r="J3071" i="2"/>
  <c r="L3071" i="2" s="1"/>
  <c r="J3070" i="2"/>
  <c r="L3070" i="2" s="1"/>
  <c r="J3069" i="2"/>
  <c r="L3069" i="2" s="1"/>
  <c r="J3068" i="2"/>
  <c r="L3068" i="2" s="1"/>
  <c r="J3067" i="2"/>
  <c r="L3067" i="2" s="1"/>
  <c r="J3066" i="2"/>
  <c r="L3066" i="2" s="1"/>
  <c r="J3065" i="2"/>
  <c r="L3065" i="2" s="1"/>
  <c r="J3064" i="2"/>
  <c r="L3064" i="2" s="1"/>
  <c r="J3063" i="2"/>
  <c r="L3063" i="2" s="1"/>
  <c r="J3062" i="2"/>
  <c r="L3062" i="2" s="1"/>
  <c r="J3061" i="2"/>
  <c r="L3061" i="2" s="1"/>
  <c r="J3060" i="2"/>
  <c r="L3060" i="2" s="1"/>
  <c r="J3059" i="2"/>
  <c r="L3059" i="2" s="1"/>
  <c r="J3058" i="2"/>
  <c r="L3058" i="2" s="1"/>
  <c r="J3057" i="2"/>
  <c r="L3057" i="2" s="1"/>
  <c r="J3056" i="2"/>
  <c r="L3056" i="2" s="1"/>
  <c r="J3055" i="2"/>
  <c r="L3055" i="2" s="1"/>
  <c r="J3054" i="2"/>
  <c r="L3054" i="2" s="1"/>
  <c r="J3053" i="2"/>
  <c r="L3053" i="2" s="1"/>
  <c r="J3052" i="2"/>
  <c r="L3052" i="2" s="1"/>
  <c r="J3051" i="2"/>
  <c r="L3051" i="2" s="1"/>
  <c r="J3050" i="2"/>
  <c r="L3050" i="2" s="1"/>
  <c r="J3049" i="2"/>
  <c r="L3049" i="2" s="1"/>
  <c r="J3048" i="2"/>
  <c r="L3048" i="2" s="1"/>
  <c r="J3047" i="2"/>
  <c r="L3047" i="2" s="1"/>
  <c r="J3046" i="2"/>
  <c r="L3046" i="2" s="1"/>
  <c r="J3045" i="2"/>
  <c r="L3045" i="2" s="1"/>
  <c r="J3044" i="2"/>
  <c r="L3044" i="2" s="1"/>
  <c r="J3043" i="2"/>
  <c r="L3043" i="2" s="1"/>
  <c r="J3042" i="2"/>
  <c r="L3042" i="2" s="1"/>
  <c r="J3041" i="2"/>
  <c r="L3041" i="2" s="1"/>
  <c r="J3040" i="2"/>
  <c r="L3040" i="2" s="1"/>
  <c r="J3039" i="2"/>
  <c r="L3039" i="2" s="1"/>
  <c r="J3038" i="2"/>
  <c r="L3038" i="2" s="1"/>
  <c r="J3037" i="2"/>
  <c r="L3037" i="2" s="1"/>
  <c r="J3036" i="2"/>
  <c r="L3036" i="2" s="1"/>
  <c r="J3035" i="2"/>
  <c r="L3035" i="2" s="1"/>
  <c r="J3034" i="2"/>
  <c r="L3034" i="2" s="1"/>
  <c r="J3033" i="2"/>
  <c r="L3033" i="2" s="1"/>
  <c r="J3032" i="2"/>
  <c r="L3032" i="2" s="1"/>
  <c r="J3031" i="2"/>
  <c r="L3031" i="2" s="1"/>
  <c r="J3030" i="2"/>
  <c r="L3030" i="2" s="1"/>
  <c r="J3029" i="2"/>
  <c r="L3029" i="2" s="1"/>
  <c r="J3028" i="2"/>
  <c r="L3028" i="2" s="1"/>
  <c r="J3027" i="2"/>
  <c r="L3027" i="2" s="1"/>
  <c r="J3026" i="2"/>
  <c r="L3026" i="2" s="1"/>
  <c r="J3025" i="2"/>
  <c r="L3025" i="2" s="1"/>
  <c r="J3024" i="2"/>
  <c r="L3024" i="2" s="1"/>
  <c r="J3023" i="2"/>
  <c r="L3023" i="2" s="1"/>
  <c r="J3022" i="2"/>
  <c r="L3022" i="2" s="1"/>
  <c r="J3021" i="2"/>
  <c r="L3021" i="2" s="1"/>
  <c r="J3020" i="2"/>
  <c r="L3020" i="2" s="1"/>
  <c r="J3019" i="2"/>
  <c r="L3019" i="2" s="1"/>
  <c r="J3018" i="2"/>
  <c r="L3018" i="2" s="1"/>
  <c r="J3017" i="2"/>
  <c r="L3017" i="2" s="1"/>
  <c r="J3016" i="2"/>
  <c r="L3016" i="2" s="1"/>
  <c r="J3015" i="2"/>
  <c r="L3015" i="2" s="1"/>
  <c r="J3014" i="2"/>
  <c r="L3014" i="2" s="1"/>
  <c r="J3013" i="2"/>
  <c r="L3013" i="2" s="1"/>
  <c r="J3012" i="2"/>
  <c r="L3012" i="2" s="1"/>
  <c r="J3011" i="2"/>
  <c r="L3011" i="2" s="1"/>
  <c r="J3010" i="2"/>
  <c r="L3010" i="2" s="1"/>
  <c r="J3009" i="2"/>
  <c r="L3009" i="2" s="1"/>
  <c r="J3008" i="2"/>
  <c r="L3008" i="2" s="1"/>
  <c r="J3007" i="2"/>
  <c r="L3007" i="2" s="1"/>
  <c r="J3006" i="2"/>
  <c r="L3006" i="2" s="1"/>
  <c r="J3005" i="2"/>
  <c r="L3005" i="2" s="1"/>
  <c r="J3004" i="2"/>
  <c r="L3004" i="2" s="1"/>
  <c r="J3003" i="2"/>
  <c r="L3003" i="2" s="1"/>
  <c r="J3002" i="2"/>
  <c r="L3002" i="2" s="1"/>
  <c r="J3001" i="2"/>
  <c r="L3001" i="2" s="1"/>
  <c r="J3000" i="2"/>
  <c r="L3000" i="2" s="1"/>
  <c r="J2999" i="2"/>
  <c r="L2999" i="2" s="1"/>
  <c r="J2998" i="2"/>
  <c r="L2998" i="2" s="1"/>
  <c r="J2997" i="2"/>
  <c r="L2997" i="2" s="1"/>
  <c r="J2996" i="2"/>
  <c r="L2996" i="2" s="1"/>
  <c r="J2995" i="2"/>
  <c r="L2995" i="2" s="1"/>
  <c r="J2994" i="2"/>
  <c r="L2994" i="2" s="1"/>
  <c r="J2993" i="2"/>
  <c r="L2993" i="2" s="1"/>
  <c r="J2992" i="2"/>
  <c r="L2992" i="2" s="1"/>
  <c r="J2991" i="2"/>
  <c r="L2991" i="2" s="1"/>
  <c r="J2990" i="2"/>
  <c r="L2990" i="2" s="1"/>
  <c r="J2989" i="2"/>
  <c r="L2989" i="2" s="1"/>
  <c r="J2988" i="2"/>
  <c r="L2988" i="2" s="1"/>
  <c r="J2987" i="2"/>
  <c r="L2987" i="2" s="1"/>
  <c r="J2986" i="2"/>
  <c r="L2986" i="2" s="1"/>
  <c r="J2985" i="2"/>
  <c r="L2985" i="2" s="1"/>
  <c r="J2984" i="2"/>
  <c r="L2984" i="2" s="1"/>
  <c r="J2983" i="2"/>
  <c r="L2983" i="2" s="1"/>
  <c r="J2982" i="2"/>
  <c r="L2982" i="2" s="1"/>
  <c r="J2981" i="2"/>
  <c r="L2981" i="2" s="1"/>
  <c r="J2980" i="2"/>
  <c r="L2980" i="2" s="1"/>
  <c r="J2979" i="2"/>
  <c r="L2979" i="2" s="1"/>
  <c r="J2978" i="2"/>
  <c r="L2978" i="2" s="1"/>
  <c r="J2977" i="2"/>
  <c r="L2977" i="2" s="1"/>
  <c r="J2976" i="2"/>
  <c r="L2976" i="2" s="1"/>
  <c r="J2975" i="2"/>
  <c r="L2975" i="2" s="1"/>
  <c r="J2974" i="2"/>
  <c r="L2974" i="2" s="1"/>
  <c r="J2973" i="2"/>
  <c r="L2973" i="2" s="1"/>
  <c r="J2972" i="2"/>
  <c r="L2972" i="2" s="1"/>
  <c r="J2971" i="2"/>
  <c r="L2971" i="2" s="1"/>
  <c r="J2970" i="2"/>
  <c r="L2970" i="2" s="1"/>
  <c r="J2969" i="2"/>
  <c r="L2969" i="2" s="1"/>
  <c r="J2968" i="2"/>
  <c r="L2968" i="2" s="1"/>
  <c r="J2967" i="2"/>
  <c r="L2967" i="2" s="1"/>
  <c r="J2966" i="2"/>
  <c r="L2966" i="2" s="1"/>
  <c r="J2965" i="2"/>
  <c r="L2965" i="2" s="1"/>
  <c r="J2964" i="2"/>
  <c r="L2964" i="2" s="1"/>
  <c r="J2963" i="2"/>
  <c r="L2963" i="2" s="1"/>
  <c r="J2962" i="2"/>
  <c r="L2962" i="2" s="1"/>
  <c r="J2961" i="2"/>
  <c r="L2961" i="2" s="1"/>
  <c r="J2960" i="2"/>
  <c r="L2960" i="2" s="1"/>
  <c r="J2959" i="2"/>
  <c r="L2959" i="2" s="1"/>
  <c r="J2958" i="2"/>
  <c r="L2958" i="2" s="1"/>
  <c r="J2957" i="2"/>
  <c r="L2957" i="2" s="1"/>
  <c r="J2956" i="2"/>
  <c r="L2956" i="2" s="1"/>
  <c r="J2955" i="2"/>
  <c r="L2955" i="2" s="1"/>
  <c r="J2954" i="2"/>
  <c r="L2954" i="2" s="1"/>
  <c r="J2953" i="2"/>
  <c r="L2953" i="2" s="1"/>
  <c r="J2952" i="2"/>
  <c r="L2952" i="2" s="1"/>
  <c r="J2951" i="2"/>
  <c r="L2951" i="2" s="1"/>
  <c r="J2950" i="2"/>
  <c r="L2950" i="2" s="1"/>
  <c r="J2949" i="2"/>
  <c r="L2949" i="2" s="1"/>
  <c r="J2948" i="2"/>
  <c r="L2948" i="2" s="1"/>
  <c r="J2947" i="2"/>
  <c r="L2947" i="2" s="1"/>
  <c r="J2946" i="2"/>
  <c r="L2946" i="2" s="1"/>
  <c r="J2945" i="2"/>
  <c r="L2945" i="2" s="1"/>
  <c r="J2944" i="2"/>
  <c r="L2944" i="2" s="1"/>
  <c r="J2943" i="2"/>
  <c r="L2943" i="2" s="1"/>
  <c r="J2942" i="2"/>
  <c r="L2942" i="2" s="1"/>
  <c r="J2941" i="2"/>
  <c r="L2941" i="2" s="1"/>
  <c r="J2940" i="2"/>
  <c r="L2940" i="2" s="1"/>
  <c r="J2939" i="2"/>
  <c r="L2939" i="2" s="1"/>
  <c r="J2938" i="2"/>
  <c r="L2938" i="2" s="1"/>
  <c r="J2937" i="2"/>
  <c r="L2937" i="2" s="1"/>
  <c r="J2936" i="2"/>
  <c r="L2936" i="2" s="1"/>
  <c r="J2935" i="2"/>
  <c r="L2935" i="2" s="1"/>
  <c r="J2934" i="2"/>
  <c r="L2934" i="2" s="1"/>
  <c r="J2933" i="2"/>
  <c r="L2933" i="2" s="1"/>
  <c r="J2932" i="2"/>
  <c r="L2932" i="2" s="1"/>
  <c r="J2931" i="2"/>
  <c r="L2931" i="2" s="1"/>
  <c r="J2930" i="2"/>
  <c r="L2930" i="2" s="1"/>
  <c r="J2929" i="2"/>
  <c r="L2929" i="2" s="1"/>
  <c r="J2928" i="2"/>
  <c r="L2928" i="2" s="1"/>
  <c r="J2927" i="2"/>
  <c r="L2927" i="2" s="1"/>
  <c r="J2926" i="2"/>
  <c r="L2926" i="2" s="1"/>
  <c r="J2925" i="2"/>
  <c r="L2925" i="2" s="1"/>
  <c r="J2924" i="2"/>
  <c r="L2924" i="2" s="1"/>
  <c r="J2923" i="2"/>
  <c r="L2923" i="2" s="1"/>
  <c r="J2922" i="2"/>
  <c r="L2922" i="2" s="1"/>
  <c r="J2921" i="2"/>
  <c r="L2921" i="2" s="1"/>
  <c r="J2920" i="2"/>
  <c r="L2920" i="2" s="1"/>
  <c r="J2919" i="2"/>
  <c r="L2919" i="2" s="1"/>
  <c r="J2918" i="2"/>
  <c r="L2918" i="2" s="1"/>
  <c r="J2917" i="2"/>
  <c r="L2917" i="2" s="1"/>
  <c r="J2916" i="2"/>
  <c r="L2916" i="2" s="1"/>
  <c r="J2915" i="2"/>
  <c r="L2915" i="2" s="1"/>
  <c r="J2914" i="2"/>
  <c r="L2914" i="2" s="1"/>
  <c r="J2913" i="2"/>
  <c r="L2913" i="2" s="1"/>
  <c r="J2912" i="2"/>
  <c r="L2912" i="2" s="1"/>
  <c r="J2911" i="2"/>
  <c r="L2911" i="2" s="1"/>
  <c r="J2910" i="2"/>
  <c r="L2910" i="2" s="1"/>
  <c r="J2909" i="2"/>
  <c r="L2909" i="2" s="1"/>
  <c r="J2908" i="2"/>
  <c r="L2908" i="2" s="1"/>
  <c r="J2907" i="2"/>
  <c r="L2907" i="2" s="1"/>
  <c r="J2906" i="2"/>
  <c r="L2906" i="2" s="1"/>
  <c r="J2905" i="2"/>
  <c r="L2905" i="2" s="1"/>
  <c r="J2904" i="2"/>
  <c r="L2904" i="2" s="1"/>
  <c r="J2903" i="2"/>
  <c r="L2903" i="2" s="1"/>
  <c r="J2902" i="2"/>
  <c r="L2902" i="2" s="1"/>
  <c r="J2901" i="2"/>
  <c r="L2901" i="2" s="1"/>
  <c r="J2900" i="2"/>
  <c r="L2900" i="2" s="1"/>
  <c r="J2899" i="2"/>
  <c r="L2899" i="2" s="1"/>
  <c r="J2898" i="2"/>
  <c r="L2898" i="2" s="1"/>
  <c r="J2897" i="2"/>
  <c r="L2897" i="2" s="1"/>
  <c r="J2896" i="2"/>
  <c r="L2896" i="2" s="1"/>
  <c r="J2895" i="2"/>
  <c r="L2895" i="2" s="1"/>
  <c r="J2894" i="2"/>
  <c r="L2894" i="2" s="1"/>
  <c r="J2893" i="2"/>
  <c r="L2893" i="2" s="1"/>
  <c r="J2892" i="2"/>
  <c r="L2892" i="2" s="1"/>
  <c r="J2891" i="2"/>
  <c r="L2891" i="2" s="1"/>
  <c r="J2890" i="2"/>
  <c r="L2890" i="2" s="1"/>
  <c r="J2889" i="2"/>
  <c r="L2889" i="2" s="1"/>
  <c r="J2888" i="2"/>
  <c r="L2888" i="2" s="1"/>
  <c r="J2887" i="2"/>
  <c r="L2887" i="2" s="1"/>
  <c r="J2886" i="2"/>
  <c r="L2886" i="2" s="1"/>
  <c r="J2885" i="2"/>
  <c r="L2885" i="2" s="1"/>
  <c r="J2884" i="2"/>
  <c r="L2884" i="2" s="1"/>
  <c r="J2883" i="2"/>
  <c r="L2883" i="2" s="1"/>
  <c r="J2882" i="2"/>
  <c r="L2882" i="2" s="1"/>
  <c r="J2881" i="2"/>
  <c r="L2881" i="2" s="1"/>
  <c r="J2880" i="2"/>
  <c r="L2880" i="2" s="1"/>
  <c r="J2879" i="2"/>
  <c r="L2879" i="2" s="1"/>
  <c r="J2878" i="2"/>
  <c r="L2878" i="2" s="1"/>
  <c r="J2877" i="2"/>
  <c r="L2877" i="2" s="1"/>
  <c r="J2876" i="2"/>
  <c r="L2876" i="2" s="1"/>
  <c r="J2875" i="2"/>
  <c r="L2875" i="2" s="1"/>
  <c r="J2874" i="2"/>
  <c r="L2874" i="2" s="1"/>
  <c r="J2873" i="2"/>
  <c r="L2873" i="2" s="1"/>
  <c r="J2872" i="2"/>
  <c r="L2872" i="2" s="1"/>
  <c r="J2871" i="2"/>
  <c r="L2871" i="2" s="1"/>
  <c r="J2870" i="2"/>
  <c r="L2870" i="2" s="1"/>
  <c r="J2869" i="2"/>
  <c r="L2869" i="2" s="1"/>
  <c r="J2868" i="2"/>
  <c r="L2868" i="2" s="1"/>
  <c r="J2867" i="2"/>
  <c r="L2867" i="2" s="1"/>
  <c r="J2866" i="2"/>
  <c r="L2866" i="2" s="1"/>
  <c r="J2865" i="2"/>
  <c r="L2865" i="2" s="1"/>
  <c r="J2864" i="2"/>
  <c r="L2864" i="2" s="1"/>
  <c r="J2863" i="2"/>
  <c r="L2863" i="2" s="1"/>
  <c r="J2862" i="2"/>
  <c r="L2862" i="2" s="1"/>
  <c r="J2861" i="2"/>
  <c r="L2861" i="2" s="1"/>
  <c r="J2860" i="2"/>
  <c r="L2860" i="2" s="1"/>
  <c r="J2859" i="2"/>
  <c r="L2859" i="2" s="1"/>
  <c r="J2858" i="2"/>
  <c r="L2858" i="2" s="1"/>
  <c r="J2857" i="2"/>
  <c r="L2857" i="2" s="1"/>
  <c r="J2856" i="2"/>
  <c r="L2856" i="2" s="1"/>
  <c r="J2855" i="2"/>
  <c r="L2855" i="2" s="1"/>
  <c r="J2854" i="2"/>
  <c r="L2854" i="2" s="1"/>
  <c r="J2853" i="2"/>
  <c r="L2853" i="2" s="1"/>
  <c r="J2852" i="2"/>
  <c r="L2852" i="2" s="1"/>
  <c r="J2851" i="2"/>
  <c r="L2851" i="2" s="1"/>
  <c r="J2850" i="2"/>
  <c r="L2850" i="2" s="1"/>
  <c r="J2849" i="2"/>
  <c r="L2849" i="2" s="1"/>
  <c r="J2848" i="2"/>
  <c r="L2848" i="2" s="1"/>
  <c r="J2847" i="2"/>
  <c r="L2847" i="2" s="1"/>
  <c r="J2846" i="2"/>
  <c r="L2846" i="2" s="1"/>
  <c r="J2845" i="2"/>
  <c r="L2845" i="2" s="1"/>
  <c r="J2844" i="2"/>
  <c r="L2844" i="2" s="1"/>
  <c r="J2843" i="2"/>
  <c r="L2843" i="2" s="1"/>
  <c r="J2842" i="2"/>
  <c r="L2842" i="2" s="1"/>
  <c r="J2841" i="2"/>
  <c r="L2841" i="2" s="1"/>
  <c r="J2840" i="2"/>
  <c r="L2840" i="2" s="1"/>
  <c r="J2839" i="2"/>
  <c r="L2839" i="2" s="1"/>
  <c r="J2838" i="2"/>
  <c r="L2838" i="2" s="1"/>
  <c r="J2837" i="2"/>
  <c r="L2837" i="2" s="1"/>
  <c r="J2836" i="2"/>
  <c r="L2836" i="2" s="1"/>
  <c r="J2835" i="2"/>
  <c r="L2835" i="2" s="1"/>
  <c r="J2834" i="2"/>
  <c r="L2834" i="2" s="1"/>
  <c r="J2833" i="2"/>
  <c r="L2833" i="2" s="1"/>
  <c r="J2832" i="2"/>
  <c r="L2832" i="2" s="1"/>
  <c r="J2831" i="2"/>
  <c r="L2831" i="2" s="1"/>
  <c r="J2830" i="2"/>
  <c r="L2830" i="2" s="1"/>
  <c r="J2829" i="2"/>
  <c r="L2829" i="2" s="1"/>
  <c r="J2828" i="2"/>
  <c r="L2828" i="2" s="1"/>
  <c r="J2827" i="2"/>
  <c r="L2827" i="2" s="1"/>
  <c r="J2826" i="2"/>
  <c r="L2826" i="2" s="1"/>
  <c r="J2825" i="2"/>
  <c r="L2825" i="2" s="1"/>
  <c r="J2824" i="2"/>
  <c r="L2824" i="2" s="1"/>
  <c r="J2823" i="2"/>
  <c r="L2823" i="2" s="1"/>
  <c r="J2822" i="2"/>
  <c r="L2822" i="2" s="1"/>
  <c r="J2821" i="2"/>
  <c r="L2821" i="2" s="1"/>
  <c r="J2820" i="2"/>
  <c r="L2820" i="2" s="1"/>
  <c r="J2819" i="2"/>
  <c r="L2819" i="2" s="1"/>
  <c r="J2818" i="2"/>
  <c r="L2818" i="2" s="1"/>
  <c r="J2817" i="2"/>
  <c r="L2817" i="2" s="1"/>
  <c r="J2816" i="2"/>
  <c r="L2816" i="2" s="1"/>
  <c r="J2815" i="2"/>
  <c r="L2815" i="2" s="1"/>
  <c r="J2814" i="2"/>
  <c r="L2814" i="2" s="1"/>
  <c r="J2813" i="2"/>
  <c r="L2813" i="2" s="1"/>
  <c r="J2812" i="2"/>
  <c r="L2812" i="2" s="1"/>
  <c r="J2811" i="2"/>
  <c r="L2811" i="2" s="1"/>
  <c r="J2810" i="2"/>
  <c r="L2810" i="2" s="1"/>
  <c r="J2809" i="2"/>
  <c r="L2809" i="2" s="1"/>
  <c r="J2808" i="2"/>
  <c r="L2808" i="2" s="1"/>
  <c r="J2807" i="2"/>
  <c r="L2807" i="2" s="1"/>
  <c r="J2806" i="2"/>
  <c r="L2806" i="2" s="1"/>
  <c r="J2805" i="2"/>
  <c r="L2805" i="2" s="1"/>
  <c r="J2804" i="2"/>
  <c r="L2804" i="2" s="1"/>
  <c r="J2803" i="2"/>
  <c r="L2803" i="2" s="1"/>
  <c r="J2802" i="2"/>
  <c r="L2802" i="2" s="1"/>
  <c r="J2801" i="2"/>
  <c r="L2801" i="2" s="1"/>
  <c r="J2800" i="2"/>
  <c r="L2800" i="2" s="1"/>
  <c r="J2799" i="2"/>
  <c r="L2799" i="2" s="1"/>
  <c r="J2798" i="2"/>
  <c r="L2798" i="2" s="1"/>
  <c r="J2797" i="2"/>
  <c r="L2797" i="2" s="1"/>
  <c r="J2796" i="2"/>
  <c r="L2796" i="2" s="1"/>
  <c r="J2795" i="2"/>
  <c r="L2795" i="2" s="1"/>
  <c r="J2794" i="2"/>
  <c r="L2794" i="2" s="1"/>
  <c r="J2793" i="2"/>
  <c r="L2793" i="2" s="1"/>
  <c r="J2792" i="2"/>
  <c r="L2792" i="2" s="1"/>
  <c r="J2791" i="2"/>
  <c r="L2791" i="2" s="1"/>
  <c r="J2790" i="2"/>
  <c r="L2790" i="2" s="1"/>
  <c r="J2789" i="2"/>
  <c r="L2789" i="2" s="1"/>
  <c r="J2788" i="2"/>
  <c r="L2788" i="2" s="1"/>
  <c r="J2787" i="2"/>
  <c r="L2787" i="2" s="1"/>
  <c r="J2786" i="2"/>
  <c r="L2786" i="2" s="1"/>
  <c r="J2785" i="2"/>
  <c r="L2785" i="2" s="1"/>
  <c r="J2784" i="2"/>
  <c r="L2784" i="2" s="1"/>
  <c r="J2783" i="2"/>
  <c r="L2783" i="2" s="1"/>
  <c r="J2782" i="2"/>
  <c r="L2782" i="2" s="1"/>
  <c r="J2781" i="2"/>
  <c r="L2781" i="2" s="1"/>
  <c r="J2780" i="2"/>
  <c r="L2780" i="2" s="1"/>
  <c r="J2779" i="2"/>
  <c r="L2779" i="2" s="1"/>
  <c r="J2778" i="2"/>
  <c r="L2778" i="2" s="1"/>
  <c r="J2777" i="2"/>
  <c r="L2777" i="2" s="1"/>
  <c r="J2776" i="2"/>
  <c r="L2776" i="2" s="1"/>
  <c r="J2775" i="2"/>
  <c r="L2775" i="2" s="1"/>
  <c r="J2774" i="2"/>
  <c r="L2774" i="2" s="1"/>
  <c r="J2773" i="2"/>
  <c r="L2773" i="2" s="1"/>
  <c r="J2772" i="2"/>
  <c r="L2772" i="2" s="1"/>
  <c r="J2771" i="2"/>
  <c r="L2771" i="2" s="1"/>
  <c r="J2770" i="2"/>
  <c r="L2770" i="2" s="1"/>
  <c r="J2769" i="2"/>
  <c r="L2769" i="2" s="1"/>
  <c r="J2768" i="2"/>
  <c r="L2768" i="2" s="1"/>
  <c r="J2767" i="2"/>
  <c r="L2767" i="2" s="1"/>
  <c r="J2766" i="2"/>
  <c r="L2766" i="2" s="1"/>
  <c r="J2765" i="2"/>
  <c r="L2765" i="2" s="1"/>
  <c r="J2764" i="2"/>
  <c r="L2764" i="2" s="1"/>
  <c r="J2763" i="2"/>
  <c r="L2763" i="2" s="1"/>
  <c r="J2762" i="2"/>
  <c r="L2762" i="2" s="1"/>
  <c r="J2761" i="2"/>
  <c r="L2761" i="2" s="1"/>
  <c r="J2760" i="2"/>
  <c r="L2760" i="2" s="1"/>
  <c r="J2759" i="2"/>
  <c r="L2759" i="2" s="1"/>
  <c r="J2758" i="2"/>
  <c r="L2758" i="2" s="1"/>
  <c r="J2757" i="2"/>
  <c r="L2757" i="2" s="1"/>
  <c r="J2756" i="2"/>
  <c r="L2756" i="2" s="1"/>
  <c r="J2755" i="2"/>
  <c r="L2755" i="2" s="1"/>
  <c r="J2754" i="2"/>
  <c r="L2754" i="2" s="1"/>
  <c r="J2753" i="2"/>
  <c r="L2753" i="2" s="1"/>
  <c r="J2752" i="2"/>
  <c r="L2752" i="2" s="1"/>
  <c r="J2751" i="2"/>
  <c r="L2751" i="2" s="1"/>
  <c r="J2750" i="2"/>
  <c r="L2750" i="2" s="1"/>
  <c r="J2749" i="2"/>
  <c r="L2749" i="2" s="1"/>
  <c r="J2748" i="2"/>
  <c r="L2748" i="2" s="1"/>
  <c r="J2747" i="2"/>
  <c r="L2747" i="2" s="1"/>
  <c r="J2746" i="2"/>
  <c r="L2746" i="2" s="1"/>
  <c r="J2745" i="2"/>
  <c r="L2745" i="2" s="1"/>
  <c r="J2744" i="2"/>
  <c r="L2744" i="2" s="1"/>
  <c r="J2743" i="2"/>
  <c r="L2743" i="2" s="1"/>
  <c r="J2742" i="2"/>
  <c r="L2742" i="2" s="1"/>
  <c r="J2741" i="2"/>
  <c r="L2741" i="2" s="1"/>
  <c r="J2740" i="2"/>
  <c r="L2740" i="2" s="1"/>
  <c r="J2739" i="2"/>
  <c r="L2739" i="2" s="1"/>
  <c r="J2738" i="2"/>
  <c r="L2738" i="2" s="1"/>
  <c r="J2737" i="2"/>
  <c r="L2737" i="2" s="1"/>
  <c r="J2736" i="2"/>
  <c r="L2736" i="2" s="1"/>
  <c r="J2735" i="2"/>
  <c r="L2735" i="2" s="1"/>
  <c r="J2734" i="2"/>
  <c r="L2734" i="2" s="1"/>
  <c r="J2733" i="2"/>
  <c r="L2733" i="2" s="1"/>
  <c r="J2732" i="2"/>
  <c r="L2732" i="2" s="1"/>
  <c r="J2731" i="2"/>
  <c r="L2731" i="2" s="1"/>
  <c r="J2730" i="2"/>
  <c r="L2730" i="2" s="1"/>
  <c r="J2729" i="2"/>
  <c r="L2729" i="2" s="1"/>
  <c r="J2728" i="2"/>
  <c r="L2728" i="2" s="1"/>
  <c r="J2727" i="2"/>
  <c r="L2727" i="2" s="1"/>
  <c r="J2726" i="2"/>
  <c r="L2726" i="2" s="1"/>
  <c r="J2725" i="2"/>
  <c r="L2725" i="2" s="1"/>
  <c r="J2724" i="2"/>
  <c r="L2724" i="2" s="1"/>
  <c r="J2723" i="2"/>
  <c r="L2723" i="2" s="1"/>
  <c r="J2722" i="2"/>
  <c r="L2722" i="2" s="1"/>
  <c r="J2721" i="2"/>
  <c r="L2721" i="2" s="1"/>
  <c r="J2720" i="2"/>
  <c r="L2720" i="2" s="1"/>
  <c r="J2719" i="2"/>
  <c r="L2719" i="2" s="1"/>
  <c r="J2718" i="2"/>
  <c r="L2718" i="2" s="1"/>
  <c r="J2717" i="2"/>
  <c r="L2717" i="2" s="1"/>
  <c r="J2716" i="2"/>
  <c r="L2716" i="2" s="1"/>
  <c r="J2715" i="2"/>
  <c r="L2715" i="2" s="1"/>
  <c r="J2714" i="2"/>
  <c r="L2714" i="2" s="1"/>
  <c r="J2713" i="2"/>
  <c r="L2713" i="2" s="1"/>
  <c r="J2712" i="2"/>
  <c r="L2712" i="2" s="1"/>
  <c r="J2711" i="2"/>
  <c r="L2711" i="2" s="1"/>
  <c r="J2710" i="2"/>
  <c r="L2710" i="2" s="1"/>
  <c r="J2709" i="2"/>
  <c r="L2709" i="2" s="1"/>
  <c r="J2708" i="2"/>
  <c r="L2708" i="2" s="1"/>
  <c r="J2707" i="2"/>
  <c r="L2707" i="2" s="1"/>
  <c r="J2706" i="2"/>
  <c r="L2706" i="2" s="1"/>
  <c r="J2705" i="2"/>
  <c r="L2705" i="2" s="1"/>
  <c r="J2704" i="2"/>
  <c r="L2704" i="2" s="1"/>
  <c r="J2703" i="2"/>
  <c r="L2703" i="2" s="1"/>
  <c r="J2702" i="2"/>
  <c r="L2702" i="2" s="1"/>
  <c r="J2701" i="2"/>
  <c r="L2701" i="2" s="1"/>
  <c r="J2700" i="2"/>
  <c r="L2700" i="2" s="1"/>
  <c r="J2699" i="2"/>
  <c r="L2699" i="2" s="1"/>
  <c r="J2698" i="2"/>
  <c r="L2698" i="2" s="1"/>
  <c r="J2697" i="2"/>
  <c r="L2697" i="2" s="1"/>
  <c r="J2696" i="2"/>
  <c r="L2696" i="2" s="1"/>
  <c r="J2695" i="2"/>
  <c r="L2695" i="2" s="1"/>
  <c r="J2694" i="2"/>
  <c r="L2694" i="2" s="1"/>
  <c r="J2693" i="2"/>
  <c r="L2693" i="2" s="1"/>
  <c r="J2692" i="2"/>
  <c r="L2692" i="2" s="1"/>
  <c r="J2691" i="2"/>
  <c r="L2691" i="2" s="1"/>
  <c r="J2690" i="2"/>
  <c r="L2690" i="2" s="1"/>
  <c r="J2689" i="2"/>
  <c r="L2689" i="2" s="1"/>
  <c r="J2688" i="2"/>
  <c r="L2688" i="2" s="1"/>
  <c r="J2687" i="2"/>
  <c r="L2687" i="2" s="1"/>
  <c r="J2686" i="2"/>
  <c r="L2686" i="2" s="1"/>
  <c r="J2685" i="2"/>
  <c r="L2685" i="2" s="1"/>
  <c r="J2684" i="2"/>
  <c r="L2684" i="2" s="1"/>
  <c r="J2683" i="2"/>
  <c r="L2683" i="2" s="1"/>
  <c r="J2682" i="2"/>
  <c r="L2682" i="2" s="1"/>
  <c r="J2681" i="2"/>
  <c r="L2681" i="2" s="1"/>
  <c r="J2680" i="2"/>
  <c r="L2680" i="2" s="1"/>
  <c r="J2679" i="2"/>
  <c r="L2679" i="2" s="1"/>
  <c r="J2678" i="2"/>
  <c r="L2678" i="2" s="1"/>
  <c r="J2677" i="2"/>
  <c r="L2677" i="2" s="1"/>
  <c r="J2676" i="2"/>
  <c r="L2676" i="2" s="1"/>
  <c r="J2675" i="2"/>
  <c r="L2675" i="2" s="1"/>
  <c r="J2674" i="2"/>
  <c r="L2674" i="2" s="1"/>
  <c r="J2673" i="2"/>
  <c r="L2673" i="2" s="1"/>
  <c r="J2672" i="2"/>
  <c r="L2672" i="2" s="1"/>
  <c r="J2671" i="2"/>
  <c r="L2671" i="2" s="1"/>
  <c r="J2670" i="2"/>
  <c r="L2670" i="2" s="1"/>
  <c r="J2669" i="2"/>
  <c r="L2669" i="2" s="1"/>
  <c r="J2668" i="2"/>
  <c r="L2668" i="2" s="1"/>
  <c r="J2667" i="2"/>
  <c r="L2667" i="2" s="1"/>
  <c r="J2666" i="2"/>
  <c r="L2666" i="2" s="1"/>
  <c r="J2665" i="2"/>
  <c r="L2665" i="2" s="1"/>
  <c r="J2664" i="2"/>
  <c r="L2664" i="2" s="1"/>
  <c r="J2663" i="2"/>
  <c r="L2663" i="2" s="1"/>
  <c r="J2662" i="2"/>
  <c r="L2662" i="2" s="1"/>
  <c r="J2661" i="2"/>
  <c r="L2661" i="2" s="1"/>
  <c r="J2660" i="2"/>
  <c r="L2660" i="2" s="1"/>
  <c r="J2659" i="2"/>
  <c r="L2659" i="2" s="1"/>
  <c r="J2658" i="2"/>
  <c r="L2658" i="2" s="1"/>
  <c r="J2657" i="2"/>
  <c r="L2657" i="2" s="1"/>
  <c r="J2656" i="2"/>
  <c r="L2656" i="2" s="1"/>
  <c r="J2655" i="2"/>
  <c r="L2655" i="2" s="1"/>
  <c r="J2654" i="2"/>
  <c r="L2654" i="2" s="1"/>
  <c r="J2653" i="2"/>
  <c r="L2653" i="2" s="1"/>
  <c r="J2652" i="2"/>
  <c r="L2652" i="2" s="1"/>
  <c r="J2651" i="2"/>
  <c r="L2651" i="2" s="1"/>
  <c r="J2650" i="2"/>
  <c r="L2650" i="2" s="1"/>
  <c r="J2649" i="2"/>
  <c r="L2649" i="2" s="1"/>
  <c r="J2648" i="2"/>
  <c r="L2648" i="2" s="1"/>
  <c r="J2647" i="2"/>
  <c r="L2647" i="2" s="1"/>
  <c r="J2646" i="2"/>
  <c r="L2646" i="2" s="1"/>
  <c r="J2645" i="2"/>
  <c r="L2645" i="2" s="1"/>
  <c r="J2644" i="2"/>
  <c r="L2644" i="2" s="1"/>
  <c r="J2643" i="2"/>
  <c r="L2643" i="2" s="1"/>
  <c r="J2642" i="2"/>
  <c r="L2642" i="2" s="1"/>
  <c r="J2641" i="2"/>
  <c r="L2641" i="2" s="1"/>
  <c r="J2640" i="2"/>
  <c r="L2640" i="2" s="1"/>
  <c r="J2639" i="2"/>
  <c r="L2639" i="2" s="1"/>
  <c r="J2638" i="2"/>
  <c r="L2638" i="2" s="1"/>
  <c r="J2637" i="2"/>
  <c r="L2637" i="2" s="1"/>
  <c r="J2636" i="2"/>
  <c r="L2636" i="2" s="1"/>
  <c r="J2635" i="2"/>
  <c r="L2635" i="2" s="1"/>
  <c r="J2634" i="2"/>
  <c r="L2634" i="2" s="1"/>
  <c r="J2633" i="2"/>
  <c r="L2633" i="2" s="1"/>
  <c r="J2632" i="2"/>
  <c r="L2632" i="2" s="1"/>
  <c r="J2631" i="2"/>
  <c r="L2631" i="2" s="1"/>
  <c r="J2630" i="2"/>
  <c r="L2630" i="2" s="1"/>
  <c r="J2629" i="2"/>
  <c r="L2629" i="2" s="1"/>
  <c r="J2628" i="2"/>
  <c r="L2628" i="2" s="1"/>
  <c r="J2627" i="2"/>
  <c r="L2627" i="2" s="1"/>
  <c r="J2626" i="2"/>
  <c r="L2626" i="2" s="1"/>
  <c r="J2625" i="2"/>
  <c r="L2625" i="2" s="1"/>
  <c r="J2624" i="2"/>
  <c r="L2624" i="2" s="1"/>
  <c r="J2623" i="2"/>
  <c r="L2623" i="2" s="1"/>
  <c r="J2622" i="2"/>
  <c r="L2622" i="2" s="1"/>
  <c r="J2621" i="2"/>
  <c r="L2621" i="2" s="1"/>
  <c r="J2620" i="2"/>
  <c r="L2620" i="2" s="1"/>
  <c r="J2619" i="2"/>
  <c r="L2619" i="2" s="1"/>
  <c r="J2618" i="2"/>
  <c r="L2618" i="2" s="1"/>
  <c r="J2617" i="2"/>
  <c r="L2617" i="2" s="1"/>
  <c r="J2616" i="2"/>
  <c r="L2616" i="2" s="1"/>
  <c r="J2615" i="2"/>
  <c r="L2615" i="2" s="1"/>
  <c r="J2614" i="2"/>
  <c r="L2614" i="2" s="1"/>
  <c r="J2613" i="2"/>
  <c r="L2613" i="2" s="1"/>
  <c r="J2612" i="2"/>
  <c r="L2612" i="2" s="1"/>
  <c r="J2611" i="2"/>
  <c r="L2611" i="2" s="1"/>
  <c r="J2610" i="2"/>
  <c r="L2610" i="2" s="1"/>
  <c r="J2609" i="2"/>
  <c r="L2609" i="2" s="1"/>
  <c r="J2608" i="2"/>
  <c r="L2608" i="2" s="1"/>
  <c r="J2607" i="2"/>
  <c r="L2607" i="2" s="1"/>
  <c r="J2606" i="2"/>
  <c r="L2606" i="2" s="1"/>
  <c r="J2605" i="2"/>
  <c r="L2605" i="2" s="1"/>
  <c r="J2604" i="2"/>
  <c r="L2604" i="2" s="1"/>
  <c r="J2603" i="2"/>
  <c r="L2603" i="2" s="1"/>
  <c r="J2602" i="2"/>
  <c r="L2602" i="2" s="1"/>
  <c r="J2601" i="2"/>
  <c r="L2601" i="2" s="1"/>
  <c r="J2600" i="2"/>
  <c r="L2600" i="2" s="1"/>
  <c r="J2599" i="2"/>
  <c r="L2599" i="2" s="1"/>
  <c r="J2598" i="2"/>
  <c r="L2598" i="2" s="1"/>
  <c r="J2597" i="2"/>
  <c r="L2597" i="2" s="1"/>
  <c r="J2596" i="2"/>
  <c r="L2596" i="2" s="1"/>
  <c r="J2595" i="2"/>
  <c r="L2595" i="2" s="1"/>
  <c r="J2594" i="2"/>
  <c r="L2594" i="2" s="1"/>
  <c r="J2593" i="2"/>
  <c r="L2593" i="2" s="1"/>
  <c r="J2592" i="2"/>
  <c r="L2592" i="2" s="1"/>
  <c r="J2591" i="2"/>
  <c r="L2591" i="2" s="1"/>
  <c r="J2590" i="2"/>
  <c r="L2590" i="2" s="1"/>
  <c r="J2589" i="2"/>
  <c r="L2589" i="2" s="1"/>
  <c r="J2588" i="2"/>
  <c r="L2588" i="2" s="1"/>
  <c r="J2587" i="2"/>
  <c r="L2587" i="2" s="1"/>
  <c r="J2586" i="2"/>
  <c r="L2586" i="2" s="1"/>
  <c r="J2585" i="2"/>
  <c r="L2585" i="2" s="1"/>
  <c r="J2584" i="2"/>
  <c r="L2584" i="2" s="1"/>
  <c r="J2583" i="2"/>
  <c r="L2583" i="2" s="1"/>
  <c r="J2582" i="2"/>
  <c r="L2582" i="2" s="1"/>
  <c r="J2581" i="2"/>
  <c r="L2581" i="2" s="1"/>
  <c r="J2580" i="2"/>
  <c r="L2580" i="2" s="1"/>
  <c r="J2579" i="2"/>
  <c r="L2579" i="2" s="1"/>
  <c r="J2578" i="2"/>
  <c r="L2578" i="2" s="1"/>
  <c r="J2577" i="2"/>
  <c r="L2577" i="2" s="1"/>
  <c r="J2576" i="2"/>
  <c r="L2576" i="2" s="1"/>
  <c r="J2575" i="2"/>
  <c r="L2575" i="2" s="1"/>
  <c r="J2574" i="2"/>
  <c r="L2574" i="2" s="1"/>
  <c r="J2573" i="2"/>
  <c r="L2573" i="2" s="1"/>
  <c r="J2572" i="2"/>
  <c r="L2572" i="2" s="1"/>
  <c r="J2571" i="2"/>
  <c r="L2571" i="2" s="1"/>
  <c r="J2570" i="2"/>
  <c r="L2570" i="2" s="1"/>
  <c r="J2569" i="2"/>
  <c r="L2569" i="2" s="1"/>
  <c r="J2568" i="2"/>
  <c r="L2568" i="2" s="1"/>
  <c r="J2567" i="2"/>
  <c r="L2567" i="2" s="1"/>
  <c r="J2566" i="2"/>
  <c r="L2566" i="2" s="1"/>
  <c r="J2565" i="2"/>
  <c r="L2565" i="2" s="1"/>
  <c r="J2564" i="2"/>
  <c r="L2564" i="2" s="1"/>
  <c r="J2563" i="2"/>
  <c r="L2563" i="2" s="1"/>
  <c r="J2562" i="2"/>
  <c r="L2562" i="2" s="1"/>
  <c r="J2561" i="2"/>
  <c r="L2561" i="2" s="1"/>
  <c r="J2560" i="2"/>
  <c r="L2560" i="2" s="1"/>
  <c r="J2559" i="2"/>
  <c r="L2559" i="2" s="1"/>
  <c r="J2558" i="2"/>
  <c r="L2558" i="2" s="1"/>
  <c r="J2557" i="2"/>
  <c r="L2557" i="2" s="1"/>
  <c r="J2556" i="2"/>
  <c r="L2556" i="2" s="1"/>
  <c r="J2555" i="2"/>
  <c r="L2555" i="2" s="1"/>
  <c r="J2554" i="2"/>
  <c r="L2554" i="2" s="1"/>
  <c r="J2553" i="2"/>
  <c r="L2553" i="2" s="1"/>
  <c r="J2552" i="2"/>
  <c r="L2552" i="2" s="1"/>
  <c r="J2551" i="2"/>
  <c r="L2551" i="2" s="1"/>
  <c r="J2550" i="2"/>
  <c r="L2550" i="2" s="1"/>
  <c r="J2549" i="2"/>
  <c r="L2549" i="2" s="1"/>
  <c r="J2548" i="2"/>
  <c r="L2548" i="2" s="1"/>
  <c r="J2547" i="2"/>
  <c r="L2547" i="2" s="1"/>
  <c r="J2546" i="2"/>
  <c r="L2546" i="2" s="1"/>
  <c r="J2545" i="2"/>
  <c r="L2545" i="2" s="1"/>
  <c r="J2544" i="2"/>
  <c r="L2544" i="2" s="1"/>
  <c r="J2543" i="2"/>
  <c r="L2543" i="2" s="1"/>
  <c r="J2542" i="2"/>
  <c r="L2542" i="2" s="1"/>
  <c r="J2541" i="2"/>
  <c r="L2541" i="2" s="1"/>
  <c r="J2540" i="2"/>
  <c r="L2540" i="2" s="1"/>
  <c r="J2539" i="2"/>
  <c r="L2539" i="2" s="1"/>
  <c r="J2538" i="2"/>
  <c r="L2538" i="2" s="1"/>
  <c r="J2537" i="2"/>
  <c r="L2537" i="2" s="1"/>
  <c r="J2536" i="2"/>
  <c r="L2536" i="2" s="1"/>
  <c r="J2535" i="2"/>
  <c r="L2535" i="2" s="1"/>
  <c r="J2534" i="2"/>
  <c r="L2534" i="2" s="1"/>
  <c r="J2533" i="2"/>
  <c r="L2533" i="2" s="1"/>
  <c r="J2532" i="2"/>
  <c r="L2532" i="2" s="1"/>
  <c r="J2531" i="2"/>
  <c r="L2531" i="2" s="1"/>
  <c r="J2530" i="2"/>
  <c r="L2530" i="2" s="1"/>
  <c r="J2529" i="2"/>
  <c r="L2529" i="2" s="1"/>
  <c r="J2528" i="2"/>
  <c r="L2528" i="2" s="1"/>
  <c r="J2527" i="2"/>
  <c r="L2527" i="2" s="1"/>
  <c r="J2526" i="2"/>
  <c r="L2526" i="2" s="1"/>
  <c r="J2525" i="2"/>
  <c r="L2525" i="2" s="1"/>
  <c r="J2524" i="2"/>
  <c r="L2524" i="2" s="1"/>
  <c r="J2523" i="2"/>
  <c r="L2523" i="2" s="1"/>
  <c r="J2522" i="2"/>
  <c r="L2522" i="2" s="1"/>
  <c r="J2521" i="2"/>
  <c r="L2521" i="2" s="1"/>
  <c r="J2520" i="2"/>
  <c r="L2520" i="2" s="1"/>
  <c r="J2519" i="2"/>
  <c r="L2519" i="2" s="1"/>
  <c r="J2518" i="2"/>
  <c r="L2518" i="2" s="1"/>
  <c r="J2517" i="2"/>
  <c r="L2517" i="2" s="1"/>
  <c r="J2516" i="2"/>
  <c r="L2516" i="2" s="1"/>
  <c r="J2515" i="2"/>
  <c r="L2515" i="2" s="1"/>
  <c r="J2514" i="2"/>
  <c r="L2514" i="2" s="1"/>
  <c r="J2513" i="2"/>
  <c r="L2513" i="2" s="1"/>
  <c r="J2512" i="2"/>
  <c r="L2512" i="2" s="1"/>
  <c r="J2511" i="2"/>
  <c r="L2511" i="2" s="1"/>
  <c r="J2510" i="2"/>
  <c r="L2510" i="2" s="1"/>
  <c r="J2509" i="2"/>
  <c r="L2509" i="2" s="1"/>
  <c r="J2508" i="2"/>
  <c r="L2508" i="2" s="1"/>
  <c r="J2507" i="2"/>
  <c r="L2507" i="2" s="1"/>
  <c r="J2506" i="2"/>
  <c r="L2506" i="2" s="1"/>
  <c r="J2505" i="2"/>
  <c r="L2505" i="2" s="1"/>
  <c r="J2504" i="2"/>
  <c r="L2504" i="2" s="1"/>
  <c r="J2503" i="2"/>
  <c r="L2503" i="2" s="1"/>
  <c r="J2502" i="2"/>
  <c r="L2502" i="2" s="1"/>
  <c r="J2501" i="2"/>
  <c r="L2501" i="2" s="1"/>
  <c r="J2500" i="2"/>
  <c r="L2500" i="2" s="1"/>
  <c r="J2499" i="2"/>
  <c r="L2499" i="2" s="1"/>
  <c r="J2498" i="2"/>
  <c r="L2498" i="2" s="1"/>
  <c r="J2497" i="2"/>
  <c r="L2497" i="2" s="1"/>
  <c r="J2496" i="2"/>
  <c r="L2496" i="2" s="1"/>
  <c r="J2495" i="2"/>
  <c r="L2495" i="2" s="1"/>
  <c r="J2494" i="2"/>
  <c r="L2494" i="2" s="1"/>
  <c r="J2493" i="2"/>
  <c r="L2493" i="2" s="1"/>
  <c r="J2492" i="2"/>
  <c r="L2492" i="2" s="1"/>
  <c r="J2491" i="2"/>
  <c r="L2491" i="2" s="1"/>
  <c r="J2490" i="2"/>
  <c r="L2490" i="2" s="1"/>
  <c r="J2489" i="2"/>
  <c r="L2489" i="2" s="1"/>
  <c r="J2488" i="2"/>
  <c r="L2488" i="2" s="1"/>
  <c r="J2487" i="2"/>
  <c r="L2487" i="2" s="1"/>
  <c r="J2486" i="2"/>
  <c r="L2486" i="2" s="1"/>
  <c r="J2485" i="2"/>
  <c r="L2485" i="2" s="1"/>
  <c r="J2484" i="2"/>
  <c r="L2484" i="2" s="1"/>
  <c r="J2483" i="2"/>
  <c r="L2483" i="2" s="1"/>
  <c r="J2482" i="2"/>
  <c r="L2482" i="2" s="1"/>
  <c r="J2481" i="2"/>
  <c r="L2481" i="2" s="1"/>
  <c r="J2480" i="2"/>
  <c r="L2480" i="2" s="1"/>
  <c r="J2479" i="2"/>
  <c r="L2479" i="2" s="1"/>
  <c r="J2478" i="2"/>
  <c r="L2478" i="2" s="1"/>
  <c r="J2477" i="2"/>
  <c r="L2477" i="2" s="1"/>
  <c r="J2476" i="2"/>
  <c r="L2476" i="2" s="1"/>
  <c r="J2475" i="2"/>
  <c r="L2475" i="2" s="1"/>
  <c r="J2474" i="2"/>
  <c r="L2474" i="2" s="1"/>
  <c r="J2473" i="2"/>
  <c r="L2473" i="2" s="1"/>
  <c r="J2472" i="2"/>
  <c r="L2472" i="2" s="1"/>
  <c r="J2471" i="2"/>
  <c r="L2471" i="2" s="1"/>
  <c r="J2470" i="2"/>
  <c r="L2470" i="2" s="1"/>
  <c r="J2469" i="2"/>
  <c r="L2469" i="2" s="1"/>
  <c r="J2468" i="2"/>
  <c r="L2468" i="2" s="1"/>
  <c r="J2467" i="2"/>
  <c r="L2467" i="2" s="1"/>
  <c r="J2466" i="2"/>
  <c r="L2466" i="2" s="1"/>
  <c r="J2465" i="2"/>
  <c r="L2465" i="2" s="1"/>
  <c r="J2464" i="2"/>
  <c r="L2464" i="2" s="1"/>
  <c r="J2463" i="2"/>
  <c r="L2463" i="2" s="1"/>
  <c r="J2462" i="2"/>
  <c r="L2462" i="2" s="1"/>
  <c r="J2461" i="2"/>
  <c r="L2461" i="2" s="1"/>
  <c r="J2460" i="2"/>
  <c r="L2460" i="2" s="1"/>
  <c r="J2459" i="2"/>
  <c r="L2459" i="2" s="1"/>
  <c r="J2458" i="2"/>
  <c r="L2458" i="2" s="1"/>
  <c r="J2457" i="2"/>
  <c r="L2457" i="2" s="1"/>
  <c r="J2456" i="2"/>
  <c r="L2456" i="2" s="1"/>
  <c r="J2455" i="2"/>
  <c r="L2455" i="2" s="1"/>
  <c r="J2454" i="2"/>
  <c r="L2454" i="2" s="1"/>
  <c r="J2453" i="2"/>
  <c r="L2453" i="2" s="1"/>
  <c r="J2452" i="2"/>
  <c r="L2452" i="2" s="1"/>
  <c r="J2451" i="2"/>
  <c r="L2451" i="2" s="1"/>
  <c r="J2450" i="2"/>
  <c r="L2450" i="2" s="1"/>
  <c r="J2449" i="2"/>
  <c r="L2449" i="2" s="1"/>
  <c r="J2448" i="2"/>
  <c r="L2448" i="2" s="1"/>
  <c r="J2447" i="2"/>
  <c r="L2447" i="2" s="1"/>
  <c r="J2446" i="2"/>
  <c r="L2446" i="2" s="1"/>
  <c r="J2445" i="2"/>
  <c r="L2445" i="2" s="1"/>
  <c r="J2444" i="2"/>
  <c r="L2444" i="2" s="1"/>
  <c r="J2443" i="2"/>
  <c r="L2443" i="2" s="1"/>
  <c r="J2442" i="2"/>
  <c r="L2442" i="2" s="1"/>
  <c r="J2441" i="2"/>
  <c r="L2441" i="2" s="1"/>
  <c r="J2440" i="2"/>
  <c r="L2440" i="2" s="1"/>
  <c r="J2439" i="2"/>
  <c r="L2439" i="2" s="1"/>
  <c r="J2438" i="2"/>
  <c r="L2438" i="2" s="1"/>
  <c r="J2437" i="2"/>
  <c r="L2437" i="2" s="1"/>
  <c r="J2436" i="2"/>
  <c r="L2436" i="2" s="1"/>
  <c r="J2435" i="2"/>
  <c r="L2435" i="2" s="1"/>
  <c r="J2434" i="2"/>
  <c r="L2434" i="2" s="1"/>
  <c r="J2433" i="2"/>
  <c r="L2433" i="2" s="1"/>
  <c r="J2432" i="2"/>
  <c r="L2432" i="2" s="1"/>
  <c r="J2431" i="2"/>
  <c r="L2431" i="2" s="1"/>
  <c r="J2430" i="2"/>
  <c r="L2430" i="2" s="1"/>
  <c r="J2429" i="2"/>
  <c r="L2429" i="2" s="1"/>
  <c r="J2428" i="2"/>
  <c r="L2428" i="2" s="1"/>
  <c r="J2427" i="2"/>
  <c r="L2427" i="2" s="1"/>
  <c r="J2426" i="2"/>
  <c r="L2426" i="2" s="1"/>
  <c r="J2425" i="2"/>
  <c r="L2425" i="2" s="1"/>
  <c r="J2424" i="2"/>
  <c r="L2424" i="2" s="1"/>
  <c r="J2423" i="2"/>
  <c r="L2423" i="2" s="1"/>
  <c r="J2422" i="2"/>
  <c r="L2422" i="2" s="1"/>
  <c r="J2421" i="2"/>
  <c r="L2421" i="2" s="1"/>
  <c r="J2420" i="2"/>
  <c r="L2420" i="2" s="1"/>
  <c r="J2419" i="2"/>
  <c r="L2419" i="2" s="1"/>
  <c r="J2418" i="2"/>
  <c r="L2418" i="2" s="1"/>
  <c r="J2417" i="2"/>
  <c r="L2417" i="2" s="1"/>
  <c r="J2416" i="2"/>
  <c r="L2416" i="2" s="1"/>
  <c r="J2415" i="2"/>
  <c r="L2415" i="2" s="1"/>
  <c r="J2414" i="2"/>
  <c r="L2414" i="2" s="1"/>
  <c r="J2413" i="2"/>
  <c r="L2413" i="2" s="1"/>
  <c r="J2412" i="2"/>
  <c r="L2412" i="2" s="1"/>
  <c r="J2411" i="2"/>
  <c r="L2411" i="2" s="1"/>
  <c r="J2410" i="2"/>
  <c r="L2410" i="2" s="1"/>
  <c r="J2409" i="2"/>
  <c r="L2409" i="2" s="1"/>
  <c r="J2408" i="2"/>
  <c r="L2408" i="2" s="1"/>
  <c r="J2407" i="2"/>
  <c r="L2407" i="2" s="1"/>
  <c r="J2406" i="2"/>
  <c r="L2406" i="2" s="1"/>
  <c r="J2405" i="2"/>
  <c r="L2405" i="2" s="1"/>
  <c r="J2404" i="2"/>
  <c r="L2404" i="2" s="1"/>
  <c r="J2403" i="2"/>
  <c r="L2403" i="2" s="1"/>
  <c r="J2402" i="2"/>
  <c r="L2402" i="2" s="1"/>
  <c r="J2401" i="2"/>
  <c r="L2401" i="2" s="1"/>
  <c r="J2400" i="2"/>
  <c r="L2400" i="2" s="1"/>
  <c r="J2399" i="2"/>
  <c r="L2399" i="2" s="1"/>
  <c r="J2398" i="2"/>
  <c r="L2398" i="2" s="1"/>
  <c r="J2397" i="2"/>
  <c r="L2397" i="2" s="1"/>
  <c r="J2396" i="2"/>
  <c r="L2396" i="2" s="1"/>
  <c r="J2395" i="2"/>
  <c r="L2395" i="2" s="1"/>
  <c r="J2394" i="2"/>
  <c r="L2394" i="2" s="1"/>
  <c r="J2393" i="2"/>
  <c r="L2393" i="2" s="1"/>
  <c r="J2392" i="2"/>
  <c r="L2392" i="2" s="1"/>
  <c r="J2391" i="2"/>
  <c r="L2391" i="2" s="1"/>
  <c r="J2390" i="2"/>
  <c r="L2390" i="2" s="1"/>
  <c r="J2389" i="2"/>
  <c r="L2389" i="2" s="1"/>
  <c r="J2388" i="2"/>
  <c r="L2388" i="2" s="1"/>
  <c r="J2387" i="2"/>
  <c r="L2387" i="2" s="1"/>
  <c r="J2386" i="2"/>
  <c r="L2386" i="2" s="1"/>
  <c r="J2385" i="2"/>
  <c r="L2385" i="2" s="1"/>
  <c r="J2384" i="2"/>
  <c r="L2384" i="2" s="1"/>
  <c r="J2383" i="2"/>
  <c r="L2383" i="2" s="1"/>
  <c r="J2382" i="2"/>
  <c r="L2382" i="2" s="1"/>
  <c r="J2381" i="2"/>
  <c r="L2381" i="2" s="1"/>
  <c r="J2380" i="2"/>
  <c r="L2380" i="2" s="1"/>
  <c r="J2379" i="2"/>
  <c r="L2379" i="2" s="1"/>
  <c r="J2378" i="2"/>
  <c r="L2378" i="2" s="1"/>
  <c r="J2377" i="2"/>
  <c r="L2377" i="2" s="1"/>
  <c r="J2376" i="2"/>
  <c r="L2376" i="2" s="1"/>
  <c r="J2375" i="2"/>
  <c r="L2375" i="2" s="1"/>
  <c r="J2374" i="2"/>
  <c r="L2374" i="2" s="1"/>
  <c r="J2373" i="2"/>
  <c r="L2373" i="2" s="1"/>
  <c r="J2372" i="2"/>
  <c r="L2372" i="2" s="1"/>
  <c r="J2371" i="2"/>
  <c r="L2371" i="2" s="1"/>
  <c r="J2370" i="2"/>
  <c r="L2370" i="2" s="1"/>
  <c r="J2369" i="2"/>
  <c r="L2369" i="2" s="1"/>
  <c r="J2368" i="2"/>
  <c r="L2368" i="2" s="1"/>
  <c r="J2367" i="2"/>
  <c r="L2367" i="2" s="1"/>
  <c r="J2366" i="2"/>
  <c r="L2366" i="2" s="1"/>
  <c r="J2365" i="2"/>
  <c r="L2365" i="2" s="1"/>
  <c r="J2364" i="2"/>
  <c r="L2364" i="2" s="1"/>
  <c r="J2363" i="2"/>
  <c r="L2363" i="2" s="1"/>
  <c r="J2362" i="2"/>
  <c r="L2362" i="2" s="1"/>
  <c r="J2361" i="2"/>
  <c r="L2361" i="2" s="1"/>
  <c r="J2360" i="2"/>
  <c r="L2360" i="2" s="1"/>
  <c r="J2359" i="2"/>
  <c r="L2359" i="2" s="1"/>
  <c r="J2358" i="2"/>
  <c r="L2358" i="2" s="1"/>
  <c r="J2357" i="2"/>
  <c r="L2357" i="2" s="1"/>
  <c r="J2356" i="2"/>
  <c r="L2356" i="2" s="1"/>
  <c r="J2355" i="2"/>
  <c r="L2355" i="2" s="1"/>
  <c r="J2354" i="2"/>
  <c r="L2354" i="2" s="1"/>
  <c r="J2353" i="2"/>
  <c r="L2353" i="2" s="1"/>
  <c r="J2352" i="2"/>
  <c r="L2352" i="2" s="1"/>
  <c r="J2351" i="2"/>
  <c r="L2351" i="2" s="1"/>
  <c r="J2350" i="2"/>
  <c r="L2350" i="2" s="1"/>
  <c r="J2349" i="2"/>
  <c r="L2349" i="2" s="1"/>
  <c r="J2348" i="2"/>
  <c r="L2348" i="2" s="1"/>
  <c r="J2347" i="2"/>
  <c r="L2347" i="2" s="1"/>
  <c r="J2346" i="2"/>
  <c r="L2346" i="2" s="1"/>
  <c r="J2345" i="2"/>
  <c r="L2345" i="2" s="1"/>
  <c r="J2344" i="2"/>
  <c r="L2344" i="2" s="1"/>
  <c r="J2343" i="2"/>
  <c r="L2343" i="2" s="1"/>
  <c r="J2342" i="2"/>
  <c r="L2342" i="2" s="1"/>
  <c r="J2341" i="2"/>
  <c r="L2341" i="2" s="1"/>
  <c r="J2340" i="2"/>
  <c r="L2340" i="2" s="1"/>
  <c r="J2339" i="2"/>
  <c r="L2339" i="2" s="1"/>
  <c r="J2338" i="2"/>
  <c r="L2338" i="2" s="1"/>
  <c r="J2337" i="2"/>
  <c r="L2337" i="2" s="1"/>
  <c r="J2336" i="2"/>
  <c r="L2336" i="2" s="1"/>
  <c r="J2335" i="2"/>
  <c r="L2335" i="2" s="1"/>
  <c r="J2334" i="2"/>
  <c r="L2334" i="2" s="1"/>
  <c r="J2333" i="2"/>
  <c r="L2333" i="2" s="1"/>
  <c r="J2332" i="2"/>
  <c r="L2332" i="2" s="1"/>
  <c r="J2331" i="2"/>
  <c r="L2331" i="2" s="1"/>
  <c r="J2330" i="2"/>
  <c r="L2330" i="2" s="1"/>
  <c r="J2329" i="2"/>
  <c r="L2329" i="2" s="1"/>
  <c r="J2328" i="2"/>
  <c r="L2328" i="2" s="1"/>
  <c r="J2327" i="2"/>
  <c r="L2327" i="2" s="1"/>
  <c r="J2326" i="2"/>
  <c r="L2326" i="2" s="1"/>
  <c r="J2325" i="2"/>
  <c r="L2325" i="2" s="1"/>
  <c r="J2324" i="2"/>
  <c r="L2324" i="2" s="1"/>
  <c r="J2323" i="2"/>
  <c r="L2323" i="2" s="1"/>
  <c r="J2322" i="2"/>
  <c r="L2322" i="2" s="1"/>
  <c r="J2321" i="2"/>
  <c r="L2321" i="2" s="1"/>
  <c r="J2320" i="2"/>
  <c r="L2320" i="2" s="1"/>
  <c r="J2319" i="2"/>
  <c r="L2319" i="2" s="1"/>
  <c r="J2318" i="2"/>
  <c r="L2318" i="2" s="1"/>
  <c r="J2317" i="2"/>
  <c r="L2317" i="2" s="1"/>
  <c r="J2316" i="2"/>
  <c r="L2316" i="2" s="1"/>
  <c r="J2315" i="2"/>
  <c r="L2315" i="2" s="1"/>
  <c r="J2314" i="2"/>
  <c r="L2314" i="2" s="1"/>
  <c r="J2313" i="2"/>
  <c r="L2313" i="2" s="1"/>
  <c r="J2312" i="2"/>
  <c r="L2312" i="2" s="1"/>
  <c r="J2311" i="2"/>
  <c r="L2311" i="2" s="1"/>
  <c r="J2310" i="2"/>
  <c r="L2310" i="2" s="1"/>
  <c r="J2309" i="2"/>
  <c r="L2309" i="2" s="1"/>
  <c r="J2308" i="2"/>
  <c r="L2308" i="2" s="1"/>
  <c r="J2307" i="2"/>
  <c r="L2307" i="2" s="1"/>
  <c r="J2306" i="2"/>
  <c r="L2306" i="2" s="1"/>
  <c r="J2305" i="2"/>
  <c r="L2305" i="2" s="1"/>
  <c r="J2304" i="2"/>
  <c r="L2304" i="2" s="1"/>
  <c r="J2303" i="2"/>
  <c r="L2303" i="2" s="1"/>
  <c r="J2302" i="2"/>
  <c r="L2302" i="2" s="1"/>
  <c r="J2301" i="2"/>
  <c r="L2301" i="2" s="1"/>
  <c r="J2300" i="2"/>
  <c r="L2300" i="2" s="1"/>
  <c r="J2299" i="2"/>
  <c r="L2299" i="2" s="1"/>
  <c r="J2298" i="2"/>
  <c r="L2298" i="2" s="1"/>
  <c r="J2297" i="2"/>
  <c r="L2297" i="2" s="1"/>
  <c r="J2296" i="2"/>
  <c r="L2296" i="2" s="1"/>
  <c r="J2295" i="2"/>
  <c r="L2295" i="2" s="1"/>
  <c r="J2294" i="2"/>
  <c r="L2294" i="2" s="1"/>
  <c r="J2293" i="2"/>
  <c r="L2293" i="2" s="1"/>
  <c r="J2292" i="2"/>
  <c r="L2292" i="2" s="1"/>
  <c r="J2291" i="2"/>
  <c r="L2291" i="2" s="1"/>
  <c r="J2290" i="2"/>
  <c r="L2290" i="2" s="1"/>
  <c r="J2289" i="2"/>
  <c r="L2289" i="2" s="1"/>
  <c r="J2288" i="2"/>
  <c r="L2288" i="2" s="1"/>
  <c r="J2287" i="2"/>
  <c r="L2287" i="2" s="1"/>
  <c r="J2286" i="2"/>
  <c r="L2286" i="2" s="1"/>
  <c r="J2285" i="2"/>
  <c r="L2285" i="2" s="1"/>
  <c r="J2284" i="2"/>
  <c r="L2284" i="2" s="1"/>
  <c r="J2283" i="2"/>
  <c r="L2283" i="2" s="1"/>
  <c r="J2282" i="2"/>
  <c r="L2282" i="2" s="1"/>
  <c r="J2281" i="2"/>
  <c r="L2281" i="2" s="1"/>
  <c r="J2280" i="2"/>
  <c r="L2280" i="2" s="1"/>
  <c r="J2279" i="2"/>
  <c r="L2279" i="2" s="1"/>
  <c r="J2278" i="2"/>
  <c r="L2278" i="2" s="1"/>
  <c r="J2277" i="2"/>
  <c r="L2277" i="2" s="1"/>
  <c r="J2276" i="2"/>
  <c r="L2276" i="2" s="1"/>
  <c r="J2275" i="2"/>
  <c r="L2275" i="2" s="1"/>
  <c r="J2274" i="2"/>
  <c r="L2274" i="2" s="1"/>
  <c r="J2273" i="2"/>
  <c r="L2273" i="2" s="1"/>
  <c r="J2272" i="2"/>
  <c r="L2272" i="2" s="1"/>
  <c r="J2271" i="2"/>
  <c r="L2271" i="2" s="1"/>
  <c r="J2270" i="2"/>
  <c r="L2270" i="2" s="1"/>
  <c r="J2269" i="2"/>
  <c r="L2269" i="2" s="1"/>
  <c r="J2268" i="2"/>
  <c r="L2268" i="2" s="1"/>
  <c r="J2267" i="2"/>
  <c r="L2267" i="2" s="1"/>
  <c r="J2266" i="2"/>
  <c r="L2266" i="2" s="1"/>
  <c r="J2265" i="2"/>
  <c r="L2265" i="2" s="1"/>
  <c r="J2264" i="2"/>
  <c r="L2264" i="2" s="1"/>
  <c r="J2263" i="2"/>
  <c r="L2263" i="2" s="1"/>
  <c r="J2262" i="2"/>
  <c r="L2262" i="2" s="1"/>
  <c r="J2261" i="2"/>
  <c r="L2261" i="2" s="1"/>
  <c r="J2260" i="2"/>
  <c r="L2260" i="2" s="1"/>
  <c r="J2259" i="2"/>
  <c r="L2259" i="2" s="1"/>
  <c r="J2258" i="2"/>
  <c r="L2258" i="2" s="1"/>
  <c r="J2257" i="2"/>
  <c r="L2257" i="2" s="1"/>
  <c r="J2256" i="2"/>
  <c r="L2256" i="2" s="1"/>
  <c r="J2255" i="2"/>
  <c r="L2255" i="2" s="1"/>
  <c r="J2254" i="2"/>
  <c r="L2254" i="2" s="1"/>
  <c r="J2253" i="2"/>
  <c r="L2253" i="2" s="1"/>
  <c r="J2252" i="2"/>
  <c r="L2252" i="2" s="1"/>
  <c r="J2251" i="2"/>
  <c r="L2251" i="2" s="1"/>
  <c r="J2250" i="2"/>
  <c r="L2250" i="2" s="1"/>
  <c r="J2249" i="2"/>
  <c r="L2249" i="2" s="1"/>
  <c r="J2248" i="2"/>
  <c r="L2248" i="2" s="1"/>
  <c r="J2247" i="2"/>
  <c r="L2247" i="2" s="1"/>
  <c r="J2246" i="2"/>
  <c r="L2246" i="2" s="1"/>
  <c r="J2245" i="2"/>
  <c r="L2245" i="2" s="1"/>
  <c r="J2244" i="2"/>
  <c r="L2244" i="2" s="1"/>
  <c r="J2243" i="2"/>
  <c r="L2243" i="2" s="1"/>
  <c r="J2242" i="2"/>
  <c r="L2242" i="2" s="1"/>
  <c r="J2241" i="2"/>
  <c r="L2241" i="2" s="1"/>
  <c r="J2240" i="2"/>
  <c r="L2240" i="2" s="1"/>
  <c r="J2239" i="2"/>
  <c r="L2239" i="2" s="1"/>
  <c r="J2238" i="2"/>
  <c r="L2238" i="2" s="1"/>
  <c r="J2237" i="2"/>
  <c r="L2237" i="2" s="1"/>
  <c r="J2236" i="2"/>
  <c r="L2236" i="2" s="1"/>
  <c r="J2235" i="2"/>
  <c r="L2235" i="2" s="1"/>
  <c r="J2234" i="2"/>
  <c r="L2234" i="2" s="1"/>
  <c r="J2233" i="2"/>
  <c r="L2233" i="2" s="1"/>
  <c r="J2232" i="2"/>
  <c r="L2232" i="2" s="1"/>
  <c r="J2231" i="2"/>
  <c r="L2231" i="2" s="1"/>
  <c r="J2230" i="2"/>
  <c r="L2230" i="2" s="1"/>
  <c r="J2229" i="2"/>
  <c r="L2229" i="2" s="1"/>
  <c r="J2228" i="2"/>
  <c r="L2228" i="2" s="1"/>
  <c r="J2227" i="2"/>
  <c r="L2227" i="2" s="1"/>
  <c r="J2226" i="2"/>
  <c r="L2226" i="2" s="1"/>
  <c r="J2225" i="2"/>
  <c r="L2225" i="2" s="1"/>
  <c r="J2224" i="2"/>
  <c r="L2224" i="2" s="1"/>
  <c r="J2223" i="2"/>
  <c r="L2223" i="2" s="1"/>
  <c r="J2222" i="2"/>
  <c r="L2222" i="2" s="1"/>
  <c r="J2221" i="2"/>
  <c r="L2221" i="2" s="1"/>
  <c r="J2220" i="2"/>
  <c r="L2220" i="2" s="1"/>
  <c r="J2219" i="2"/>
  <c r="L2219" i="2" s="1"/>
  <c r="J2218" i="2"/>
  <c r="L2218" i="2" s="1"/>
  <c r="J2217" i="2"/>
  <c r="L2217" i="2" s="1"/>
  <c r="J2216" i="2"/>
  <c r="L2216" i="2" s="1"/>
  <c r="J2215" i="2"/>
  <c r="L2215" i="2" s="1"/>
  <c r="J2214" i="2"/>
  <c r="L2214" i="2" s="1"/>
  <c r="J2213" i="2"/>
  <c r="L2213" i="2" s="1"/>
  <c r="J2212" i="2"/>
  <c r="L2212" i="2" s="1"/>
  <c r="J2211" i="2"/>
  <c r="L2211" i="2" s="1"/>
  <c r="J2210" i="2"/>
  <c r="L2210" i="2" s="1"/>
  <c r="J2209" i="2"/>
  <c r="L2209" i="2" s="1"/>
  <c r="J2208" i="2"/>
  <c r="L2208" i="2" s="1"/>
  <c r="J2207" i="2"/>
  <c r="L2207" i="2" s="1"/>
  <c r="J2206" i="2"/>
  <c r="L2206" i="2" s="1"/>
  <c r="J2205" i="2"/>
  <c r="L2205" i="2" s="1"/>
  <c r="J2204" i="2"/>
  <c r="L2204" i="2" s="1"/>
  <c r="J2203" i="2"/>
  <c r="L2203" i="2" s="1"/>
  <c r="J2202" i="2"/>
  <c r="L2202" i="2" s="1"/>
  <c r="J2201" i="2"/>
  <c r="L2201" i="2" s="1"/>
  <c r="J2200" i="2"/>
  <c r="L2200" i="2" s="1"/>
  <c r="J2199" i="2"/>
  <c r="L2199" i="2" s="1"/>
  <c r="J2198" i="2"/>
  <c r="L2198" i="2" s="1"/>
  <c r="J2197" i="2"/>
  <c r="L2197" i="2" s="1"/>
  <c r="J2196" i="2"/>
  <c r="L2196" i="2" s="1"/>
  <c r="J2195" i="2"/>
  <c r="L2195" i="2" s="1"/>
  <c r="J2194" i="2"/>
  <c r="L2194" i="2" s="1"/>
  <c r="J2193" i="2"/>
  <c r="L2193" i="2" s="1"/>
  <c r="J2192" i="2"/>
  <c r="L2192" i="2" s="1"/>
  <c r="J2191" i="2"/>
  <c r="L2191" i="2" s="1"/>
  <c r="J2190" i="2"/>
  <c r="L2190" i="2" s="1"/>
  <c r="J2189" i="2"/>
  <c r="L2189" i="2" s="1"/>
  <c r="J2188" i="2"/>
  <c r="L2188" i="2" s="1"/>
  <c r="J2187" i="2"/>
  <c r="L2187" i="2" s="1"/>
  <c r="J2186" i="2"/>
  <c r="L2186" i="2" s="1"/>
  <c r="J2185" i="2"/>
  <c r="L2185" i="2" s="1"/>
  <c r="J2184" i="2"/>
  <c r="L2184" i="2" s="1"/>
  <c r="J2183" i="2"/>
  <c r="L2183" i="2" s="1"/>
  <c r="J2182" i="2"/>
  <c r="L2182" i="2" s="1"/>
  <c r="J2181" i="2"/>
  <c r="L2181" i="2" s="1"/>
  <c r="J2180" i="2"/>
  <c r="L2180" i="2" s="1"/>
  <c r="J2179" i="2"/>
  <c r="L2179" i="2" s="1"/>
  <c r="J2178" i="2"/>
  <c r="L2178" i="2" s="1"/>
  <c r="J2177" i="2"/>
  <c r="L2177" i="2" s="1"/>
  <c r="J2176" i="2"/>
  <c r="L2176" i="2" s="1"/>
  <c r="J2175" i="2"/>
  <c r="L2175" i="2" s="1"/>
  <c r="J2174" i="2"/>
  <c r="L2174" i="2" s="1"/>
  <c r="J2173" i="2"/>
  <c r="L2173" i="2" s="1"/>
  <c r="J2172" i="2"/>
  <c r="L2172" i="2" s="1"/>
  <c r="J2171" i="2"/>
  <c r="L2171" i="2" s="1"/>
  <c r="J2170" i="2"/>
  <c r="L2170" i="2" s="1"/>
  <c r="J2169" i="2"/>
  <c r="L2169" i="2" s="1"/>
  <c r="J2168" i="2"/>
  <c r="L2168" i="2" s="1"/>
  <c r="J2167" i="2"/>
  <c r="L2167" i="2" s="1"/>
  <c r="J2166" i="2"/>
  <c r="L2166" i="2" s="1"/>
  <c r="J2165" i="2"/>
  <c r="L2165" i="2" s="1"/>
  <c r="J2164" i="2"/>
  <c r="L2164" i="2" s="1"/>
  <c r="J2163" i="2"/>
  <c r="L2163" i="2" s="1"/>
  <c r="J2162" i="2"/>
  <c r="L2162" i="2" s="1"/>
  <c r="J2161" i="2"/>
  <c r="L2161" i="2" s="1"/>
  <c r="J2160" i="2"/>
  <c r="L2160" i="2" s="1"/>
  <c r="J2159" i="2"/>
  <c r="L2159" i="2" s="1"/>
  <c r="J2158" i="2"/>
  <c r="L2158" i="2" s="1"/>
  <c r="J2157" i="2"/>
  <c r="L2157" i="2" s="1"/>
  <c r="J2156" i="2"/>
  <c r="L2156" i="2" s="1"/>
  <c r="J2155" i="2"/>
  <c r="L2155" i="2" s="1"/>
  <c r="J2154" i="2"/>
  <c r="L2154" i="2" s="1"/>
  <c r="J2153" i="2"/>
  <c r="L2153" i="2" s="1"/>
  <c r="J2152" i="2"/>
  <c r="L2152" i="2" s="1"/>
  <c r="J2151" i="2"/>
  <c r="L2151" i="2" s="1"/>
  <c r="J2150" i="2"/>
  <c r="L2150" i="2" s="1"/>
  <c r="J2149" i="2"/>
  <c r="L2149" i="2" s="1"/>
  <c r="J2148" i="2"/>
  <c r="L2148" i="2" s="1"/>
  <c r="J2147" i="2"/>
  <c r="L2147" i="2" s="1"/>
  <c r="J2146" i="2"/>
  <c r="L2146" i="2" s="1"/>
  <c r="J2145" i="2"/>
  <c r="L2145" i="2" s="1"/>
  <c r="J2144" i="2"/>
  <c r="L2144" i="2" s="1"/>
  <c r="J2143" i="2"/>
  <c r="L2143" i="2" s="1"/>
  <c r="J2142" i="2"/>
  <c r="L2142" i="2" s="1"/>
  <c r="J2141" i="2"/>
  <c r="L2141" i="2" s="1"/>
  <c r="J2140" i="2"/>
  <c r="L2140" i="2" s="1"/>
  <c r="J2139" i="2"/>
  <c r="L2139" i="2" s="1"/>
  <c r="J2138" i="2"/>
  <c r="L2138" i="2" s="1"/>
  <c r="J2137" i="2"/>
  <c r="L2137" i="2" s="1"/>
  <c r="J2136" i="2"/>
  <c r="L2136" i="2" s="1"/>
  <c r="J2135" i="2"/>
  <c r="L2135" i="2" s="1"/>
  <c r="J2134" i="2"/>
  <c r="L2134" i="2" s="1"/>
  <c r="J2133" i="2"/>
  <c r="L2133" i="2" s="1"/>
  <c r="J2132" i="2"/>
  <c r="L2132" i="2" s="1"/>
  <c r="J2131" i="2"/>
  <c r="L2131" i="2" s="1"/>
  <c r="J2130" i="2"/>
  <c r="L2130" i="2" s="1"/>
  <c r="J2129" i="2"/>
  <c r="L2129" i="2" s="1"/>
  <c r="J2128" i="2"/>
  <c r="L2128" i="2" s="1"/>
  <c r="J2127" i="2"/>
  <c r="L2127" i="2" s="1"/>
  <c r="J2126" i="2"/>
  <c r="L2126" i="2" s="1"/>
  <c r="J2125" i="2"/>
  <c r="L2125" i="2" s="1"/>
  <c r="J2124" i="2"/>
  <c r="L2124" i="2" s="1"/>
  <c r="J2123" i="2"/>
  <c r="L2123" i="2" s="1"/>
  <c r="J2122" i="2"/>
  <c r="L2122" i="2" s="1"/>
  <c r="J2121" i="2"/>
  <c r="L2121" i="2" s="1"/>
  <c r="J2120" i="2"/>
  <c r="L2120" i="2" s="1"/>
  <c r="J2119" i="2"/>
  <c r="L2119" i="2" s="1"/>
  <c r="J2118" i="2"/>
  <c r="L2118" i="2" s="1"/>
  <c r="J2117" i="2"/>
  <c r="L2117" i="2" s="1"/>
  <c r="J2116" i="2"/>
  <c r="L2116" i="2" s="1"/>
  <c r="J2115" i="2"/>
  <c r="L2115" i="2" s="1"/>
  <c r="J2114" i="2"/>
  <c r="L2114" i="2" s="1"/>
  <c r="J2113" i="2"/>
  <c r="L2113" i="2" s="1"/>
  <c r="J2112" i="2"/>
  <c r="L2112" i="2" s="1"/>
  <c r="J2111" i="2"/>
  <c r="L2111" i="2" s="1"/>
  <c r="J2110" i="2"/>
  <c r="L2110" i="2" s="1"/>
  <c r="J2109" i="2"/>
  <c r="L2109" i="2" s="1"/>
  <c r="J2108" i="2"/>
  <c r="L2108" i="2" s="1"/>
  <c r="J2107" i="2"/>
  <c r="L2107" i="2" s="1"/>
  <c r="J2106" i="2"/>
  <c r="L2106" i="2" s="1"/>
  <c r="J2105" i="2"/>
  <c r="L2105" i="2" s="1"/>
  <c r="J2104" i="2"/>
  <c r="L2104" i="2" s="1"/>
  <c r="J2103" i="2"/>
  <c r="L2103" i="2" s="1"/>
  <c r="J2102" i="2"/>
  <c r="L2102" i="2" s="1"/>
  <c r="J2101" i="2"/>
  <c r="L2101" i="2" s="1"/>
  <c r="J2100" i="2"/>
  <c r="L2100" i="2" s="1"/>
  <c r="J2099" i="2"/>
  <c r="L2099" i="2" s="1"/>
  <c r="J2098" i="2"/>
  <c r="L2098" i="2" s="1"/>
  <c r="J2097" i="2"/>
  <c r="L2097" i="2" s="1"/>
  <c r="J2096" i="2"/>
  <c r="L2096" i="2" s="1"/>
  <c r="J2095" i="2"/>
  <c r="L2095" i="2" s="1"/>
  <c r="J2094" i="2"/>
  <c r="L2094" i="2" s="1"/>
  <c r="J2093" i="2"/>
  <c r="L2093" i="2" s="1"/>
  <c r="J2092" i="2"/>
  <c r="L2092" i="2" s="1"/>
  <c r="J2091" i="2"/>
  <c r="L2091" i="2" s="1"/>
  <c r="J2090" i="2"/>
  <c r="L2090" i="2" s="1"/>
  <c r="J2089" i="2"/>
  <c r="L2089" i="2" s="1"/>
  <c r="J2088" i="2"/>
  <c r="L2088" i="2" s="1"/>
  <c r="J2087" i="2"/>
  <c r="L2087" i="2" s="1"/>
  <c r="J2086" i="2"/>
  <c r="L2086" i="2" s="1"/>
  <c r="J2085" i="2"/>
  <c r="L2085" i="2" s="1"/>
  <c r="J2084" i="2"/>
  <c r="L2084" i="2" s="1"/>
  <c r="J2083" i="2"/>
  <c r="L2083" i="2" s="1"/>
  <c r="J2082" i="2"/>
  <c r="L2082" i="2" s="1"/>
  <c r="J2081" i="2"/>
  <c r="L2081" i="2" s="1"/>
  <c r="J2080" i="2"/>
  <c r="L2080" i="2" s="1"/>
  <c r="J2079" i="2"/>
  <c r="L2079" i="2" s="1"/>
  <c r="J2078" i="2"/>
  <c r="L2078" i="2" s="1"/>
  <c r="J2077" i="2"/>
  <c r="L2077" i="2" s="1"/>
  <c r="J2076" i="2"/>
  <c r="L2076" i="2" s="1"/>
  <c r="J2075" i="2"/>
  <c r="L2075" i="2" s="1"/>
  <c r="J2074" i="2"/>
  <c r="L2074" i="2" s="1"/>
  <c r="J2073" i="2"/>
  <c r="L2073" i="2" s="1"/>
  <c r="J2072" i="2"/>
  <c r="L2072" i="2" s="1"/>
  <c r="J2071" i="2"/>
  <c r="L2071" i="2" s="1"/>
  <c r="J2070" i="2"/>
  <c r="L2070" i="2" s="1"/>
  <c r="J2069" i="2"/>
  <c r="L2069" i="2" s="1"/>
  <c r="J2068" i="2"/>
  <c r="L2068" i="2" s="1"/>
  <c r="J2067" i="2"/>
  <c r="L2067" i="2" s="1"/>
  <c r="J2066" i="2"/>
  <c r="L2066" i="2" s="1"/>
  <c r="J2065" i="2"/>
  <c r="L2065" i="2" s="1"/>
  <c r="J2064" i="2"/>
  <c r="L2064" i="2" s="1"/>
  <c r="J2063" i="2"/>
  <c r="L2063" i="2" s="1"/>
  <c r="J2062" i="2"/>
  <c r="L2062" i="2" s="1"/>
  <c r="J2061" i="2"/>
  <c r="L2061" i="2" s="1"/>
  <c r="J2060" i="2"/>
  <c r="L2060" i="2" s="1"/>
  <c r="J2059" i="2"/>
  <c r="L2059" i="2" s="1"/>
  <c r="J2058" i="2"/>
  <c r="L2058" i="2" s="1"/>
  <c r="J2057" i="2"/>
  <c r="L2057" i="2" s="1"/>
  <c r="J2056" i="2"/>
  <c r="L2056" i="2" s="1"/>
  <c r="J2055" i="2"/>
  <c r="L2055" i="2" s="1"/>
  <c r="J2054" i="2"/>
  <c r="L2054" i="2" s="1"/>
  <c r="J2053" i="2"/>
  <c r="L2053" i="2" s="1"/>
  <c r="J2052" i="2"/>
  <c r="L2052" i="2" s="1"/>
  <c r="J2051" i="2"/>
  <c r="L2051" i="2" s="1"/>
  <c r="J2050" i="2"/>
  <c r="L2050" i="2" s="1"/>
  <c r="J2049" i="2"/>
  <c r="L2049" i="2" s="1"/>
  <c r="J2048" i="2"/>
  <c r="L2048" i="2" s="1"/>
  <c r="J2047" i="2"/>
  <c r="L2047" i="2" s="1"/>
  <c r="J2046" i="2"/>
  <c r="L2046" i="2" s="1"/>
  <c r="J2045" i="2"/>
  <c r="L2045" i="2" s="1"/>
  <c r="J2044" i="2"/>
  <c r="L2044" i="2" s="1"/>
  <c r="J2043" i="2"/>
  <c r="L2043" i="2" s="1"/>
  <c r="J2042" i="2"/>
  <c r="L2042" i="2" s="1"/>
  <c r="J2041" i="2"/>
  <c r="L2041" i="2" s="1"/>
  <c r="J2040" i="2"/>
  <c r="L2040" i="2" s="1"/>
  <c r="J2039" i="2"/>
  <c r="L2039" i="2" s="1"/>
  <c r="J2038" i="2"/>
  <c r="L2038" i="2" s="1"/>
  <c r="J2037" i="2"/>
  <c r="L2037" i="2" s="1"/>
  <c r="J2036" i="2"/>
  <c r="L2036" i="2" s="1"/>
  <c r="J2035" i="2"/>
  <c r="L2035" i="2" s="1"/>
  <c r="J2034" i="2"/>
  <c r="L2034" i="2" s="1"/>
  <c r="J2033" i="2"/>
  <c r="L2033" i="2" s="1"/>
  <c r="J2032" i="2"/>
  <c r="L2032" i="2" s="1"/>
  <c r="J2031" i="2"/>
  <c r="L2031" i="2" s="1"/>
  <c r="J2030" i="2"/>
  <c r="L2030" i="2" s="1"/>
  <c r="J2029" i="2"/>
  <c r="L2029" i="2" s="1"/>
  <c r="J2028" i="2"/>
  <c r="L2028" i="2" s="1"/>
  <c r="J2027" i="2"/>
  <c r="L2027" i="2" s="1"/>
  <c r="J2026" i="2"/>
  <c r="L2026" i="2" s="1"/>
  <c r="J2025" i="2"/>
  <c r="L2025" i="2" s="1"/>
  <c r="J2024" i="2"/>
  <c r="L2024" i="2" s="1"/>
  <c r="J2023" i="2"/>
  <c r="L2023" i="2" s="1"/>
  <c r="J2022" i="2"/>
  <c r="L2022" i="2" s="1"/>
  <c r="J2021" i="2"/>
  <c r="L2021" i="2" s="1"/>
  <c r="J2020" i="2"/>
  <c r="L2020" i="2" s="1"/>
  <c r="J2019" i="2"/>
  <c r="L2019" i="2" s="1"/>
  <c r="J2018" i="2"/>
  <c r="L2018" i="2" s="1"/>
  <c r="J2017" i="2"/>
  <c r="L2017" i="2" s="1"/>
  <c r="J2016" i="2"/>
  <c r="L2016" i="2" s="1"/>
  <c r="J2015" i="2"/>
  <c r="L2015" i="2" s="1"/>
  <c r="J2014" i="2"/>
  <c r="L2014" i="2" s="1"/>
  <c r="J2013" i="2"/>
  <c r="L2013" i="2" s="1"/>
  <c r="J2012" i="2"/>
  <c r="L2012" i="2" s="1"/>
  <c r="J2011" i="2"/>
  <c r="L2011" i="2" s="1"/>
  <c r="J2010" i="2"/>
  <c r="L2010" i="2" s="1"/>
  <c r="J2009" i="2"/>
  <c r="L2009" i="2" s="1"/>
  <c r="J2008" i="2"/>
  <c r="L2008" i="2" s="1"/>
  <c r="J2007" i="2"/>
  <c r="L2007" i="2" s="1"/>
  <c r="J2006" i="2"/>
  <c r="L2006" i="2" s="1"/>
  <c r="J2005" i="2"/>
  <c r="L2005" i="2" s="1"/>
  <c r="J2004" i="2"/>
  <c r="L2004" i="2" s="1"/>
  <c r="J2003" i="2"/>
  <c r="L2003" i="2" s="1"/>
  <c r="J2002" i="2"/>
  <c r="L2002" i="2" s="1"/>
  <c r="J2001" i="2"/>
  <c r="L2001" i="2" s="1"/>
  <c r="J2000" i="2"/>
  <c r="L2000" i="2" s="1"/>
  <c r="J1999" i="2"/>
  <c r="L1999" i="2" s="1"/>
  <c r="J1998" i="2"/>
  <c r="L1998" i="2" s="1"/>
  <c r="J1997" i="2"/>
  <c r="L1997" i="2" s="1"/>
  <c r="J1996" i="2"/>
  <c r="L1996" i="2" s="1"/>
  <c r="J1995" i="2"/>
  <c r="L1995" i="2" s="1"/>
  <c r="J1994" i="2"/>
  <c r="L1994" i="2" s="1"/>
  <c r="J1993" i="2"/>
  <c r="L1993" i="2" s="1"/>
  <c r="J1992" i="2"/>
  <c r="L1992" i="2" s="1"/>
  <c r="J1991" i="2"/>
  <c r="L1991" i="2" s="1"/>
  <c r="J1990" i="2"/>
  <c r="L1990" i="2" s="1"/>
  <c r="J1989" i="2"/>
  <c r="L1989" i="2" s="1"/>
  <c r="J1988" i="2"/>
  <c r="L1988" i="2" s="1"/>
  <c r="J1987" i="2"/>
  <c r="L1987" i="2" s="1"/>
  <c r="J1986" i="2"/>
  <c r="L1986" i="2" s="1"/>
  <c r="J1985" i="2"/>
  <c r="L1985" i="2" s="1"/>
  <c r="J1984" i="2"/>
  <c r="L1984" i="2" s="1"/>
  <c r="J1983" i="2"/>
  <c r="L1983" i="2" s="1"/>
  <c r="J1982" i="2"/>
  <c r="L1982" i="2" s="1"/>
  <c r="J1981" i="2"/>
  <c r="L1981" i="2" s="1"/>
  <c r="J1980" i="2"/>
  <c r="L1980" i="2" s="1"/>
  <c r="J1979" i="2"/>
  <c r="L1979" i="2" s="1"/>
  <c r="J1978" i="2"/>
  <c r="L1978" i="2" s="1"/>
  <c r="J1977" i="2"/>
  <c r="L1977" i="2" s="1"/>
  <c r="J1976" i="2"/>
  <c r="L1976" i="2" s="1"/>
  <c r="J1975" i="2"/>
  <c r="L1975" i="2" s="1"/>
  <c r="J1974" i="2"/>
  <c r="L1974" i="2" s="1"/>
  <c r="J1973" i="2"/>
  <c r="L1973" i="2" s="1"/>
  <c r="J1972" i="2"/>
  <c r="L1972" i="2" s="1"/>
  <c r="J1971" i="2"/>
  <c r="L1971" i="2" s="1"/>
  <c r="J1970" i="2"/>
  <c r="L1970" i="2" s="1"/>
  <c r="J1969" i="2"/>
  <c r="L1969" i="2" s="1"/>
  <c r="J1968" i="2"/>
  <c r="L1968" i="2" s="1"/>
  <c r="J1967" i="2"/>
  <c r="L1967" i="2" s="1"/>
  <c r="J1966" i="2"/>
  <c r="L1966" i="2" s="1"/>
  <c r="J1965" i="2"/>
  <c r="L1965" i="2" s="1"/>
  <c r="J1964" i="2"/>
  <c r="L1964" i="2" s="1"/>
  <c r="J1963" i="2"/>
  <c r="L1963" i="2" s="1"/>
  <c r="J1962" i="2"/>
  <c r="L1962" i="2" s="1"/>
  <c r="J1961" i="2"/>
  <c r="L1961" i="2" s="1"/>
  <c r="J1960" i="2"/>
  <c r="L1960" i="2" s="1"/>
  <c r="J1959" i="2"/>
  <c r="L1959" i="2" s="1"/>
  <c r="J1958" i="2"/>
  <c r="L1958" i="2" s="1"/>
  <c r="J1957" i="2"/>
  <c r="L1957" i="2" s="1"/>
  <c r="J1956" i="2"/>
  <c r="L1956" i="2" s="1"/>
  <c r="J1955" i="2"/>
  <c r="L1955" i="2" s="1"/>
  <c r="J1954" i="2"/>
  <c r="L1954" i="2" s="1"/>
  <c r="J1953" i="2"/>
  <c r="L1953" i="2" s="1"/>
  <c r="J1952" i="2"/>
  <c r="L1952" i="2" s="1"/>
  <c r="J1951" i="2"/>
  <c r="L1951" i="2" s="1"/>
  <c r="J1950" i="2"/>
  <c r="L1950" i="2" s="1"/>
  <c r="J1949" i="2"/>
  <c r="L1949" i="2" s="1"/>
  <c r="J1948" i="2"/>
  <c r="L1948" i="2" s="1"/>
  <c r="J1947" i="2"/>
  <c r="L1947" i="2" s="1"/>
  <c r="J1946" i="2"/>
  <c r="L1946" i="2" s="1"/>
  <c r="J1945" i="2"/>
  <c r="L1945" i="2" s="1"/>
  <c r="J1944" i="2"/>
  <c r="L1944" i="2" s="1"/>
  <c r="J1943" i="2"/>
  <c r="L1943" i="2" s="1"/>
  <c r="J1942" i="2"/>
  <c r="L1942" i="2" s="1"/>
  <c r="J1941" i="2"/>
  <c r="L1941" i="2" s="1"/>
  <c r="J1940" i="2"/>
  <c r="L1940" i="2" s="1"/>
  <c r="J1939" i="2"/>
  <c r="L1939" i="2" s="1"/>
  <c r="J1938" i="2"/>
  <c r="L1938" i="2" s="1"/>
  <c r="J1937" i="2"/>
  <c r="L1937" i="2" s="1"/>
  <c r="J1936" i="2"/>
  <c r="L1936" i="2" s="1"/>
  <c r="J1935" i="2"/>
  <c r="L1935" i="2" s="1"/>
  <c r="J1934" i="2"/>
  <c r="L1934" i="2" s="1"/>
  <c r="J1933" i="2"/>
  <c r="L1933" i="2" s="1"/>
  <c r="J1932" i="2"/>
  <c r="L1932" i="2" s="1"/>
  <c r="J1931" i="2"/>
  <c r="L1931" i="2" s="1"/>
  <c r="J1930" i="2"/>
  <c r="L1930" i="2" s="1"/>
  <c r="J1929" i="2"/>
  <c r="L1929" i="2" s="1"/>
  <c r="J1928" i="2"/>
  <c r="L1928" i="2" s="1"/>
  <c r="J1927" i="2"/>
  <c r="L1927" i="2" s="1"/>
  <c r="J1926" i="2"/>
  <c r="L1926" i="2" s="1"/>
  <c r="J1925" i="2"/>
  <c r="L1925" i="2" s="1"/>
  <c r="J1924" i="2"/>
  <c r="L1924" i="2" s="1"/>
  <c r="J1923" i="2"/>
  <c r="L1923" i="2" s="1"/>
  <c r="J1922" i="2"/>
  <c r="L1922" i="2" s="1"/>
  <c r="J1921" i="2"/>
  <c r="L1921" i="2" s="1"/>
  <c r="J1920" i="2"/>
  <c r="L1920" i="2" s="1"/>
  <c r="J1919" i="2"/>
  <c r="L1919" i="2" s="1"/>
  <c r="J1918" i="2"/>
  <c r="L1918" i="2" s="1"/>
  <c r="J1917" i="2"/>
  <c r="L1917" i="2" s="1"/>
  <c r="J1916" i="2"/>
  <c r="L1916" i="2" s="1"/>
  <c r="J1915" i="2"/>
  <c r="L1915" i="2" s="1"/>
  <c r="J1914" i="2"/>
  <c r="L1914" i="2" s="1"/>
  <c r="J1913" i="2"/>
  <c r="L1913" i="2" s="1"/>
  <c r="J1912" i="2"/>
  <c r="L1912" i="2" s="1"/>
  <c r="J1911" i="2"/>
  <c r="L1911" i="2" s="1"/>
  <c r="J1910" i="2"/>
  <c r="L1910" i="2" s="1"/>
  <c r="J1909" i="2"/>
  <c r="L1909" i="2" s="1"/>
  <c r="J1908" i="2"/>
  <c r="L1908" i="2" s="1"/>
  <c r="J1907" i="2"/>
  <c r="L1907" i="2" s="1"/>
  <c r="J1906" i="2"/>
  <c r="L1906" i="2" s="1"/>
  <c r="J1905" i="2"/>
  <c r="L1905" i="2" s="1"/>
  <c r="J1904" i="2"/>
  <c r="L1904" i="2" s="1"/>
  <c r="J1903" i="2"/>
  <c r="L1903" i="2" s="1"/>
  <c r="J1902" i="2"/>
  <c r="L1902" i="2" s="1"/>
  <c r="J1901" i="2"/>
  <c r="L1901" i="2" s="1"/>
  <c r="J1900" i="2"/>
  <c r="L1900" i="2" s="1"/>
  <c r="J1899" i="2"/>
  <c r="L1899" i="2" s="1"/>
  <c r="J1898" i="2"/>
  <c r="L1898" i="2" s="1"/>
  <c r="J1897" i="2"/>
  <c r="L1897" i="2" s="1"/>
  <c r="J1896" i="2"/>
  <c r="L1896" i="2" s="1"/>
  <c r="J1895" i="2"/>
  <c r="L1895" i="2" s="1"/>
  <c r="J1894" i="2"/>
  <c r="L1894" i="2" s="1"/>
  <c r="J1893" i="2"/>
  <c r="L1893" i="2" s="1"/>
  <c r="J1892" i="2"/>
  <c r="L1892" i="2" s="1"/>
  <c r="J1891" i="2"/>
  <c r="L1891" i="2" s="1"/>
  <c r="J1890" i="2"/>
  <c r="L1890" i="2" s="1"/>
  <c r="J1889" i="2"/>
  <c r="L1889" i="2" s="1"/>
  <c r="J1888" i="2"/>
  <c r="L1888" i="2" s="1"/>
  <c r="J1887" i="2"/>
  <c r="L1887" i="2" s="1"/>
  <c r="J1886" i="2"/>
  <c r="L1886" i="2" s="1"/>
  <c r="J1885" i="2"/>
  <c r="L1885" i="2" s="1"/>
  <c r="J1884" i="2"/>
  <c r="L1884" i="2" s="1"/>
  <c r="J1883" i="2"/>
  <c r="L1883" i="2" s="1"/>
  <c r="J1882" i="2"/>
  <c r="L1882" i="2" s="1"/>
  <c r="J1881" i="2"/>
  <c r="L1881" i="2" s="1"/>
  <c r="J1880" i="2"/>
  <c r="L1880" i="2" s="1"/>
  <c r="J1879" i="2"/>
  <c r="L1879" i="2" s="1"/>
  <c r="J1878" i="2"/>
  <c r="L1878" i="2" s="1"/>
  <c r="J1877" i="2"/>
  <c r="L1877" i="2" s="1"/>
  <c r="J1876" i="2"/>
  <c r="L1876" i="2" s="1"/>
  <c r="J1875" i="2"/>
  <c r="L1875" i="2" s="1"/>
  <c r="J1874" i="2"/>
  <c r="L1874" i="2" s="1"/>
  <c r="J1873" i="2"/>
  <c r="L1873" i="2" s="1"/>
  <c r="J1872" i="2"/>
  <c r="L1872" i="2" s="1"/>
  <c r="J1871" i="2"/>
  <c r="L1871" i="2" s="1"/>
  <c r="J1870" i="2"/>
  <c r="L1870" i="2" s="1"/>
  <c r="J1869" i="2"/>
  <c r="L1869" i="2" s="1"/>
  <c r="J1868" i="2"/>
  <c r="L1868" i="2" s="1"/>
  <c r="J1867" i="2"/>
  <c r="L1867" i="2" s="1"/>
  <c r="J1866" i="2"/>
  <c r="L1866" i="2" s="1"/>
  <c r="J1865" i="2"/>
  <c r="L1865" i="2" s="1"/>
  <c r="J1864" i="2"/>
  <c r="L1864" i="2" s="1"/>
  <c r="J1863" i="2"/>
  <c r="L1863" i="2" s="1"/>
  <c r="J1862" i="2"/>
  <c r="L1862" i="2" s="1"/>
  <c r="J1861" i="2"/>
  <c r="L1861" i="2" s="1"/>
  <c r="J1860" i="2"/>
  <c r="L1860" i="2" s="1"/>
  <c r="J1859" i="2"/>
  <c r="L1859" i="2" s="1"/>
  <c r="J1858" i="2"/>
  <c r="L1858" i="2" s="1"/>
  <c r="J1857" i="2"/>
  <c r="L1857" i="2" s="1"/>
  <c r="J1856" i="2"/>
  <c r="L1856" i="2" s="1"/>
  <c r="J1855" i="2"/>
  <c r="L1855" i="2" s="1"/>
  <c r="J1854" i="2"/>
  <c r="L1854" i="2" s="1"/>
  <c r="J1853" i="2"/>
  <c r="L1853" i="2" s="1"/>
  <c r="J1852" i="2"/>
  <c r="L1852" i="2" s="1"/>
  <c r="J1851" i="2"/>
  <c r="L1851" i="2" s="1"/>
  <c r="J1850" i="2"/>
  <c r="L1850" i="2" s="1"/>
  <c r="J1849" i="2"/>
  <c r="L1849" i="2" s="1"/>
  <c r="J1848" i="2"/>
  <c r="L1848" i="2" s="1"/>
  <c r="J1847" i="2"/>
  <c r="L1847" i="2" s="1"/>
  <c r="J1846" i="2"/>
  <c r="L1846" i="2" s="1"/>
  <c r="J1845" i="2"/>
  <c r="L1845" i="2" s="1"/>
  <c r="J1844" i="2"/>
  <c r="L1844" i="2" s="1"/>
  <c r="J1843" i="2"/>
  <c r="L1843" i="2" s="1"/>
  <c r="J1842" i="2"/>
  <c r="L1842" i="2" s="1"/>
  <c r="J1841" i="2"/>
  <c r="L1841" i="2" s="1"/>
  <c r="J1840" i="2"/>
  <c r="L1840" i="2" s="1"/>
  <c r="J1839" i="2"/>
  <c r="L1839" i="2" s="1"/>
  <c r="J1838" i="2"/>
  <c r="L1838" i="2" s="1"/>
  <c r="J1837" i="2"/>
  <c r="L1837" i="2" s="1"/>
  <c r="J1836" i="2"/>
  <c r="L1836" i="2" s="1"/>
  <c r="J1835" i="2"/>
  <c r="L1835" i="2" s="1"/>
  <c r="J1834" i="2"/>
  <c r="L1834" i="2" s="1"/>
  <c r="J1833" i="2"/>
  <c r="L1833" i="2" s="1"/>
  <c r="J1832" i="2"/>
  <c r="L1832" i="2" s="1"/>
  <c r="J1831" i="2"/>
  <c r="L1831" i="2" s="1"/>
  <c r="J1830" i="2"/>
  <c r="L1830" i="2" s="1"/>
  <c r="J1829" i="2"/>
  <c r="L1829" i="2" s="1"/>
  <c r="J1828" i="2"/>
  <c r="L1828" i="2" s="1"/>
  <c r="J1827" i="2"/>
  <c r="L1827" i="2" s="1"/>
  <c r="J1826" i="2"/>
  <c r="L1826" i="2" s="1"/>
  <c r="J1825" i="2"/>
  <c r="L1825" i="2" s="1"/>
  <c r="J1824" i="2"/>
  <c r="L1824" i="2" s="1"/>
  <c r="J1823" i="2"/>
  <c r="L1823" i="2" s="1"/>
  <c r="J1822" i="2"/>
  <c r="L1822" i="2" s="1"/>
  <c r="J1821" i="2"/>
  <c r="L1821" i="2" s="1"/>
  <c r="J1820" i="2"/>
  <c r="L1820" i="2" s="1"/>
  <c r="J1819" i="2"/>
  <c r="L1819" i="2" s="1"/>
  <c r="J1818" i="2"/>
  <c r="L1818" i="2" s="1"/>
  <c r="J1817" i="2"/>
  <c r="L1817" i="2" s="1"/>
  <c r="J1816" i="2"/>
  <c r="L1816" i="2" s="1"/>
  <c r="J1815" i="2"/>
  <c r="L1815" i="2" s="1"/>
  <c r="J1814" i="2"/>
  <c r="L1814" i="2" s="1"/>
  <c r="J1813" i="2"/>
  <c r="L1813" i="2" s="1"/>
  <c r="J1812" i="2"/>
  <c r="L1812" i="2" s="1"/>
  <c r="J1811" i="2"/>
  <c r="L1811" i="2" s="1"/>
  <c r="J1810" i="2"/>
  <c r="L1810" i="2" s="1"/>
  <c r="J1809" i="2"/>
  <c r="L1809" i="2" s="1"/>
  <c r="J1808" i="2"/>
  <c r="L1808" i="2" s="1"/>
  <c r="J1807" i="2"/>
  <c r="L1807" i="2" s="1"/>
  <c r="J1806" i="2"/>
  <c r="L1806" i="2" s="1"/>
  <c r="J1805" i="2"/>
  <c r="L1805" i="2" s="1"/>
  <c r="J1804" i="2"/>
  <c r="L1804" i="2" s="1"/>
  <c r="J1803" i="2"/>
  <c r="L1803" i="2" s="1"/>
  <c r="J1802" i="2"/>
  <c r="L1802" i="2" s="1"/>
  <c r="J1801" i="2"/>
  <c r="L1801" i="2" s="1"/>
  <c r="J1800" i="2"/>
  <c r="L1800" i="2" s="1"/>
  <c r="J1799" i="2"/>
  <c r="L1799" i="2" s="1"/>
  <c r="J1798" i="2"/>
  <c r="L1798" i="2" s="1"/>
  <c r="J1797" i="2"/>
  <c r="L1797" i="2" s="1"/>
  <c r="J1796" i="2"/>
  <c r="L1796" i="2" s="1"/>
  <c r="J1795" i="2"/>
  <c r="L1795" i="2" s="1"/>
  <c r="J1794" i="2"/>
  <c r="L1794" i="2" s="1"/>
  <c r="J1793" i="2"/>
  <c r="L1793" i="2" s="1"/>
  <c r="J1792" i="2"/>
  <c r="L1792" i="2" s="1"/>
  <c r="J1791" i="2"/>
  <c r="L1791" i="2" s="1"/>
  <c r="J1790" i="2"/>
  <c r="L1790" i="2" s="1"/>
  <c r="J1789" i="2"/>
  <c r="L1789" i="2" s="1"/>
  <c r="J1788" i="2"/>
  <c r="L1788" i="2" s="1"/>
  <c r="J1787" i="2"/>
  <c r="L1787" i="2" s="1"/>
  <c r="J1786" i="2"/>
  <c r="L1786" i="2" s="1"/>
  <c r="J1785" i="2"/>
  <c r="L1785" i="2" s="1"/>
  <c r="J1784" i="2"/>
  <c r="L1784" i="2" s="1"/>
  <c r="J1783" i="2"/>
  <c r="L1783" i="2" s="1"/>
  <c r="J1782" i="2"/>
  <c r="L1782" i="2" s="1"/>
  <c r="J1781" i="2"/>
  <c r="L1781" i="2" s="1"/>
  <c r="J1780" i="2"/>
  <c r="L1780" i="2" s="1"/>
  <c r="J1779" i="2"/>
  <c r="L1779" i="2" s="1"/>
  <c r="J1778" i="2"/>
  <c r="L1778" i="2" s="1"/>
  <c r="J1777" i="2"/>
  <c r="L1777" i="2" s="1"/>
  <c r="J1776" i="2"/>
  <c r="L1776" i="2" s="1"/>
  <c r="J1775" i="2"/>
  <c r="L1775" i="2" s="1"/>
  <c r="J1774" i="2"/>
  <c r="L1774" i="2" s="1"/>
  <c r="J1773" i="2"/>
  <c r="L1773" i="2" s="1"/>
  <c r="J1772" i="2"/>
  <c r="L1772" i="2" s="1"/>
  <c r="J1771" i="2"/>
  <c r="L1771" i="2" s="1"/>
  <c r="J1770" i="2"/>
  <c r="L1770" i="2" s="1"/>
  <c r="J1769" i="2"/>
  <c r="L1769" i="2" s="1"/>
  <c r="J1768" i="2"/>
  <c r="L1768" i="2" s="1"/>
  <c r="J1767" i="2"/>
  <c r="L1767" i="2" s="1"/>
  <c r="J1766" i="2"/>
  <c r="L1766" i="2" s="1"/>
  <c r="J1765" i="2"/>
  <c r="L1765" i="2" s="1"/>
  <c r="J1764" i="2"/>
  <c r="L1764" i="2" s="1"/>
  <c r="J1763" i="2"/>
  <c r="L1763" i="2" s="1"/>
  <c r="J1762" i="2"/>
  <c r="L1762" i="2" s="1"/>
  <c r="J1761" i="2"/>
  <c r="L1761" i="2" s="1"/>
  <c r="J1760" i="2"/>
  <c r="L1760" i="2" s="1"/>
  <c r="J1759" i="2"/>
  <c r="L1759" i="2" s="1"/>
  <c r="J1758" i="2"/>
  <c r="L1758" i="2" s="1"/>
  <c r="J1757" i="2"/>
  <c r="L1757" i="2" s="1"/>
  <c r="J1756" i="2"/>
  <c r="L1756" i="2" s="1"/>
  <c r="J1755" i="2"/>
  <c r="L1755" i="2" s="1"/>
  <c r="J1754" i="2"/>
  <c r="L1754" i="2" s="1"/>
  <c r="J1753" i="2"/>
  <c r="L1753" i="2" s="1"/>
  <c r="J1752" i="2"/>
  <c r="L1752" i="2" s="1"/>
  <c r="J1751" i="2"/>
  <c r="L1751" i="2" s="1"/>
  <c r="J1750" i="2"/>
  <c r="L1750" i="2" s="1"/>
  <c r="J1749" i="2"/>
  <c r="L1749" i="2" s="1"/>
  <c r="J1748" i="2"/>
  <c r="L1748" i="2" s="1"/>
  <c r="J1747" i="2"/>
  <c r="L1747" i="2" s="1"/>
  <c r="J1746" i="2"/>
  <c r="L1746" i="2" s="1"/>
  <c r="J1745" i="2"/>
  <c r="L1745" i="2" s="1"/>
  <c r="J1744" i="2"/>
  <c r="L1744" i="2" s="1"/>
  <c r="J1743" i="2"/>
  <c r="L1743" i="2" s="1"/>
  <c r="J1742" i="2"/>
  <c r="L1742" i="2" s="1"/>
  <c r="J1741" i="2"/>
  <c r="L1741" i="2" s="1"/>
  <c r="J1740" i="2"/>
  <c r="L1740" i="2" s="1"/>
  <c r="J1739" i="2"/>
  <c r="L1739" i="2" s="1"/>
  <c r="J1738" i="2"/>
  <c r="L1738" i="2" s="1"/>
  <c r="J1737" i="2"/>
  <c r="L1737" i="2" s="1"/>
  <c r="J1736" i="2"/>
  <c r="L1736" i="2" s="1"/>
  <c r="J1735" i="2"/>
  <c r="L1735" i="2" s="1"/>
  <c r="J1734" i="2"/>
  <c r="L1734" i="2" s="1"/>
  <c r="J1733" i="2"/>
  <c r="L1733" i="2" s="1"/>
  <c r="J1732" i="2"/>
  <c r="L1732" i="2" s="1"/>
  <c r="J1731" i="2"/>
  <c r="L1731" i="2" s="1"/>
  <c r="J1730" i="2"/>
  <c r="L1730" i="2" s="1"/>
  <c r="J1729" i="2"/>
  <c r="L1729" i="2" s="1"/>
  <c r="J1728" i="2"/>
  <c r="L1728" i="2" s="1"/>
  <c r="J1727" i="2"/>
  <c r="L1727" i="2" s="1"/>
  <c r="J1726" i="2"/>
  <c r="L1726" i="2" s="1"/>
  <c r="J1725" i="2"/>
  <c r="L1725" i="2" s="1"/>
  <c r="J1724" i="2"/>
  <c r="L1724" i="2" s="1"/>
  <c r="J1723" i="2"/>
  <c r="L1723" i="2" s="1"/>
  <c r="J1722" i="2"/>
  <c r="L1722" i="2" s="1"/>
  <c r="J1721" i="2"/>
  <c r="L1721" i="2" s="1"/>
  <c r="J1720" i="2"/>
  <c r="L1720" i="2" s="1"/>
  <c r="J1719" i="2"/>
  <c r="L1719" i="2" s="1"/>
  <c r="J1718" i="2"/>
  <c r="L1718" i="2" s="1"/>
  <c r="J1717" i="2"/>
  <c r="L1717" i="2" s="1"/>
  <c r="J1716" i="2"/>
  <c r="L1716" i="2" s="1"/>
  <c r="J1715" i="2"/>
  <c r="L1715" i="2" s="1"/>
  <c r="J1714" i="2"/>
  <c r="L1714" i="2" s="1"/>
  <c r="J1713" i="2"/>
  <c r="L1713" i="2" s="1"/>
  <c r="J1712" i="2"/>
  <c r="L1712" i="2" s="1"/>
  <c r="J1711" i="2"/>
  <c r="L1711" i="2" s="1"/>
  <c r="J1710" i="2"/>
  <c r="L1710" i="2" s="1"/>
  <c r="J1709" i="2"/>
  <c r="L1709" i="2" s="1"/>
  <c r="J1708" i="2"/>
  <c r="L1708" i="2" s="1"/>
  <c r="J1707" i="2"/>
  <c r="L1707" i="2" s="1"/>
  <c r="J1706" i="2"/>
  <c r="L1706" i="2" s="1"/>
  <c r="J1705" i="2"/>
  <c r="L1705" i="2" s="1"/>
  <c r="J1704" i="2"/>
  <c r="L1704" i="2" s="1"/>
  <c r="J1703" i="2"/>
  <c r="L1703" i="2" s="1"/>
  <c r="J1702" i="2"/>
  <c r="L1702" i="2" s="1"/>
  <c r="J1701" i="2"/>
  <c r="L1701" i="2" s="1"/>
  <c r="J1700" i="2"/>
  <c r="L1700" i="2" s="1"/>
  <c r="J1699" i="2"/>
  <c r="L1699" i="2" s="1"/>
  <c r="J1698" i="2"/>
  <c r="L1698" i="2" s="1"/>
  <c r="J1697" i="2"/>
  <c r="L1697" i="2" s="1"/>
  <c r="J1696" i="2"/>
  <c r="L1696" i="2" s="1"/>
  <c r="J1695" i="2"/>
  <c r="L1695" i="2" s="1"/>
  <c r="J1694" i="2"/>
  <c r="L1694" i="2" s="1"/>
  <c r="J1693" i="2"/>
  <c r="L1693" i="2" s="1"/>
  <c r="J1692" i="2"/>
  <c r="L1692" i="2" s="1"/>
  <c r="J1691" i="2"/>
  <c r="L1691" i="2" s="1"/>
  <c r="J1690" i="2"/>
  <c r="L1690" i="2" s="1"/>
  <c r="J1689" i="2"/>
  <c r="L1689" i="2" s="1"/>
  <c r="J1688" i="2"/>
  <c r="L1688" i="2" s="1"/>
  <c r="J1687" i="2"/>
  <c r="L1687" i="2" s="1"/>
  <c r="J1686" i="2"/>
  <c r="L1686" i="2" s="1"/>
  <c r="J1685" i="2"/>
  <c r="L1685" i="2" s="1"/>
  <c r="J1684" i="2"/>
  <c r="L1684" i="2" s="1"/>
  <c r="J1683" i="2"/>
  <c r="L1683" i="2" s="1"/>
  <c r="J1682" i="2"/>
  <c r="L1682" i="2" s="1"/>
  <c r="J1681" i="2"/>
  <c r="L1681" i="2" s="1"/>
  <c r="J1680" i="2"/>
  <c r="L1680" i="2" s="1"/>
  <c r="J1679" i="2"/>
  <c r="L1679" i="2" s="1"/>
  <c r="J1678" i="2"/>
  <c r="L1678" i="2" s="1"/>
  <c r="J1677" i="2"/>
  <c r="L1677" i="2" s="1"/>
  <c r="J1676" i="2"/>
  <c r="L1676" i="2" s="1"/>
  <c r="J1675" i="2"/>
  <c r="L1675" i="2" s="1"/>
  <c r="J1674" i="2"/>
  <c r="L1674" i="2" s="1"/>
  <c r="J1673" i="2"/>
  <c r="L1673" i="2" s="1"/>
  <c r="J1672" i="2"/>
  <c r="L1672" i="2" s="1"/>
  <c r="J1671" i="2"/>
  <c r="L1671" i="2" s="1"/>
  <c r="J1670" i="2"/>
  <c r="L1670" i="2" s="1"/>
  <c r="J1669" i="2"/>
  <c r="L1669" i="2" s="1"/>
  <c r="J1668" i="2"/>
  <c r="L1668" i="2" s="1"/>
  <c r="J1667" i="2"/>
  <c r="L1667" i="2" s="1"/>
  <c r="J1666" i="2"/>
  <c r="L1666" i="2" s="1"/>
  <c r="J1665" i="2"/>
  <c r="L1665" i="2" s="1"/>
  <c r="J1664" i="2"/>
  <c r="L1664" i="2" s="1"/>
  <c r="J1663" i="2"/>
  <c r="L1663" i="2" s="1"/>
  <c r="J1662" i="2"/>
  <c r="L1662" i="2" s="1"/>
  <c r="J1661" i="2"/>
  <c r="L1661" i="2" s="1"/>
  <c r="J1660" i="2"/>
  <c r="L1660" i="2" s="1"/>
  <c r="J1659" i="2"/>
  <c r="L1659" i="2" s="1"/>
  <c r="J1658" i="2"/>
  <c r="L1658" i="2" s="1"/>
  <c r="J1657" i="2"/>
  <c r="L1657" i="2" s="1"/>
  <c r="J1656" i="2"/>
  <c r="L1656" i="2" s="1"/>
  <c r="J1655" i="2"/>
  <c r="L1655" i="2" s="1"/>
  <c r="J1654" i="2"/>
  <c r="L1654" i="2" s="1"/>
  <c r="J1653" i="2"/>
  <c r="L1653" i="2" s="1"/>
  <c r="J1652" i="2"/>
  <c r="L1652" i="2" s="1"/>
  <c r="J1651" i="2"/>
  <c r="L1651" i="2" s="1"/>
  <c r="J1650" i="2"/>
  <c r="L1650" i="2" s="1"/>
  <c r="J1649" i="2"/>
  <c r="L1649" i="2" s="1"/>
  <c r="J1648" i="2"/>
  <c r="L1648" i="2" s="1"/>
  <c r="J1647" i="2"/>
  <c r="L1647" i="2" s="1"/>
  <c r="J1646" i="2"/>
  <c r="L1646" i="2" s="1"/>
  <c r="J1645" i="2"/>
  <c r="L1645" i="2" s="1"/>
  <c r="J1644" i="2"/>
  <c r="L1644" i="2" s="1"/>
  <c r="J1643" i="2"/>
  <c r="L1643" i="2" s="1"/>
  <c r="J1642" i="2"/>
  <c r="L1642" i="2" s="1"/>
  <c r="J1641" i="2"/>
  <c r="L1641" i="2" s="1"/>
  <c r="J1640" i="2"/>
  <c r="L1640" i="2" s="1"/>
  <c r="J1639" i="2"/>
  <c r="L1639" i="2" s="1"/>
  <c r="J1638" i="2"/>
  <c r="L1638" i="2" s="1"/>
  <c r="J1637" i="2"/>
  <c r="L1637" i="2" s="1"/>
  <c r="J1636" i="2"/>
  <c r="L1636" i="2" s="1"/>
  <c r="J1635" i="2"/>
  <c r="L1635" i="2" s="1"/>
  <c r="J1634" i="2"/>
  <c r="L1634" i="2" s="1"/>
  <c r="J1633" i="2"/>
  <c r="L1633" i="2" s="1"/>
  <c r="J1632" i="2"/>
  <c r="L1632" i="2" s="1"/>
  <c r="J1631" i="2"/>
  <c r="L1631" i="2" s="1"/>
  <c r="J1630" i="2"/>
  <c r="L1630" i="2" s="1"/>
  <c r="J1629" i="2"/>
  <c r="L1629" i="2" s="1"/>
  <c r="J1628" i="2"/>
  <c r="L1628" i="2" s="1"/>
  <c r="J1627" i="2"/>
  <c r="L1627" i="2" s="1"/>
  <c r="J1626" i="2"/>
  <c r="L1626" i="2" s="1"/>
  <c r="J1625" i="2"/>
  <c r="L1625" i="2" s="1"/>
  <c r="J1624" i="2"/>
  <c r="L1624" i="2" s="1"/>
  <c r="J1623" i="2"/>
  <c r="L1623" i="2" s="1"/>
  <c r="J1622" i="2"/>
  <c r="L1622" i="2" s="1"/>
  <c r="J1621" i="2"/>
  <c r="L1621" i="2" s="1"/>
  <c r="J1620" i="2"/>
  <c r="L1620" i="2" s="1"/>
  <c r="J1619" i="2"/>
  <c r="L1619" i="2" s="1"/>
  <c r="J1618" i="2"/>
  <c r="L1618" i="2" s="1"/>
  <c r="J1617" i="2"/>
  <c r="L1617" i="2" s="1"/>
  <c r="J1616" i="2"/>
  <c r="L1616" i="2" s="1"/>
  <c r="J1615" i="2"/>
  <c r="L1615" i="2" s="1"/>
  <c r="J1614" i="2"/>
  <c r="L1614" i="2" s="1"/>
  <c r="J1613" i="2"/>
  <c r="L1613" i="2" s="1"/>
  <c r="J1612" i="2"/>
  <c r="L1612" i="2" s="1"/>
  <c r="J1611" i="2"/>
  <c r="L1611" i="2" s="1"/>
  <c r="J1610" i="2"/>
  <c r="L1610" i="2" s="1"/>
  <c r="J1609" i="2"/>
  <c r="L1609" i="2" s="1"/>
  <c r="J1608" i="2"/>
  <c r="L1608" i="2" s="1"/>
  <c r="J1607" i="2"/>
  <c r="L1607" i="2" s="1"/>
  <c r="J1606" i="2"/>
  <c r="L1606" i="2" s="1"/>
  <c r="J1605" i="2"/>
  <c r="L1605" i="2" s="1"/>
  <c r="J1604" i="2"/>
  <c r="L1604" i="2" s="1"/>
  <c r="J1603" i="2"/>
  <c r="L1603" i="2" s="1"/>
  <c r="J1602" i="2"/>
  <c r="L1602" i="2" s="1"/>
  <c r="J1601" i="2"/>
  <c r="L1601" i="2" s="1"/>
  <c r="J1600" i="2"/>
  <c r="L1600" i="2" s="1"/>
  <c r="J1599" i="2"/>
  <c r="L1599" i="2" s="1"/>
  <c r="J1598" i="2"/>
  <c r="L1598" i="2" s="1"/>
  <c r="J1597" i="2"/>
  <c r="L1597" i="2" s="1"/>
  <c r="J1596" i="2"/>
  <c r="L1596" i="2" s="1"/>
  <c r="J1595" i="2"/>
  <c r="L1595" i="2" s="1"/>
  <c r="J1594" i="2"/>
  <c r="L1594" i="2" s="1"/>
  <c r="J1593" i="2"/>
  <c r="L1593" i="2" s="1"/>
  <c r="J1592" i="2"/>
  <c r="L1592" i="2" s="1"/>
  <c r="J1591" i="2"/>
  <c r="L1591" i="2" s="1"/>
  <c r="J1590" i="2"/>
  <c r="L1590" i="2" s="1"/>
  <c r="J1589" i="2"/>
  <c r="L1589" i="2" s="1"/>
  <c r="J1588" i="2"/>
  <c r="L1588" i="2" s="1"/>
  <c r="J1587" i="2"/>
  <c r="L1587" i="2" s="1"/>
  <c r="J1586" i="2"/>
  <c r="L1586" i="2" s="1"/>
  <c r="J1585" i="2"/>
  <c r="L1585" i="2" s="1"/>
  <c r="J1584" i="2"/>
  <c r="L1584" i="2" s="1"/>
  <c r="J1583" i="2"/>
  <c r="L1583" i="2" s="1"/>
  <c r="J1582" i="2"/>
  <c r="L1582" i="2" s="1"/>
  <c r="J1581" i="2"/>
  <c r="L1581" i="2" s="1"/>
  <c r="J1580" i="2"/>
  <c r="L1580" i="2" s="1"/>
  <c r="J1579" i="2"/>
  <c r="L1579" i="2" s="1"/>
  <c r="J1578" i="2"/>
  <c r="L1578" i="2" s="1"/>
  <c r="J1577" i="2"/>
  <c r="L1577" i="2" s="1"/>
  <c r="J1576" i="2"/>
  <c r="L1576" i="2" s="1"/>
  <c r="J1575" i="2"/>
  <c r="L1575" i="2" s="1"/>
  <c r="J1574" i="2"/>
  <c r="L1574" i="2" s="1"/>
  <c r="J1573" i="2"/>
  <c r="L1573" i="2" s="1"/>
  <c r="J1572" i="2"/>
  <c r="L1572" i="2" s="1"/>
  <c r="J1571" i="2"/>
  <c r="L1571" i="2" s="1"/>
  <c r="J1570" i="2"/>
  <c r="L1570" i="2" s="1"/>
  <c r="J1569" i="2"/>
  <c r="L1569" i="2" s="1"/>
  <c r="J1568" i="2"/>
  <c r="L1568" i="2" s="1"/>
  <c r="J1567" i="2"/>
  <c r="L1567" i="2" s="1"/>
  <c r="J1566" i="2"/>
  <c r="L1566" i="2" s="1"/>
  <c r="J1565" i="2"/>
  <c r="L1565" i="2" s="1"/>
  <c r="J1564" i="2"/>
  <c r="L1564" i="2" s="1"/>
  <c r="J1563" i="2"/>
  <c r="L1563" i="2" s="1"/>
  <c r="J1562" i="2"/>
  <c r="L1562" i="2" s="1"/>
  <c r="J1561" i="2"/>
  <c r="L1561" i="2" s="1"/>
  <c r="J1560" i="2"/>
  <c r="L1560" i="2" s="1"/>
  <c r="J1559" i="2"/>
  <c r="L1559" i="2" s="1"/>
  <c r="J1558" i="2"/>
  <c r="L1558" i="2" s="1"/>
  <c r="J1557" i="2"/>
  <c r="L1557" i="2" s="1"/>
  <c r="J1556" i="2"/>
  <c r="L1556" i="2" s="1"/>
  <c r="J1555" i="2"/>
  <c r="L1555" i="2" s="1"/>
  <c r="J1554" i="2"/>
  <c r="L1554" i="2" s="1"/>
  <c r="J1553" i="2"/>
  <c r="L1553" i="2" s="1"/>
  <c r="J1552" i="2"/>
  <c r="L1552" i="2" s="1"/>
  <c r="J1551" i="2"/>
  <c r="L1551" i="2" s="1"/>
  <c r="J1550" i="2"/>
  <c r="L1550" i="2" s="1"/>
  <c r="J1549" i="2"/>
  <c r="L1549" i="2" s="1"/>
  <c r="J1548" i="2"/>
  <c r="L1548" i="2" s="1"/>
  <c r="J1547" i="2"/>
  <c r="L1547" i="2" s="1"/>
  <c r="J1546" i="2"/>
  <c r="L1546" i="2" s="1"/>
  <c r="J1545" i="2"/>
  <c r="L1545" i="2" s="1"/>
  <c r="J1544" i="2"/>
  <c r="L1544" i="2" s="1"/>
  <c r="J1543" i="2"/>
  <c r="L1543" i="2" s="1"/>
  <c r="J1542" i="2"/>
  <c r="L1542" i="2" s="1"/>
  <c r="J1541" i="2"/>
  <c r="L1541" i="2" s="1"/>
  <c r="J1540" i="2"/>
  <c r="L1540" i="2" s="1"/>
  <c r="J1539" i="2"/>
  <c r="L1539" i="2" s="1"/>
  <c r="J1538" i="2"/>
  <c r="L1538" i="2" s="1"/>
  <c r="J1537" i="2"/>
  <c r="L1537" i="2" s="1"/>
  <c r="J1536" i="2"/>
  <c r="L1536" i="2" s="1"/>
  <c r="J1535" i="2"/>
  <c r="L1535" i="2" s="1"/>
  <c r="J1534" i="2"/>
  <c r="L1534" i="2" s="1"/>
  <c r="J1533" i="2"/>
  <c r="L1533" i="2" s="1"/>
  <c r="J1532" i="2"/>
  <c r="L1532" i="2" s="1"/>
  <c r="J1531" i="2"/>
  <c r="L1531" i="2" s="1"/>
  <c r="J1530" i="2"/>
  <c r="L1530" i="2" s="1"/>
  <c r="J1529" i="2"/>
  <c r="L1529" i="2" s="1"/>
  <c r="J1528" i="2"/>
  <c r="L1528" i="2" s="1"/>
  <c r="J1527" i="2"/>
  <c r="L1527" i="2" s="1"/>
  <c r="J1526" i="2"/>
  <c r="L1526" i="2" s="1"/>
  <c r="J1525" i="2"/>
  <c r="L1525" i="2" s="1"/>
  <c r="J1524" i="2"/>
  <c r="L1524" i="2" s="1"/>
  <c r="J1523" i="2"/>
  <c r="L1523" i="2" s="1"/>
  <c r="J1522" i="2"/>
  <c r="L1522" i="2" s="1"/>
  <c r="J1521" i="2"/>
  <c r="L1521" i="2" s="1"/>
  <c r="J1520" i="2"/>
  <c r="L1520" i="2" s="1"/>
  <c r="J1519" i="2"/>
  <c r="L1519" i="2" s="1"/>
  <c r="J1518" i="2"/>
  <c r="L1518" i="2" s="1"/>
  <c r="J1517" i="2"/>
  <c r="L1517" i="2" s="1"/>
  <c r="J1516" i="2"/>
  <c r="L1516" i="2" s="1"/>
  <c r="J1515" i="2"/>
  <c r="L1515" i="2" s="1"/>
  <c r="J1514" i="2"/>
  <c r="L1514" i="2" s="1"/>
  <c r="J1513" i="2"/>
  <c r="L1513" i="2" s="1"/>
  <c r="J1512" i="2"/>
  <c r="L1512" i="2" s="1"/>
  <c r="J1511" i="2"/>
  <c r="L1511" i="2" s="1"/>
  <c r="J1510" i="2"/>
  <c r="L1510" i="2" s="1"/>
  <c r="J1509" i="2"/>
  <c r="L1509" i="2" s="1"/>
  <c r="J1508" i="2"/>
  <c r="L1508" i="2" s="1"/>
  <c r="J1507" i="2"/>
  <c r="L1507" i="2" s="1"/>
  <c r="J1506" i="2"/>
  <c r="L1506" i="2" s="1"/>
  <c r="J1505" i="2"/>
  <c r="L1505" i="2" s="1"/>
  <c r="J1504" i="2"/>
  <c r="L1504" i="2" s="1"/>
  <c r="J1503" i="2"/>
  <c r="L1503" i="2" s="1"/>
  <c r="J1502" i="2"/>
  <c r="L1502" i="2" s="1"/>
  <c r="J1501" i="2"/>
  <c r="L1501" i="2" s="1"/>
  <c r="J1500" i="2"/>
  <c r="L1500" i="2" s="1"/>
  <c r="J1499" i="2"/>
  <c r="L1499" i="2" s="1"/>
  <c r="J1498" i="2"/>
  <c r="L1498" i="2" s="1"/>
  <c r="J1497" i="2"/>
  <c r="L1497" i="2" s="1"/>
  <c r="J1496" i="2"/>
  <c r="L1496" i="2" s="1"/>
  <c r="J1495" i="2"/>
  <c r="L1495" i="2" s="1"/>
  <c r="J1494" i="2"/>
  <c r="L1494" i="2" s="1"/>
  <c r="J1493" i="2"/>
  <c r="L1493" i="2" s="1"/>
  <c r="J1492" i="2"/>
  <c r="L1492" i="2" s="1"/>
  <c r="J1491" i="2"/>
  <c r="L1491" i="2" s="1"/>
  <c r="J1490" i="2"/>
  <c r="L1490" i="2" s="1"/>
  <c r="J1489" i="2"/>
  <c r="L1489" i="2" s="1"/>
  <c r="J1488" i="2"/>
  <c r="L1488" i="2" s="1"/>
  <c r="J1487" i="2"/>
  <c r="L1487" i="2" s="1"/>
  <c r="J1486" i="2"/>
  <c r="L1486" i="2" s="1"/>
  <c r="J1485" i="2"/>
  <c r="L1485" i="2" s="1"/>
  <c r="J1484" i="2"/>
  <c r="L1484" i="2" s="1"/>
  <c r="J1483" i="2"/>
  <c r="L1483" i="2" s="1"/>
  <c r="J1482" i="2"/>
  <c r="L1482" i="2" s="1"/>
  <c r="J1481" i="2"/>
  <c r="L1481" i="2" s="1"/>
  <c r="J1480" i="2"/>
  <c r="L1480" i="2" s="1"/>
  <c r="J1479" i="2"/>
  <c r="L1479" i="2" s="1"/>
  <c r="J1478" i="2"/>
  <c r="L1478" i="2" s="1"/>
  <c r="J1477" i="2"/>
  <c r="L1477" i="2" s="1"/>
  <c r="J1476" i="2"/>
  <c r="L1476" i="2" s="1"/>
  <c r="J1475" i="2"/>
  <c r="L1475" i="2" s="1"/>
  <c r="J1474" i="2"/>
  <c r="L1474" i="2" s="1"/>
  <c r="J1473" i="2"/>
  <c r="L1473" i="2" s="1"/>
  <c r="J1472" i="2"/>
  <c r="L1472" i="2" s="1"/>
  <c r="J1471" i="2"/>
  <c r="L1471" i="2" s="1"/>
  <c r="J1470" i="2"/>
  <c r="L1470" i="2" s="1"/>
  <c r="J1469" i="2"/>
  <c r="L1469" i="2" s="1"/>
  <c r="J1468" i="2"/>
  <c r="L1468" i="2" s="1"/>
  <c r="J1467" i="2"/>
  <c r="L1467" i="2" s="1"/>
  <c r="J1466" i="2"/>
  <c r="L1466" i="2" s="1"/>
  <c r="J1465" i="2"/>
  <c r="L1465" i="2" s="1"/>
  <c r="J1464" i="2"/>
  <c r="L1464" i="2" s="1"/>
  <c r="J1463" i="2"/>
  <c r="L1463" i="2" s="1"/>
  <c r="J1462" i="2"/>
  <c r="L1462" i="2" s="1"/>
  <c r="J1461" i="2"/>
  <c r="L1461" i="2" s="1"/>
  <c r="J1460" i="2"/>
  <c r="L1460" i="2" s="1"/>
  <c r="J1459" i="2"/>
  <c r="L1459" i="2" s="1"/>
  <c r="J1458" i="2"/>
  <c r="L1458" i="2" s="1"/>
  <c r="J1457" i="2"/>
  <c r="L1457" i="2" s="1"/>
  <c r="J1456" i="2"/>
  <c r="L1456" i="2" s="1"/>
  <c r="J1455" i="2"/>
  <c r="L1455" i="2" s="1"/>
  <c r="J1454" i="2"/>
  <c r="L1454" i="2" s="1"/>
  <c r="J1453" i="2"/>
  <c r="L1453" i="2" s="1"/>
  <c r="J1452" i="2"/>
  <c r="L1452" i="2" s="1"/>
  <c r="J1451" i="2"/>
  <c r="L1451" i="2" s="1"/>
  <c r="J1450" i="2"/>
  <c r="L1450" i="2" s="1"/>
  <c r="J1449" i="2"/>
  <c r="L1449" i="2" s="1"/>
  <c r="J1448" i="2"/>
  <c r="L1448" i="2" s="1"/>
  <c r="J1447" i="2"/>
  <c r="L1447" i="2" s="1"/>
  <c r="J1446" i="2"/>
  <c r="L1446" i="2" s="1"/>
  <c r="J1445" i="2"/>
  <c r="L1445" i="2" s="1"/>
  <c r="J1444" i="2"/>
  <c r="L1444" i="2" s="1"/>
  <c r="J1443" i="2"/>
  <c r="L1443" i="2" s="1"/>
  <c r="J1442" i="2"/>
  <c r="L1442" i="2" s="1"/>
  <c r="J1441" i="2"/>
  <c r="L1441" i="2" s="1"/>
  <c r="J1440" i="2"/>
  <c r="L1440" i="2" s="1"/>
  <c r="J1439" i="2"/>
  <c r="L1439" i="2" s="1"/>
  <c r="J1438" i="2"/>
  <c r="L1438" i="2" s="1"/>
  <c r="J1437" i="2"/>
  <c r="L1437" i="2" s="1"/>
  <c r="J1436" i="2"/>
  <c r="L1436" i="2" s="1"/>
  <c r="J1435" i="2"/>
  <c r="L1435" i="2" s="1"/>
  <c r="J1434" i="2"/>
  <c r="L1434" i="2" s="1"/>
  <c r="J1433" i="2"/>
  <c r="L1433" i="2" s="1"/>
  <c r="J1432" i="2"/>
  <c r="L1432" i="2" s="1"/>
  <c r="J1431" i="2"/>
  <c r="L1431" i="2" s="1"/>
  <c r="J1430" i="2"/>
  <c r="L1430" i="2" s="1"/>
  <c r="J1429" i="2"/>
  <c r="L1429" i="2" s="1"/>
  <c r="J1428" i="2"/>
  <c r="L1428" i="2" s="1"/>
  <c r="J1427" i="2"/>
  <c r="L1427" i="2" s="1"/>
  <c r="J1426" i="2"/>
  <c r="L1426" i="2" s="1"/>
  <c r="J1425" i="2"/>
  <c r="L1425" i="2" s="1"/>
  <c r="J1424" i="2"/>
  <c r="L1424" i="2" s="1"/>
  <c r="J1423" i="2"/>
  <c r="L1423" i="2" s="1"/>
  <c r="J1422" i="2"/>
  <c r="L1422" i="2" s="1"/>
  <c r="J1421" i="2"/>
  <c r="L1421" i="2" s="1"/>
  <c r="J1420" i="2"/>
  <c r="L1420" i="2" s="1"/>
  <c r="J1419" i="2"/>
  <c r="L1419" i="2" s="1"/>
  <c r="J1418" i="2"/>
  <c r="L1418" i="2" s="1"/>
  <c r="J1417" i="2"/>
  <c r="L1417" i="2" s="1"/>
  <c r="J1416" i="2"/>
  <c r="L1416" i="2" s="1"/>
  <c r="J1415" i="2"/>
  <c r="L1415" i="2" s="1"/>
  <c r="J1414" i="2"/>
  <c r="L1414" i="2" s="1"/>
  <c r="J1413" i="2"/>
  <c r="L1413" i="2" s="1"/>
  <c r="J1412" i="2"/>
  <c r="L1412" i="2" s="1"/>
  <c r="J1411" i="2"/>
  <c r="L1411" i="2" s="1"/>
  <c r="J1410" i="2"/>
  <c r="L1410" i="2" s="1"/>
  <c r="J1409" i="2"/>
  <c r="L1409" i="2" s="1"/>
  <c r="J1408" i="2"/>
  <c r="L1408" i="2" s="1"/>
  <c r="J1407" i="2"/>
  <c r="L1407" i="2" s="1"/>
  <c r="J1406" i="2"/>
  <c r="L1406" i="2" s="1"/>
  <c r="J1405" i="2"/>
  <c r="L1405" i="2" s="1"/>
  <c r="J1404" i="2"/>
  <c r="L1404" i="2" s="1"/>
  <c r="J1403" i="2"/>
  <c r="L1403" i="2" s="1"/>
  <c r="J1402" i="2"/>
  <c r="L1402" i="2" s="1"/>
  <c r="J1401" i="2"/>
  <c r="L1401" i="2" s="1"/>
  <c r="J1400" i="2"/>
  <c r="L1400" i="2" s="1"/>
  <c r="J1399" i="2"/>
  <c r="L1399" i="2" s="1"/>
  <c r="J1398" i="2"/>
  <c r="L1398" i="2" s="1"/>
  <c r="J1397" i="2"/>
  <c r="L1397" i="2" s="1"/>
  <c r="J1396" i="2"/>
  <c r="L1396" i="2" s="1"/>
  <c r="J1395" i="2"/>
  <c r="L1395" i="2" s="1"/>
  <c r="J1394" i="2"/>
  <c r="L1394" i="2" s="1"/>
  <c r="J1393" i="2"/>
  <c r="L1393" i="2" s="1"/>
  <c r="J1392" i="2"/>
  <c r="L1392" i="2" s="1"/>
  <c r="J1391" i="2"/>
  <c r="L1391" i="2" s="1"/>
  <c r="J1390" i="2"/>
  <c r="L1390" i="2" s="1"/>
  <c r="J1389" i="2"/>
  <c r="L1389" i="2" s="1"/>
  <c r="J1388" i="2"/>
  <c r="L1388" i="2" s="1"/>
  <c r="J1387" i="2"/>
  <c r="L1387" i="2" s="1"/>
  <c r="J1386" i="2"/>
  <c r="L1386" i="2" s="1"/>
  <c r="J1385" i="2"/>
  <c r="L1385" i="2" s="1"/>
  <c r="J1384" i="2"/>
  <c r="L1384" i="2" s="1"/>
  <c r="J1383" i="2"/>
  <c r="L1383" i="2" s="1"/>
  <c r="J1382" i="2"/>
  <c r="L1382" i="2" s="1"/>
  <c r="J1381" i="2"/>
  <c r="L1381" i="2" s="1"/>
  <c r="J1380" i="2"/>
  <c r="L1380" i="2" s="1"/>
  <c r="J1379" i="2"/>
  <c r="L1379" i="2" s="1"/>
  <c r="J1378" i="2"/>
  <c r="L1378" i="2" s="1"/>
  <c r="J1377" i="2"/>
  <c r="L1377" i="2" s="1"/>
  <c r="J1376" i="2"/>
  <c r="L1376" i="2" s="1"/>
  <c r="J1375" i="2"/>
  <c r="L1375" i="2" s="1"/>
  <c r="J1374" i="2"/>
  <c r="L1374" i="2" s="1"/>
  <c r="J1373" i="2"/>
  <c r="L1373" i="2" s="1"/>
  <c r="J1372" i="2"/>
  <c r="L1372" i="2" s="1"/>
  <c r="J1371" i="2"/>
  <c r="L1371" i="2" s="1"/>
  <c r="J1370" i="2"/>
  <c r="L1370" i="2" s="1"/>
  <c r="J1369" i="2"/>
  <c r="L1369" i="2" s="1"/>
  <c r="J1368" i="2"/>
  <c r="L1368" i="2" s="1"/>
  <c r="J1367" i="2"/>
  <c r="L1367" i="2" s="1"/>
  <c r="J1366" i="2"/>
  <c r="L1366" i="2" s="1"/>
  <c r="J1365" i="2"/>
  <c r="L1365" i="2" s="1"/>
  <c r="J1364" i="2"/>
  <c r="L1364" i="2" s="1"/>
  <c r="J1363" i="2"/>
  <c r="L1363" i="2" s="1"/>
  <c r="J1362" i="2"/>
  <c r="L1362" i="2" s="1"/>
  <c r="J1361" i="2"/>
  <c r="L1361" i="2" s="1"/>
  <c r="J1360" i="2"/>
  <c r="L1360" i="2" s="1"/>
  <c r="J1359" i="2"/>
  <c r="L1359" i="2" s="1"/>
  <c r="J1358" i="2"/>
  <c r="L1358" i="2" s="1"/>
  <c r="J1357" i="2"/>
  <c r="L1357" i="2" s="1"/>
  <c r="J1356" i="2"/>
  <c r="L1356" i="2" s="1"/>
  <c r="J1355" i="2"/>
  <c r="L1355" i="2" s="1"/>
  <c r="J1354" i="2"/>
  <c r="L1354" i="2" s="1"/>
  <c r="J1353" i="2"/>
  <c r="L1353" i="2" s="1"/>
  <c r="J1352" i="2"/>
  <c r="L1352" i="2" s="1"/>
  <c r="J1351" i="2"/>
  <c r="L1351" i="2" s="1"/>
  <c r="J1350" i="2"/>
  <c r="L1350" i="2" s="1"/>
  <c r="J1349" i="2"/>
  <c r="L1349" i="2" s="1"/>
  <c r="J1348" i="2"/>
  <c r="L1348" i="2" s="1"/>
  <c r="J1347" i="2"/>
  <c r="L1347" i="2" s="1"/>
  <c r="J1346" i="2"/>
  <c r="L1346" i="2" s="1"/>
  <c r="J1345" i="2"/>
  <c r="L1345" i="2" s="1"/>
  <c r="J1344" i="2"/>
  <c r="L1344" i="2" s="1"/>
  <c r="J1343" i="2"/>
  <c r="L1343" i="2" s="1"/>
  <c r="J1342" i="2"/>
  <c r="L1342" i="2" s="1"/>
  <c r="J1341" i="2"/>
  <c r="L1341" i="2" s="1"/>
  <c r="J1340" i="2"/>
  <c r="L1340" i="2" s="1"/>
  <c r="J1339" i="2"/>
  <c r="L1339" i="2" s="1"/>
  <c r="J1338" i="2"/>
  <c r="L1338" i="2" s="1"/>
  <c r="J1337" i="2"/>
  <c r="L1337" i="2" s="1"/>
  <c r="J1336" i="2"/>
  <c r="L1336" i="2" s="1"/>
  <c r="J1335" i="2"/>
  <c r="L1335" i="2" s="1"/>
  <c r="J1334" i="2"/>
  <c r="L1334" i="2" s="1"/>
  <c r="J1333" i="2"/>
  <c r="L1333" i="2" s="1"/>
  <c r="J1332" i="2"/>
  <c r="L1332" i="2" s="1"/>
  <c r="J1331" i="2"/>
  <c r="L1331" i="2" s="1"/>
  <c r="J1330" i="2"/>
  <c r="L1330" i="2" s="1"/>
  <c r="J1329" i="2"/>
  <c r="L1329" i="2" s="1"/>
  <c r="J1328" i="2"/>
  <c r="L1328" i="2" s="1"/>
  <c r="J1327" i="2"/>
  <c r="L1327" i="2" s="1"/>
  <c r="J1326" i="2"/>
  <c r="L1326" i="2" s="1"/>
  <c r="J1325" i="2"/>
  <c r="L1325" i="2" s="1"/>
  <c r="J1324" i="2"/>
  <c r="L1324" i="2" s="1"/>
  <c r="J1323" i="2"/>
  <c r="L1323" i="2" s="1"/>
  <c r="J1322" i="2"/>
  <c r="L1322" i="2" s="1"/>
  <c r="J1321" i="2"/>
  <c r="L1321" i="2" s="1"/>
  <c r="J1320" i="2"/>
  <c r="L1320" i="2" s="1"/>
  <c r="J1319" i="2"/>
  <c r="L1319" i="2" s="1"/>
  <c r="J1318" i="2"/>
  <c r="L1318" i="2" s="1"/>
  <c r="J1317" i="2"/>
  <c r="L1317" i="2" s="1"/>
  <c r="J1316" i="2"/>
  <c r="L1316" i="2" s="1"/>
  <c r="J1315" i="2"/>
  <c r="L1315" i="2" s="1"/>
  <c r="J1314" i="2"/>
  <c r="L1314" i="2" s="1"/>
  <c r="J1313" i="2"/>
  <c r="L1313" i="2" s="1"/>
  <c r="J1312" i="2"/>
  <c r="L1312" i="2" s="1"/>
  <c r="J1311" i="2"/>
  <c r="L1311" i="2" s="1"/>
  <c r="J1310" i="2"/>
  <c r="L1310" i="2" s="1"/>
  <c r="J1309" i="2"/>
  <c r="L1309" i="2" s="1"/>
  <c r="J1308" i="2"/>
  <c r="L1308" i="2" s="1"/>
  <c r="J1307" i="2"/>
  <c r="L1307" i="2" s="1"/>
  <c r="J1306" i="2"/>
  <c r="L1306" i="2" s="1"/>
  <c r="J1305" i="2"/>
  <c r="L1305" i="2" s="1"/>
  <c r="J1304" i="2"/>
  <c r="L1304" i="2" s="1"/>
  <c r="J1303" i="2"/>
  <c r="L1303" i="2" s="1"/>
  <c r="J1302" i="2"/>
  <c r="L1302" i="2" s="1"/>
  <c r="J1301" i="2"/>
  <c r="L1301" i="2" s="1"/>
  <c r="J1300" i="2"/>
  <c r="L1300" i="2" s="1"/>
  <c r="J1299" i="2"/>
  <c r="L1299" i="2" s="1"/>
  <c r="J1298" i="2"/>
  <c r="L1298" i="2" s="1"/>
  <c r="J1297" i="2"/>
  <c r="L1297" i="2" s="1"/>
  <c r="J1296" i="2"/>
  <c r="L1296" i="2" s="1"/>
  <c r="J1295" i="2"/>
  <c r="L1295" i="2" s="1"/>
  <c r="J1294" i="2"/>
  <c r="L1294" i="2" s="1"/>
  <c r="J1293" i="2"/>
  <c r="L1293" i="2" s="1"/>
  <c r="J1292" i="2"/>
  <c r="L1292" i="2" s="1"/>
  <c r="J1291" i="2"/>
  <c r="L1291" i="2" s="1"/>
  <c r="J1290" i="2"/>
  <c r="L1290" i="2" s="1"/>
  <c r="J1289" i="2"/>
  <c r="L1289" i="2" s="1"/>
  <c r="J1288" i="2"/>
  <c r="L1288" i="2" s="1"/>
  <c r="J1287" i="2"/>
  <c r="L1287" i="2" s="1"/>
  <c r="J1286" i="2"/>
  <c r="L1286" i="2" s="1"/>
  <c r="J1285" i="2"/>
  <c r="L1285" i="2" s="1"/>
  <c r="J1284" i="2"/>
  <c r="L1284" i="2" s="1"/>
  <c r="J1283" i="2"/>
  <c r="L1283" i="2" s="1"/>
  <c r="J1282" i="2"/>
  <c r="L1282" i="2" s="1"/>
  <c r="J1281" i="2"/>
  <c r="L1281" i="2" s="1"/>
  <c r="J1280" i="2"/>
  <c r="L1280" i="2" s="1"/>
  <c r="J1279" i="2"/>
  <c r="L1279" i="2" s="1"/>
  <c r="J1278" i="2"/>
  <c r="L1278" i="2" s="1"/>
  <c r="J1277" i="2"/>
  <c r="L1277" i="2" s="1"/>
  <c r="J1276" i="2"/>
  <c r="L1276" i="2" s="1"/>
  <c r="J1275" i="2"/>
  <c r="L1275" i="2" s="1"/>
  <c r="J1274" i="2"/>
  <c r="L1274" i="2" s="1"/>
  <c r="J1273" i="2"/>
  <c r="L1273" i="2" s="1"/>
  <c r="J1272" i="2"/>
  <c r="L1272" i="2" s="1"/>
  <c r="J1271" i="2"/>
  <c r="L1271" i="2" s="1"/>
  <c r="J1270" i="2"/>
  <c r="L1270" i="2" s="1"/>
  <c r="J1269" i="2"/>
  <c r="L1269" i="2" s="1"/>
  <c r="J1268" i="2"/>
  <c r="L1268" i="2" s="1"/>
  <c r="J1267" i="2"/>
  <c r="L1267" i="2" s="1"/>
  <c r="J1266" i="2"/>
  <c r="L1266" i="2" s="1"/>
  <c r="J1265" i="2"/>
  <c r="L1265" i="2" s="1"/>
  <c r="J1264" i="2"/>
  <c r="L1264" i="2" s="1"/>
  <c r="J1263" i="2"/>
  <c r="L1263" i="2" s="1"/>
  <c r="J1262" i="2"/>
  <c r="L1262" i="2" s="1"/>
  <c r="J1261" i="2"/>
  <c r="L1261" i="2" s="1"/>
  <c r="J1260" i="2"/>
  <c r="L1260" i="2" s="1"/>
  <c r="J1259" i="2"/>
  <c r="L1259" i="2" s="1"/>
  <c r="J1258" i="2"/>
  <c r="L1258" i="2" s="1"/>
  <c r="J1257" i="2"/>
  <c r="L1257" i="2" s="1"/>
  <c r="J1256" i="2"/>
  <c r="L1256" i="2" s="1"/>
  <c r="J1255" i="2"/>
  <c r="L1255" i="2" s="1"/>
  <c r="J1254" i="2"/>
  <c r="L1254" i="2" s="1"/>
  <c r="J1253" i="2"/>
  <c r="L1253" i="2" s="1"/>
  <c r="J1252" i="2"/>
  <c r="L1252" i="2" s="1"/>
  <c r="J1251" i="2"/>
  <c r="L1251" i="2" s="1"/>
  <c r="J1250" i="2"/>
  <c r="L1250" i="2" s="1"/>
  <c r="J1249" i="2"/>
  <c r="L1249" i="2" s="1"/>
  <c r="J1248" i="2"/>
  <c r="L1248" i="2" s="1"/>
  <c r="J1247" i="2"/>
  <c r="L1247" i="2" s="1"/>
  <c r="J1246" i="2"/>
  <c r="L1246" i="2" s="1"/>
  <c r="J1245" i="2"/>
  <c r="L1245" i="2" s="1"/>
  <c r="J1244" i="2"/>
  <c r="L1244" i="2" s="1"/>
  <c r="J1243" i="2"/>
  <c r="L1243" i="2" s="1"/>
  <c r="J1242" i="2"/>
  <c r="L1242" i="2" s="1"/>
  <c r="J1241" i="2"/>
  <c r="L1241" i="2" s="1"/>
  <c r="J1240" i="2"/>
  <c r="L1240" i="2" s="1"/>
  <c r="J1239" i="2"/>
  <c r="L1239" i="2" s="1"/>
  <c r="J1238" i="2"/>
  <c r="L1238" i="2" s="1"/>
  <c r="J1237" i="2"/>
  <c r="L1237" i="2" s="1"/>
  <c r="J1236" i="2"/>
  <c r="L1236" i="2" s="1"/>
  <c r="J1235" i="2"/>
  <c r="L1235" i="2" s="1"/>
  <c r="J1234" i="2"/>
  <c r="L1234" i="2" s="1"/>
  <c r="J1233" i="2"/>
  <c r="L1233" i="2" s="1"/>
  <c r="J1232" i="2"/>
  <c r="L1232" i="2" s="1"/>
  <c r="J1231" i="2"/>
  <c r="L1231" i="2" s="1"/>
  <c r="J1230" i="2"/>
  <c r="L1230" i="2" s="1"/>
  <c r="J1229" i="2"/>
  <c r="L1229" i="2" s="1"/>
  <c r="J1228" i="2"/>
  <c r="L1228" i="2" s="1"/>
  <c r="J1227" i="2"/>
  <c r="L1227" i="2" s="1"/>
  <c r="J1226" i="2"/>
  <c r="L1226" i="2" s="1"/>
  <c r="J1225" i="2"/>
  <c r="L1225" i="2" s="1"/>
  <c r="J1224" i="2"/>
  <c r="L1224" i="2" s="1"/>
  <c r="J1223" i="2"/>
  <c r="L1223" i="2" s="1"/>
  <c r="J1222" i="2"/>
  <c r="L1222" i="2" s="1"/>
  <c r="J1221" i="2"/>
  <c r="L1221" i="2" s="1"/>
  <c r="J1220" i="2"/>
  <c r="L1220" i="2" s="1"/>
  <c r="J1219" i="2"/>
  <c r="L1219" i="2" s="1"/>
  <c r="J1218" i="2"/>
  <c r="L1218" i="2" s="1"/>
  <c r="J1217" i="2"/>
  <c r="L1217" i="2" s="1"/>
  <c r="J1216" i="2"/>
  <c r="L1216" i="2" s="1"/>
  <c r="J1215" i="2"/>
  <c r="L1215" i="2" s="1"/>
  <c r="J1214" i="2"/>
  <c r="L1214" i="2" s="1"/>
  <c r="J1213" i="2"/>
  <c r="L1213" i="2" s="1"/>
  <c r="J1212" i="2"/>
  <c r="L1212" i="2" s="1"/>
  <c r="J1211" i="2"/>
  <c r="L1211" i="2" s="1"/>
  <c r="J1210" i="2"/>
  <c r="L1210" i="2" s="1"/>
  <c r="J1209" i="2"/>
  <c r="L1209" i="2" s="1"/>
  <c r="J1208" i="2"/>
  <c r="L1208" i="2" s="1"/>
  <c r="J1207" i="2"/>
  <c r="L1207" i="2" s="1"/>
  <c r="J1206" i="2"/>
  <c r="L1206" i="2" s="1"/>
  <c r="J1205" i="2"/>
  <c r="L1205" i="2" s="1"/>
  <c r="J1204" i="2"/>
  <c r="L1204" i="2" s="1"/>
  <c r="J1203" i="2"/>
  <c r="L1203" i="2" s="1"/>
  <c r="J1202" i="2"/>
  <c r="L1202" i="2" s="1"/>
  <c r="J1201" i="2"/>
  <c r="L1201" i="2" s="1"/>
  <c r="J1200" i="2"/>
  <c r="L1200" i="2" s="1"/>
  <c r="J1199" i="2"/>
  <c r="L1199" i="2" s="1"/>
  <c r="J1198" i="2"/>
  <c r="L1198" i="2" s="1"/>
  <c r="J1197" i="2"/>
  <c r="L1197" i="2" s="1"/>
  <c r="J1196" i="2"/>
  <c r="L1196" i="2" s="1"/>
  <c r="J1195" i="2"/>
  <c r="L1195" i="2" s="1"/>
  <c r="J1194" i="2"/>
  <c r="L1194" i="2" s="1"/>
  <c r="J1193" i="2"/>
  <c r="L1193" i="2" s="1"/>
  <c r="J1192" i="2"/>
  <c r="L1192" i="2" s="1"/>
  <c r="J1191" i="2"/>
  <c r="L1191" i="2" s="1"/>
  <c r="J1190" i="2"/>
  <c r="L1190" i="2" s="1"/>
  <c r="J1189" i="2"/>
  <c r="L1189" i="2" s="1"/>
  <c r="J1188" i="2"/>
  <c r="L1188" i="2" s="1"/>
  <c r="J1187" i="2"/>
  <c r="L1187" i="2" s="1"/>
  <c r="J1186" i="2"/>
  <c r="L1186" i="2" s="1"/>
  <c r="J1185" i="2"/>
  <c r="L1185" i="2" s="1"/>
  <c r="J1184" i="2"/>
  <c r="L1184" i="2" s="1"/>
  <c r="J1183" i="2"/>
  <c r="L1183" i="2" s="1"/>
  <c r="J1182" i="2"/>
  <c r="L1182" i="2" s="1"/>
  <c r="J1181" i="2"/>
  <c r="L1181" i="2" s="1"/>
  <c r="J1180" i="2"/>
  <c r="L1180" i="2" s="1"/>
  <c r="J1179" i="2"/>
  <c r="L1179" i="2" s="1"/>
  <c r="J1178" i="2"/>
  <c r="L1178" i="2" s="1"/>
  <c r="J1177" i="2"/>
  <c r="L1177" i="2" s="1"/>
  <c r="J1176" i="2"/>
  <c r="L1176" i="2" s="1"/>
  <c r="J1175" i="2"/>
  <c r="L1175" i="2" s="1"/>
  <c r="J1174" i="2"/>
  <c r="L1174" i="2" s="1"/>
  <c r="J1173" i="2"/>
  <c r="L1173" i="2" s="1"/>
  <c r="J1172" i="2"/>
  <c r="L1172" i="2" s="1"/>
  <c r="J1171" i="2"/>
  <c r="L1171" i="2" s="1"/>
  <c r="J1170" i="2"/>
  <c r="L1170" i="2" s="1"/>
  <c r="J1169" i="2"/>
  <c r="L1169" i="2" s="1"/>
  <c r="J1168" i="2"/>
  <c r="L1168" i="2" s="1"/>
  <c r="J1167" i="2"/>
  <c r="L1167" i="2" s="1"/>
  <c r="J1166" i="2"/>
  <c r="L1166" i="2" s="1"/>
  <c r="J1165" i="2"/>
  <c r="L1165" i="2" s="1"/>
  <c r="J1164" i="2"/>
  <c r="L1164" i="2" s="1"/>
  <c r="J1163" i="2"/>
  <c r="L1163" i="2" s="1"/>
  <c r="J1162" i="2"/>
  <c r="L1162" i="2" s="1"/>
  <c r="J1161" i="2"/>
  <c r="L1161" i="2" s="1"/>
  <c r="J1160" i="2"/>
  <c r="L1160" i="2" s="1"/>
  <c r="J1159" i="2"/>
  <c r="L1159" i="2" s="1"/>
  <c r="J1158" i="2"/>
  <c r="L1158" i="2" s="1"/>
  <c r="J1157" i="2"/>
  <c r="L1157" i="2" s="1"/>
  <c r="J1156" i="2"/>
  <c r="L1156" i="2" s="1"/>
  <c r="J1155" i="2"/>
  <c r="L1155" i="2" s="1"/>
  <c r="J1154" i="2"/>
  <c r="L1154" i="2" s="1"/>
  <c r="J1153" i="2"/>
  <c r="L1153" i="2" s="1"/>
  <c r="J1152" i="2"/>
  <c r="L1152" i="2" s="1"/>
  <c r="J1151" i="2"/>
  <c r="L1151" i="2" s="1"/>
  <c r="J1150" i="2"/>
  <c r="L1150" i="2" s="1"/>
  <c r="J1149" i="2"/>
  <c r="L1149" i="2" s="1"/>
  <c r="J1148" i="2"/>
  <c r="L1148" i="2" s="1"/>
  <c r="J1147" i="2"/>
  <c r="L1147" i="2" s="1"/>
  <c r="J1146" i="2"/>
  <c r="L1146" i="2" s="1"/>
  <c r="J1145" i="2"/>
  <c r="L1145" i="2" s="1"/>
  <c r="J1144" i="2"/>
  <c r="L1144" i="2" s="1"/>
  <c r="J1143" i="2"/>
  <c r="L1143" i="2" s="1"/>
  <c r="J1142" i="2"/>
  <c r="L1142" i="2" s="1"/>
  <c r="J1141" i="2"/>
  <c r="L1141" i="2" s="1"/>
  <c r="J1140" i="2"/>
  <c r="L1140" i="2" s="1"/>
  <c r="J1139" i="2"/>
  <c r="L1139" i="2" s="1"/>
  <c r="J1138" i="2"/>
  <c r="L1138" i="2" s="1"/>
  <c r="J1137" i="2"/>
  <c r="L1137" i="2" s="1"/>
  <c r="J1136" i="2"/>
  <c r="L1136" i="2" s="1"/>
  <c r="J1135" i="2"/>
  <c r="L1135" i="2" s="1"/>
  <c r="J1134" i="2"/>
  <c r="L1134" i="2" s="1"/>
  <c r="J1133" i="2"/>
  <c r="L1133" i="2" s="1"/>
  <c r="J1132" i="2"/>
  <c r="L1132" i="2" s="1"/>
  <c r="J1131" i="2"/>
  <c r="L1131" i="2" s="1"/>
  <c r="J1130" i="2"/>
  <c r="L1130" i="2" s="1"/>
  <c r="J1129" i="2"/>
  <c r="L1129" i="2" s="1"/>
  <c r="J1128" i="2"/>
  <c r="L1128" i="2" s="1"/>
  <c r="J1127" i="2"/>
  <c r="L1127" i="2" s="1"/>
  <c r="J1126" i="2"/>
  <c r="L1126" i="2" s="1"/>
  <c r="J1125" i="2"/>
  <c r="L1125" i="2" s="1"/>
  <c r="J1124" i="2"/>
  <c r="L1124" i="2" s="1"/>
  <c r="J1123" i="2"/>
  <c r="L1123" i="2" s="1"/>
  <c r="J1122" i="2"/>
  <c r="L1122" i="2" s="1"/>
  <c r="J1121" i="2"/>
  <c r="L1121" i="2" s="1"/>
  <c r="J1120" i="2"/>
  <c r="L1120" i="2" s="1"/>
  <c r="J1119" i="2"/>
  <c r="L1119" i="2" s="1"/>
  <c r="J1118" i="2"/>
  <c r="L1118" i="2" s="1"/>
  <c r="J1117" i="2"/>
  <c r="L1117" i="2" s="1"/>
  <c r="J1116" i="2"/>
  <c r="L1116" i="2" s="1"/>
  <c r="J1115" i="2"/>
  <c r="L1115" i="2" s="1"/>
  <c r="J1114" i="2"/>
  <c r="L1114" i="2" s="1"/>
  <c r="J1113" i="2"/>
  <c r="L1113" i="2" s="1"/>
  <c r="J1112" i="2"/>
  <c r="L1112" i="2" s="1"/>
  <c r="J1111" i="2"/>
  <c r="L1111" i="2" s="1"/>
  <c r="J1110" i="2"/>
  <c r="L1110" i="2" s="1"/>
  <c r="J1109" i="2"/>
  <c r="L1109" i="2" s="1"/>
  <c r="J1108" i="2"/>
  <c r="L1108" i="2" s="1"/>
  <c r="J1107" i="2"/>
  <c r="L1107" i="2" s="1"/>
  <c r="J1106" i="2"/>
  <c r="L1106" i="2" s="1"/>
  <c r="J1105" i="2"/>
  <c r="L1105" i="2" s="1"/>
  <c r="J1104" i="2"/>
  <c r="L1104" i="2" s="1"/>
  <c r="J1103" i="2"/>
  <c r="L1103" i="2" s="1"/>
  <c r="J1102" i="2"/>
  <c r="L1102" i="2" s="1"/>
  <c r="J1101" i="2"/>
  <c r="L1101" i="2" s="1"/>
  <c r="J1100" i="2"/>
  <c r="L1100" i="2" s="1"/>
  <c r="J1099" i="2"/>
  <c r="L1099" i="2" s="1"/>
  <c r="J1098" i="2"/>
  <c r="L1098" i="2" s="1"/>
  <c r="J1097" i="2"/>
  <c r="L1097" i="2" s="1"/>
  <c r="J1096" i="2"/>
  <c r="L1096" i="2" s="1"/>
  <c r="J1095" i="2"/>
  <c r="L1095" i="2" s="1"/>
  <c r="J1094" i="2"/>
  <c r="L1094" i="2" s="1"/>
  <c r="J1093" i="2"/>
  <c r="L1093" i="2" s="1"/>
  <c r="J1092" i="2"/>
  <c r="L1092" i="2" s="1"/>
  <c r="J1091" i="2"/>
  <c r="L1091" i="2" s="1"/>
  <c r="J1090" i="2"/>
  <c r="L1090" i="2" s="1"/>
  <c r="J1089" i="2"/>
  <c r="L1089" i="2" s="1"/>
  <c r="J1088" i="2"/>
  <c r="L1088" i="2" s="1"/>
  <c r="J1087" i="2"/>
  <c r="L1087" i="2" s="1"/>
  <c r="J1086" i="2"/>
  <c r="L1086" i="2" s="1"/>
  <c r="J1085" i="2"/>
  <c r="L1085" i="2" s="1"/>
  <c r="J1084" i="2"/>
  <c r="L1084" i="2" s="1"/>
  <c r="J1083" i="2"/>
  <c r="L1083" i="2" s="1"/>
  <c r="J1082" i="2"/>
  <c r="L1082" i="2" s="1"/>
  <c r="J1081" i="2"/>
  <c r="L1081" i="2" s="1"/>
  <c r="J1080" i="2"/>
  <c r="L1080" i="2" s="1"/>
  <c r="J1079" i="2"/>
  <c r="L1079" i="2" s="1"/>
  <c r="J1078" i="2"/>
  <c r="L1078" i="2" s="1"/>
  <c r="J1077" i="2"/>
  <c r="L1077" i="2" s="1"/>
  <c r="J1076" i="2"/>
  <c r="L1076" i="2" s="1"/>
  <c r="J1075" i="2"/>
  <c r="L1075" i="2" s="1"/>
  <c r="J1074" i="2"/>
  <c r="L1074" i="2" s="1"/>
  <c r="J1073" i="2"/>
  <c r="L1073" i="2" s="1"/>
  <c r="J1072" i="2"/>
  <c r="L1072" i="2" s="1"/>
  <c r="J1071" i="2"/>
  <c r="L1071" i="2" s="1"/>
  <c r="J1070" i="2"/>
  <c r="L1070" i="2" s="1"/>
  <c r="J1069" i="2"/>
  <c r="L1069" i="2" s="1"/>
  <c r="J1068" i="2"/>
  <c r="L1068" i="2" s="1"/>
  <c r="J1067" i="2"/>
  <c r="L1067" i="2" s="1"/>
  <c r="J1066" i="2"/>
  <c r="L1066" i="2" s="1"/>
  <c r="J1065" i="2"/>
  <c r="L1065" i="2" s="1"/>
  <c r="J1064" i="2"/>
  <c r="L1064" i="2" s="1"/>
  <c r="J1063" i="2"/>
  <c r="L1063" i="2" s="1"/>
  <c r="J1062" i="2"/>
  <c r="L1062" i="2" s="1"/>
  <c r="J1061" i="2"/>
  <c r="L1061" i="2" s="1"/>
  <c r="J1060" i="2"/>
  <c r="L1060" i="2" s="1"/>
  <c r="J1059" i="2"/>
  <c r="L1059" i="2" s="1"/>
  <c r="J1058" i="2"/>
  <c r="L1058" i="2" s="1"/>
  <c r="J1057" i="2"/>
  <c r="L1057" i="2" s="1"/>
  <c r="J1056" i="2"/>
  <c r="L1056" i="2" s="1"/>
  <c r="J1055" i="2"/>
  <c r="L1055" i="2" s="1"/>
  <c r="J1054" i="2"/>
  <c r="L1054" i="2" s="1"/>
  <c r="J1053" i="2"/>
  <c r="L1053" i="2" s="1"/>
  <c r="J1052" i="2"/>
  <c r="L1052" i="2" s="1"/>
  <c r="J1051" i="2"/>
  <c r="L1051" i="2" s="1"/>
  <c r="J1050" i="2"/>
  <c r="L1050" i="2" s="1"/>
  <c r="J1049" i="2"/>
  <c r="L1049" i="2" s="1"/>
  <c r="J1048" i="2"/>
  <c r="L1048" i="2" s="1"/>
  <c r="J1047" i="2"/>
  <c r="L1047" i="2" s="1"/>
  <c r="J1046" i="2"/>
  <c r="L1046" i="2" s="1"/>
  <c r="J1045" i="2"/>
  <c r="L1045" i="2" s="1"/>
  <c r="J1044" i="2"/>
  <c r="L1044" i="2" s="1"/>
  <c r="J1043" i="2"/>
  <c r="L1043" i="2" s="1"/>
  <c r="J1042" i="2"/>
  <c r="L1042" i="2" s="1"/>
  <c r="J1041" i="2"/>
  <c r="L1041" i="2" s="1"/>
  <c r="J1040" i="2"/>
  <c r="L1040" i="2" s="1"/>
  <c r="J1039" i="2"/>
  <c r="L1039" i="2" s="1"/>
  <c r="J1038" i="2"/>
  <c r="L1038" i="2" s="1"/>
  <c r="J1037" i="2"/>
  <c r="L1037" i="2" s="1"/>
  <c r="J1036" i="2"/>
  <c r="L1036" i="2" s="1"/>
  <c r="J1035" i="2"/>
  <c r="L1035" i="2" s="1"/>
  <c r="J1034" i="2"/>
  <c r="L1034" i="2" s="1"/>
  <c r="J1033" i="2"/>
  <c r="L1033" i="2" s="1"/>
  <c r="J1032" i="2"/>
  <c r="L1032" i="2" s="1"/>
  <c r="J1031" i="2"/>
  <c r="L1031" i="2" s="1"/>
  <c r="J1030" i="2"/>
  <c r="L1030" i="2" s="1"/>
  <c r="J1029" i="2"/>
  <c r="L1029" i="2" s="1"/>
  <c r="J1028" i="2"/>
  <c r="L1028" i="2" s="1"/>
  <c r="J1027" i="2"/>
  <c r="L1027" i="2" s="1"/>
  <c r="J1026" i="2"/>
  <c r="L1026" i="2" s="1"/>
  <c r="J1025" i="2"/>
  <c r="L1025" i="2" s="1"/>
  <c r="J1024" i="2"/>
  <c r="L1024" i="2" s="1"/>
  <c r="J1023" i="2"/>
  <c r="L1023" i="2" s="1"/>
  <c r="J1022" i="2"/>
  <c r="L1022" i="2" s="1"/>
  <c r="J1021" i="2"/>
  <c r="L1021" i="2" s="1"/>
  <c r="J1020" i="2"/>
  <c r="L1020" i="2" s="1"/>
  <c r="J1019" i="2"/>
  <c r="L1019" i="2" s="1"/>
  <c r="J1018" i="2"/>
  <c r="L1018" i="2" s="1"/>
  <c r="J1017" i="2"/>
  <c r="L1017" i="2" s="1"/>
  <c r="J1016" i="2"/>
  <c r="L1016" i="2" s="1"/>
  <c r="J1015" i="2"/>
  <c r="L1015" i="2" s="1"/>
  <c r="J1014" i="2"/>
  <c r="L1014" i="2" s="1"/>
  <c r="J1013" i="2"/>
  <c r="L1013" i="2" s="1"/>
  <c r="J1012" i="2"/>
  <c r="L1012" i="2" s="1"/>
  <c r="J1011" i="2"/>
  <c r="L1011" i="2" s="1"/>
  <c r="J1010" i="2"/>
  <c r="L1010" i="2" s="1"/>
  <c r="J1009" i="2"/>
  <c r="L1009" i="2" s="1"/>
  <c r="J1008" i="2"/>
  <c r="L1008" i="2" s="1"/>
  <c r="J1007" i="2"/>
  <c r="L1007" i="2" s="1"/>
  <c r="J1006" i="2"/>
  <c r="L1006" i="2" s="1"/>
  <c r="J1005" i="2"/>
  <c r="L1005" i="2" s="1"/>
  <c r="J1004" i="2"/>
  <c r="L1004" i="2" s="1"/>
  <c r="J1003" i="2"/>
  <c r="L1003" i="2" s="1"/>
  <c r="J1002" i="2"/>
  <c r="L1002" i="2" s="1"/>
  <c r="J1001" i="2"/>
  <c r="L1001" i="2" s="1"/>
  <c r="J1000" i="2"/>
  <c r="L1000" i="2" s="1"/>
  <c r="J999" i="2"/>
  <c r="L999" i="2" s="1"/>
  <c r="J998" i="2"/>
  <c r="L998" i="2" s="1"/>
  <c r="J997" i="2"/>
  <c r="L997" i="2" s="1"/>
  <c r="J996" i="2"/>
  <c r="L996" i="2" s="1"/>
  <c r="J995" i="2"/>
  <c r="L995" i="2" s="1"/>
  <c r="J994" i="2"/>
  <c r="L994" i="2" s="1"/>
  <c r="J993" i="2"/>
  <c r="L993" i="2" s="1"/>
  <c r="J992" i="2"/>
  <c r="L992" i="2" s="1"/>
  <c r="J991" i="2"/>
  <c r="L991" i="2" s="1"/>
  <c r="J990" i="2"/>
  <c r="L990" i="2" s="1"/>
  <c r="J989" i="2"/>
  <c r="L989" i="2" s="1"/>
  <c r="J988" i="2"/>
  <c r="L988" i="2" s="1"/>
  <c r="J987" i="2"/>
  <c r="L987" i="2" s="1"/>
  <c r="J986" i="2"/>
  <c r="L986" i="2" s="1"/>
  <c r="J985" i="2"/>
  <c r="L985" i="2" s="1"/>
  <c r="J984" i="2"/>
  <c r="L984" i="2" s="1"/>
  <c r="J983" i="2"/>
  <c r="L983" i="2" s="1"/>
  <c r="J982" i="2"/>
  <c r="L982" i="2" s="1"/>
  <c r="J981" i="2"/>
  <c r="L981" i="2" s="1"/>
  <c r="J980" i="2"/>
  <c r="L980" i="2" s="1"/>
  <c r="J979" i="2"/>
  <c r="L979" i="2" s="1"/>
  <c r="J978" i="2"/>
  <c r="L978" i="2" s="1"/>
  <c r="J977" i="2"/>
  <c r="L977" i="2" s="1"/>
  <c r="J976" i="2"/>
  <c r="L976" i="2" s="1"/>
  <c r="J975" i="2"/>
  <c r="L975" i="2" s="1"/>
  <c r="J974" i="2"/>
  <c r="L974" i="2" s="1"/>
  <c r="J973" i="2"/>
  <c r="L973" i="2" s="1"/>
  <c r="J972" i="2"/>
  <c r="L972" i="2" s="1"/>
  <c r="J971" i="2"/>
  <c r="L971" i="2" s="1"/>
  <c r="J970" i="2"/>
  <c r="L970" i="2" s="1"/>
  <c r="J969" i="2"/>
  <c r="L969" i="2" s="1"/>
  <c r="J968" i="2"/>
  <c r="L968" i="2" s="1"/>
  <c r="J967" i="2"/>
  <c r="L967" i="2" s="1"/>
  <c r="J966" i="2"/>
  <c r="L966" i="2" s="1"/>
  <c r="J965" i="2"/>
  <c r="L965" i="2" s="1"/>
  <c r="J964" i="2"/>
  <c r="L964" i="2" s="1"/>
  <c r="J963" i="2"/>
  <c r="L963" i="2" s="1"/>
  <c r="J962" i="2"/>
  <c r="L962" i="2" s="1"/>
  <c r="J961" i="2"/>
  <c r="L961" i="2" s="1"/>
  <c r="J960" i="2"/>
  <c r="L960" i="2" s="1"/>
  <c r="J959" i="2"/>
  <c r="L959" i="2" s="1"/>
  <c r="J958" i="2"/>
  <c r="L958" i="2" s="1"/>
  <c r="J957" i="2"/>
  <c r="L957" i="2" s="1"/>
  <c r="J956" i="2"/>
  <c r="L956" i="2" s="1"/>
  <c r="J955" i="2"/>
  <c r="L955" i="2" s="1"/>
  <c r="J954" i="2"/>
  <c r="L954" i="2" s="1"/>
  <c r="J953" i="2"/>
  <c r="L953" i="2" s="1"/>
  <c r="J952" i="2"/>
  <c r="L952" i="2" s="1"/>
  <c r="J951" i="2"/>
  <c r="L951" i="2" s="1"/>
  <c r="J950" i="2"/>
  <c r="L950" i="2" s="1"/>
  <c r="J949" i="2"/>
  <c r="L949" i="2" s="1"/>
  <c r="J948" i="2"/>
  <c r="L948" i="2" s="1"/>
  <c r="J947" i="2"/>
  <c r="L947" i="2" s="1"/>
  <c r="J946" i="2"/>
  <c r="L946" i="2" s="1"/>
  <c r="J945" i="2"/>
  <c r="L945" i="2" s="1"/>
  <c r="J944" i="2"/>
  <c r="L944" i="2" s="1"/>
  <c r="J943" i="2"/>
  <c r="L943" i="2" s="1"/>
  <c r="J942" i="2"/>
  <c r="L942" i="2" s="1"/>
  <c r="J941" i="2"/>
  <c r="L941" i="2" s="1"/>
  <c r="J940" i="2"/>
  <c r="L940" i="2" s="1"/>
  <c r="J939" i="2"/>
  <c r="L939" i="2" s="1"/>
  <c r="J938" i="2"/>
  <c r="L938" i="2" s="1"/>
  <c r="J937" i="2"/>
  <c r="L937" i="2" s="1"/>
  <c r="J936" i="2"/>
  <c r="L936" i="2" s="1"/>
  <c r="J935" i="2"/>
  <c r="L935" i="2" s="1"/>
  <c r="J934" i="2"/>
  <c r="L934" i="2" s="1"/>
  <c r="J933" i="2"/>
  <c r="L933" i="2" s="1"/>
  <c r="J932" i="2"/>
  <c r="L932" i="2" s="1"/>
  <c r="J931" i="2"/>
  <c r="L931" i="2" s="1"/>
  <c r="J930" i="2"/>
  <c r="L930" i="2" s="1"/>
  <c r="J929" i="2"/>
  <c r="L929" i="2" s="1"/>
  <c r="J928" i="2"/>
  <c r="L928" i="2" s="1"/>
  <c r="J927" i="2"/>
  <c r="L927" i="2" s="1"/>
  <c r="J926" i="2"/>
  <c r="L926" i="2" s="1"/>
  <c r="J925" i="2"/>
  <c r="L925" i="2" s="1"/>
  <c r="J924" i="2"/>
  <c r="L924" i="2" s="1"/>
  <c r="J923" i="2"/>
  <c r="L923" i="2" s="1"/>
  <c r="J922" i="2"/>
  <c r="L922" i="2" s="1"/>
  <c r="J921" i="2"/>
  <c r="L921" i="2" s="1"/>
  <c r="J920" i="2"/>
  <c r="L920" i="2" s="1"/>
  <c r="J919" i="2"/>
  <c r="L919" i="2" s="1"/>
  <c r="J918" i="2"/>
  <c r="L918" i="2" s="1"/>
  <c r="J917" i="2"/>
  <c r="L917" i="2" s="1"/>
  <c r="J916" i="2"/>
  <c r="L916" i="2" s="1"/>
  <c r="J915" i="2"/>
  <c r="L915" i="2" s="1"/>
  <c r="J914" i="2"/>
  <c r="L914" i="2" s="1"/>
  <c r="J913" i="2"/>
  <c r="L913" i="2" s="1"/>
  <c r="J912" i="2"/>
  <c r="L912" i="2" s="1"/>
  <c r="J911" i="2"/>
  <c r="L911" i="2" s="1"/>
  <c r="J910" i="2"/>
  <c r="L910" i="2" s="1"/>
  <c r="J909" i="2"/>
  <c r="L909" i="2" s="1"/>
  <c r="J908" i="2"/>
  <c r="L908" i="2" s="1"/>
  <c r="J907" i="2"/>
  <c r="L907" i="2" s="1"/>
  <c r="J906" i="2"/>
  <c r="L906" i="2" s="1"/>
  <c r="J905" i="2"/>
  <c r="L905" i="2" s="1"/>
  <c r="J904" i="2"/>
  <c r="L904" i="2" s="1"/>
  <c r="J903" i="2"/>
  <c r="L903" i="2" s="1"/>
  <c r="J902" i="2"/>
  <c r="L902" i="2" s="1"/>
  <c r="J901" i="2"/>
  <c r="L901" i="2" s="1"/>
  <c r="J900" i="2"/>
  <c r="L900" i="2" s="1"/>
  <c r="J899" i="2"/>
  <c r="L899" i="2" s="1"/>
  <c r="J898" i="2"/>
  <c r="L898" i="2" s="1"/>
  <c r="J897" i="2"/>
  <c r="L897" i="2" s="1"/>
  <c r="J896" i="2"/>
  <c r="L896" i="2" s="1"/>
  <c r="J895" i="2"/>
  <c r="L895" i="2" s="1"/>
  <c r="J894" i="2"/>
  <c r="L894" i="2" s="1"/>
  <c r="J893" i="2"/>
  <c r="L893" i="2" s="1"/>
  <c r="J892" i="2"/>
  <c r="L892" i="2" s="1"/>
  <c r="J891" i="2"/>
  <c r="L891" i="2" s="1"/>
  <c r="J890" i="2"/>
  <c r="L890" i="2" s="1"/>
  <c r="J889" i="2"/>
  <c r="L889" i="2" s="1"/>
  <c r="J888" i="2"/>
  <c r="L888" i="2" s="1"/>
  <c r="J887" i="2"/>
  <c r="L887" i="2" s="1"/>
  <c r="J886" i="2"/>
  <c r="L886" i="2" s="1"/>
  <c r="J885" i="2"/>
  <c r="L885" i="2" s="1"/>
  <c r="J884" i="2"/>
  <c r="L884" i="2" s="1"/>
  <c r="J883" i="2"/>
  <c r="L883" i="2" s="1"/>
  <c r="J882" i="2"/>
  <c r="L882" i="2" s="1"/>
  <c r="J881" i="2"/>
  <c r="L881" i="2" s="1"/>
  <c r="J880" i="2"/>
  <c r="L880" i="2" s="1"/>
  <c r="J879" i="2"/>
  <c r="L879" i="2" s="1"/>
  <c r="J878" i="2"/>
  <c r="L878" i="2" s="1"/>
  <c r="J877" i="2"/>
  <c r="L877" i="2" s="1"/>
  <c r="J876" i="2"/>
  <c r="L876" i="2" s="1"/>
  <c r="J875" i="2"/>
  <c r="L875" i="2" s="1"/>
  <c r="J874" i="2"/>
  <c r="L874" i="2" s="1"/>
  <c r="J873" i="2"/>
  <c r="L873" i="2" s="1"/>
  <c r="J872" i="2"/>
  <c r="L872" i="2" s="1"/>
  <c r="J871" i="2"/>
  <c r="L871" i="2" s="1"/>
  <c r="J870" i="2"/>
  <c r="L870" i="2" s="1"/>
  <c r="J869" i="2"/>
  <c r="L869" i="2" s="1"/>
  <c r="J868" i="2"/>
  <c r="L868" i="2" s="1"/>
  <c r="J867" i="2"/>
  <c r="L867" i="2" s="1"/>
  <c r="J866" i="2"/>
  <c r="L866" i="2" s="1"/>
  <c r="J865" i="2"/>
  <c r="L865" i="2" s="1"/>
  <c r="J864" i="2"/>
  <c r="L864" i="2" s="1"/>
  <c r="J863" i="2"/>
  <c r="L863" i="2" s="1"/>
  <c r="J862" i="2"/>
  <c r="L862" i="2" s="1"/>
  <c r="J861" i="2"/>
  <c r="L861" i="2" s="1"/>
  <c r="J860" i="2"/>
  <c r="L860" i="2" s="1"/>
  <c r="J859" i="2"/>
  <c r="L859" i="2" s="1"/>
  <c r="J858" i="2"/>
  <c r="L858" i="2" s="1"/>
  <c r="J857" i="2"/>
  <c r="L857" i="2" s="1"/>
  <c r="J856" i="2"/>
  <c r="L856" i="2" s="1"/>
  <c r="J855" i="2"/>
  <c r="L855" i="2" s="1"/>
  <c r="J854" i="2"/>
  <c r="L854" i="2" s="1"/>
  <c r="J853" i="2"/>
  <c r="L853" i="2" s="1"/>
  <c r="J852" i="2"/>
  <c r="L852" i="2" s="1"/>
  <c r="J851" i="2"/>
  <c r="L851" i="2" s="1"/>
  <c r="J850" i="2"/>
  <c r="L850" i="2" s="1"/>
  <c r="J849" i="2"/>
  <c r="L849" i="2" s="1"/>
  <c r="J848" i="2"/>
  <c r="L848" i="2" s="1"/>
  <c r="J847" i="2"/>
  <c r="L847" i="2" s="1"/>
  <c r="J846" i="2"/>
  <c r="L846" i="2" s="1"/>
  <c r="J845" i="2"/>
  <c r="L845" i="2" s="1"/>
  <c r="J844" i="2"/>
  <c r="L844" i="2" s="1"/>
  <c r="J843" i="2"/>
  <c r="L843" i="2" s="1"/>
  <c r="J842" i="2"/>
  <c r="L842" i="2" s="1"/>
  <c r="J841" i="2"/>
  <c r="L841" i="2" s="1"/>
  <c r="J840" i="2"/>
  <c r="L840" i="2" s="1"/>
  <c r="J839" i="2"/>
  <c r="L839" i="2" s="1"/>
  <c r="J838" i="2"/>
  <c r="L838" i="2" s="1"/>
  <c r="J837" i="2"/>
  <c r="L837" i="2" s="1"/>
  <c r="J836" i="2"/>
  <c r="L836" i="2" s="1"/>
  <c r="J835" i="2"/>
  <c r="L835" i="2" s="1"/>
  <c r="J834" i="2"/>
  <c r="L834" i="2" s="1"/>
  <c r="J833" i="2"/>
  <c r="L833" i="2" s="1"/>
  <c r="J832" i="2"/>
  <c r="L832" i="2" s="1"/>
  <c r="J831" i="2"/>
  <c r="L831" i="2" s="1"/>
  <c r="J830" i="2"/>
  <c r="L830" i="2" s="1"/>
  <c r="J829" i="2"/>
  <c r="L829" i="2" s="1"/>
  <c r="J828" i="2"/>
  <c r="L828" i="2" s="1"/>
  <c r="J827" i="2"/>
  <c r="L827" i="2" s="1"/>
  <c r="J826" i="2"/>
  <c r="L826" i="2" s="1"/>
  <c r="J825" i="2"/>
  <c r="L825" i="2" s="1"/>
  <c r="J824" i="2"/>
  <c r="L824" i="2" s="1"/>
  <c r="J823" i="2"/>
  <c r="L823" i="2" s="1"/>
  <c r="J822" i="2"/>
  <c r="L822" i="2" s="1"/>
  <c r="J821" i="2"/>
  <c r="L821" i="2" s="1"/>
  <c r="J820" i="2"/>
  <c r="L820" i="2" s="1"/>
  <c r="J819" i="2"/>
  <c r="L819" i="2" s="1"/>
  <c r="J818" i="2"/>
  <c r="L818" i="2" s="1"/>
  <c r="J817" i="2"/>
  <c r="L817" i="2" s="1"/>
  <c r="J816" i="2"/>
  <c r="L816" i="2" s="1"/>
  <c r="J815" i="2"/>
  <c r="L815" i="2" s="1"/>
  <c r="J814" i="2"/>
  <c r="L814" i="2" s="1"/>
  <c r="J813" i="2"/>
  <c r="L813" i="2" s="1"/>
  <c r="J812" i="2"/>
  <c r="L812" i="2" s="1"/>
  <c r="J811" i="2"/>
  <c r="L811" i="2" s="1"/>
  <c r="J810" i="2"/>
  <c r="L810" i="2" s="1"/>
  <c r="J809" i="2"/>
  <c r="L809" i="2" s="1"/>
  <c r="J808" i="2"/>
  <c r="L808" i="2" s="1"/>
  <c r="J807" i="2"/>
  <c r="L807" i="2" s="1"/>
  <c r="J806" i="2"/>
  <c r="L806" i="2" s="1"/>
  <c r="J805" i="2"/>
  <c r="L805" i="2" s="1"/>
  <c r="J804" i="2"/>
  <c r="L804" i="2" s="1"/>
  <c r="J803" i="2"/>
  <c r="L803" i="2" s="1"/>
  <c r="J802" i="2"/>
  <c r="L802" i="2" s="1"/>
  <c r="J801" i="2"/>
  <c r="L801" i="2" s="1"/>
  <c r="J800" i="2"/>
  <c r="L800" i="2" s="1"/>
  <c r="J799" i="2"/>
  <c r="L799" i="2" s="1"/>
  <c r="J798" i="2"/>
  <c r="L798" i="2" s="1"/>
  <c r="J797" i="2"/>
  <c r="L797" i="2" s="1"/>
  <c r="J796" i="2"/>
  <c r="L796" i="2" s="1"/>
  <c r="J795" i="2"/>
  <c r="L795" i="2" s="1"/>
  <c r="J794" i="2"/>
  <c r="L794" i="2" s="1"/>
  <c r="J793" i="2"/>
  <c r="L793" i="2" s="1"/>
  <c r="J792" i="2"/>
  <c r="L792" i="2" s="1"/>
  <c r="J791" i="2"/>
  <c r="L791" i="2" s="1"/>
  <c r="J790" i="2"/>
  <c r="L790" i="2" s="1"/>
  <c r="J789" i="2"/>
  <c r="L789" i="2" s="1"/>
  <c r="J788" i="2"/>
  <c r="L788" i="2" s="1"/>
  <c r="J787" i="2"/>
  <c r="L787" i="2" s="1"/>
  <c r="J786" i="2"/>
  <c r="L786" i="2" s="1"/>
  <c r="J785" i="2"/>
  <c r="L785" i="2" s="1"/>
  <c r="J784" i="2"/>
  <c r="L784" i="2" s="1"/>
  <c r="J783" i="2"/>
  <c r="L783" i="2" s="1"/>
  <c r="J782" i="2"/>
  <c r="L782" i="2" s="1"/>
  <c r="J781" i="2"/>
  <c r="L781" i="2" s="1"/>
  <c r="J780" i="2"/>
  <c r="L780" i="2" s="1"/>
  <c r="J779" i="2"/>
  <c r="L779" i="2" s="1"/>
  <c r="J778" i="2"/>
  <c r="L778" i="2" s="1"/>
  <c r="J777" i="2"/>
  <c r="L777" i="2" s="1"/>
  <c r="J776" i="2"/>
  <c r="L776" i="2" s="1"/>
  <c r="J775" i="2"/>
  <c r="L775" i="2" s="1"/>
  <c r="J774" i="2"/>
  <c r="L774" i="2" s="1"/>
  <c r="J773" i="2"/>
  <c r="L773" i="2" s="1"/>
  <c r="J772" i="2"/>
  <c r="L772" i="2" s="1"/>
  <c r="J771" i="2"/>
  <c r="L771" i="2" s="1"/>
  <c r="J770" i="2"/>
  <c r="L770" i="2" s="1"/>
  <c r="J769" i="2"/>
  <c r="L769" i="2" s="1"/>
  <c r="J768" i="2"/>
  <c r="L768" i="2" s="1"/>
  <c r="J767" i="2"/>
  <c r="L767" i="2" s="1"/>
  <c r="J766" i="2"/>
  <c r="L766" i="2" s="1"/>
  <c r="J765" i="2"/>
  <c r="L765" i="2" s="1"/>
  <c r="J764" i="2"/>
  <c r="L764" i="2" s="1"/>
  <c r="J763" i="2"/>
  <c r="L763" i="2" s="1"/>
  <c r="J762" i="2"/>
  <c r="L762" i="2" s="1"/>
  <c r="J761" i="2"/>
  <c r="L761" i="2" s="1"/>
  <c r="J760" i="2"/>
  <c r="L760" i="2" s="1"/>
  <c r="J759" i="2"/>
  <c r="L759" i="2" s="1"/>
  <c r="J758" i="2"/>
  <c r="L758" i="2" s="1"/>
  <c r="J757" i="2"/>
  <c r="L757" i="2" s="1"/>
  <c r="J756" i="2"/>
  <c r="L756" i="2" s="1"/>
  <c r="J755" i="2"/>
  <c r="L755" i="2" s="1"/>
  <c r="J754" i="2"/>
  <c r="L754" i="2" s="1"/>
  <c r="J753" i="2"/>
  <c r="L753" i="2" s="1"/>
  <c r="J752" i="2"/>
  <c r="L752" i="2" s="1"/>
  <c r="J751" i="2"/>
  <c r="L751" i="2" s="1"/>
  <c r="J750" i="2"/>
  <c r="L750" i="2" s="1"/>
  <c r="J749" i="2"/>
  <c r="L749" i="2" s="1"/>
  <c r="J748" i="2"/>
  <c r="L748" i="2" s="1"/>
  <c r="J747" i="2"/>
  <c r="L747" i="2" s="1"/>
  <c r="J746" i="2"/>
  <c r="L746" i="2" s="1"/>
  <c r="J745" i="2"/>
  <c r="L745" i="2" s="1"/>
  <c r="J744" i="2"/>
  <c r="L744" i="2" s="1"/>
  <c r="J743" i="2"/>
  <c r="L743" i="2" s="1"/>
  <c r="J742" i="2"/>
  <c r="L742" i="2" s="1"/>
  <c r="J741" i="2"/>
  <c r="L741" i="2" s="1"/>
  <c r="J740" i="2"/>
  <c r="L740" i="2" s="1"/>
  <c r="J739" i="2"/>
  <c r="L739" i="2" s="1"/>
  <c r="J738" i="2"/>
  <c r="L738" i="2" s="1"/>
  <c r="J737" i="2"/>
  <c r="L737" i="2" s="1"/>
  <c r="J736" i="2"/>
  <c r="L736" i="2" s="1"/>
  <c r="J735" i="2"/>
  <c r="L735" i="2" s="1"/>
  <c r="J734" i="2"/>
  <c r="L734" i="2" s="1"/>
  <c r="J733" i="2"/>
  <c r="L733" i="2" s="1"/>
  <c r="J732" i="2"/>
  <c r="L732" i="2" s="1"/>
  <c r="J731" i="2"/>
  <c r="L731" i="2" s="1"/>
  <c r="J730" i="2"/>
  <c r="L730" i="2" s="1"/>
  <c r="J729" i="2"/>
  <c r="L729" i="2" s="1"/>
  <c r="J728" i="2"/>
  <c r="L728" i="2" s="1"/>
  <c r="J727" i="2"/>
  <c r="L727" i="2" s="1"/>
  <c r="J726" i="2"/>
  <c r="L726" i="2" s="1"/>
  <c r="J725" i="2"/>
  <c r="L725" i="2" s="1"/>
  <c r="J724" i="2"/>
  <c r="L724" i="2" s="1"/>
  <c r="J723" i="2"/>
  <c r="L723" i="2" s="1"/>
  <c r="J722" i="2"/>
  <c r="L722" i="2" s="1"/>
  <c r="J721" i="2"/>
  <c r="L721" i="2" s="1"/>
  <c r="J720" i="2"/>
  <c r="L720" i="2" s="1"/>
  <c r="J719" i="2"/>
  <c r="L719" i="2" s="1"/>
  <c r="J718" i="2"/>
  <c r="L718" i="2" s="1"/>
  <c r="J717" i="2"/>
  <c r="L717" i="2" s="1"/>
  <c r="J716" i="2"/>
  <c r="L716" i="2" s="1"/>
  <c r="J715" i="2"/>
  <c r="L715" i="2" s="1"/>
  <c r="J714" i="2"/>
  <c r="L714" i="2" s="1"/>
  <c r="J713" i="2"/>
  <c r="L713" i="2" s="1"/>
  <c r="J712" i="2"/>
  <c r="L712" i="2" s="1"/>
  <c r="J711" i="2"/>
  <c r="L711" i="2" s="1"/>
  <c r="J710" i="2"/>
  <c r="L710" i="2" s="1"/>
  <c r="J709" i="2"/>
  <c r="L709" i="2" s="1"/>
  <c r="J708" i="2"/>
  <c r="L708" i="2" s="1"/>
  <c r="J707" i="2"/>
  <c r="L707" i="2" s="1"/>
  <c r="J706" i="2"/>
  <c r="L706" i="2" s="1"/>
  <c r="J705" i="2"/>
  <c r="L705" i="2" s="1"/>
  <c r="J704" i="2"/>
  <c r="L704" i="2" s="1"/>
  <c r="J703" i="2"/>
  <c r="L703" i="2" s="1"/>
  <c r="J702" i="2"/>
  <c r="L702" i="2" s="1"/>
  <c r="J701" i="2"/>
  <c r="L701" i="2" s="1"/>
  <c r="J700" i="2"/>
  <c r="L700" i="2" s="1"/>
  <c r="J699" i="2"/>
  <c r="L699" i="2" s="1"/>
  <c r="J698" i="2"/>
  <c r="L698" i="2" s="1"/>
  <c r="J697" i="2"/>
  <c r="L697" i="2" s="1"/>
  <c r="J696" i="2"/>
  <c r="L696" i="2" s="1"/>
  <c r="J695" i="2"/>
  <c r="L695" i="2" s="1"/>
  <c r="J694" i="2"/>
  <c r="L694" i="2" s="1"/>
  <c r="J693" i="2"/>
  <c r="L693" i="2" s="1"/>
  <c r="J692" i="2"/>
  <c r="L692" i="2" s="1"/>
  <c r="J691" i="2"/>
  <c r="L691" i="2" s="1"/>
  <c r="J690" i="2"/>
  <c r="L690" i="2" s="1"/>
  <c r="J689" i="2"/>
  <c r="L689" i="2" s="1"/>
  <c r="J688" i="2"/>
  <c r="L688" i="2" s="1"/>
  <c r="J687" i="2"/>
  <c r="L687" i="2" s="1"/>
  <c r="J686" i="2"/>
  <c r="L686" i="2" s="1"/>
  <c r="J685" i="2"/>
  <c r="L685" i="2" s="1"/>
  <c r="J684" i="2"/>
  <c r="L684" i="2" s="1"/>
  <c r="J683" i="2"/>
  <c r="L683" i="2" s="1"/>
  <c r="J682" i="2"/>
  <c r="L682" i="2" s="1"/>
  <c r="J681" i="2"/>
  <c r="L681" i="2" s="1"/>
  <c r="J680" i="2"/>
  <c r="L680" i="2" s="1"/>
  <c r="J679" i="2"/>
  <c r="L679" i="2" s="1"/>
  <c r="J678" i="2"/>
  <c r="L678" i="2" s="1"/>
  <c r="J677" i="2"/>
  <c r="L677" i="2" s="1"/>
  <c r="J676" i="2"/>
  <c r="L676" i="2" s="1"/>
  <c r="J675" i="2"/>
  <c r="L675" i="2" s="1"/>
  <c r="J674" i="2"/>
  <c r="L674" i="2" s="1"/>
  <c r="J673" i="2"/>
  <c r="L673" i="2" s="1"/>
  <c r="J672" i="2"/>
  <c r="L672" i="2" s="1"/>
  <c r="J671" i="2"/>
  <c r="L671" i="2" s="1"/>
  <c r="J670" i="2"/>
  <c r="L670" i="2" s="1"/>
  <c r="J669" i="2"/>
  <c r="L669" i="2" s="1"/>
  <c r="J668" i="2"/>
  <c r="L668" i="2" s="1"/>
  <c r="J667" i="2"/>
  <c r="L667" i="2" s="1"/>
  <c r="J666" i="2"/>
  <c r="L666" i="2" s="1"/>
  <c r="J665" i="2"/>
  <c r="L665" i="2" s="1"/>
  <c r="J664" i="2"/>
  <c r="L664" i="2" s="1"/>
  <c r="J663" i="2"/>
  <c r="L663" i="2" s="1"/>
  <c r="J662" i="2"/>
  <c r="L662" i="2" s="1"/>
  <c r="J661" i="2"/>
  <c r="L661" i="2" s="1"/>
  <c r="J660" i="2"/>
  <c r="L660" i="2" s="1"/>
  <c r="J659" i="2"/>
  <c r="L659" i="2" s="1"/>
  <c r="J658" i="2"/>
  <c r="L658" i="2" s="1"/>
  <c r="J657" i="2"/>
  <c r="L657" i="2" s="1"/>
  <c r="J656" i="2"/>
  <c r="L656" i="2" s="1"/>
  <c r="J655" i="2"/>
  <c r="L655" i="2" s="1"/>
  <c r="J654" i="2"/>
  <c r="L654" i="2" s="1"/>
  <c r="J653" i="2"/>
  <c r="L653" i="2" s="1"/>
  <c r="J652" i="2"/>
  <c r="L652" i="2" s="1"/>
  <c r="J651" i="2"/>
  <c r="L651" i="2" s="1"/>
  <c r="J650" i="2"/>
  <c r="L650" i="2" s="1"/>
  <c r="J649" i="2"/>
  <c r="L649" i="2" s="1"/>
  <c r="J648" i="2"/>
  <c r="L648" i="2" s="1"/>
  <c r="J647" i="2"/>
  <c r="L647" i="2" s="1"/>
  <c r="J646" i="2"/>
  <c r="L646" i="2" s="1"/>
  <c r="J645" i="2"/>
  <c r="L645" i="2" s="1"/>
  <c r="J644" i="2"/>
  <c r="L644" i="2" s="1"/>
  <c r="J643" i="2"/>
  <c r="L643" i="2" s="1"/>
  <c r="J642" i="2"/>
  <c r="L642" i="2" s="1"/>
  <c r="J641" i="2"/>
  <c r="L641" i="2" s="1"/>
  <c r="J640" i="2"/>
  <c r="L640" i="2" s="1"/>
  <c r="J639" i="2"/>
  <c r="L639" i="2" s="1"/>
  <c r="J638" i="2"/>
  <c r="L638" i="2" s="1"/>
  <c r="J637" i="2"/>
  <c r="L637" i="2" s="1"/>
  <c r="J636" i="2"/>
  <c r="L636" i="2" s="1"/>
  <c r="J635" i="2"/>
  <c r="L635" i="2" s="1"/>
  <c r="J634" i="2"/>
  <c r="L634" i="2" s="1"/>
  <c r="J633" i="2"/>
  <c r="L633" i="2" s="1"/>
  <c r="J632" i="2"/>
  <c r="L632" i="2" s="1"/>
  <c r="J631" i="2"/>
  <c r="L631" i="2" s="1"/>
  <c r="J630" i="2"/>
  <c r="L630" i="2" s="1"/>
  <c r="J629" i="2"/>
  <c r="L629" i="2" s="1"/>
  <c r="J628" i="2"/>
  <c r="L628" i="2" s="1"/>
  <c r="J627" i="2"/>
  <c r="L627" i="2" s="1"/>
  <c r="J626" i="2"/>
  <c r="L626" i="2" s="1"/>
  <c r="J625" i="2"/>
  <c r="L625" i="2" s="1"/>
  <c r="J624" i="2"/>
  <c r="L624" i="2" s="1"/>
  <c r="J623" i="2"/>
  <c r="L623" i="2" s="1"/>
  <c r="J622" i="2"/>
  <c r="L622" i="2" s="1"/>
  <c r="J621" i="2"/>
  <c r="L621" i="2" s="1"/>
  <c r="J620" i="2"/>
  <c r="L620" i="2" s="1"/>
  <c r="J619" i="2"/>
  <c r="L619" i="2" s="1"/>
  <c r="J618" i="2"/>
  <c r="L618" i="2" s="1"/>
  <c r="J617" i="2"/>
  <c r="L617" i="2" s="1"/>
  <c r="J616" i="2"/>
  <c r="L616" i="2" s="1"/>
  <c r="J615" i="2"/>
  <c r="L615" i="2" s="1"/>
  <c r="J614" i="2"/>
  <c r="L614" i="2" s="1"/>
  <c r="J613" i="2"/>
  <c r="L613" i="2" s="1"/>
  <c r="J612" i="2"/>
  <c r="L612" i="2" s="1"/>
  <c r="J611" i="2"/>
  <c r="L611" i="2" s="1"/>
  <c r="J610" i="2"/>
  <c r="L610" i="2" s="1"/>
  <c r="J609" i="2"/>
  <c r="L609" i="2" s="1"/>
  <c r="J608" i="2"/>
  <c r="L608" i="2" s="1"/>
  <c r="J607" i="2"/>
  <c r="L607" i="2" s="1"/>
  <c r="J606" i="2"/>
  <c r="L606" i="2" s="1"/>
  <c r="J605" i="2"/>
  <c r="L605" i="2" s="1"/>
  <c r="J604" i="2"/>
  <c r="L604" i="2" s="1"/>
  <c r="J603" i="2"/>
  <c r="L603" i="2" s="1"/>
  <c r="J602" i="2"/>
  <c r="L602" i="2" s="1"/>
  <c r="J601" i="2"/>
  <c r="L601" i="2" s="1"/>
  <c r="J600" i="2"/>
  <c r="L600" i="2" s="1"/>
  <c r="J599" i="2"/>
  <c r="L599" i="2" s="1"/>
  <c r="J598" i="2"/>
  <c r="L598" i="2" s="1"/>
  <c r="J597" i="2"/>
  <c r="L597" i="2" s="1"/>
  <c r="J596" i="2"/>
  <c r="L596" i="2" s="1"/>
  <c r="J595" i="2"/>
  <c r="L595" i="2" s="1"/>
  <c r="J594" i="2"/>
  <c r="L594" i="2" s="1"/>
  <c r="J593" i="2"/>
  <c r="L593" i="2" s="1"/>
  <c r="J592" i="2"/>
  <c r="L592" i="2" s="1"/>
  <c r="J591" i="2"/>
  <c r="L591" i="2" s="1"/>
  <c r="J590" i="2"/>
  <c r="L590" i="2" s="1"/>
  <c r="J589" i="2"/>
  <c r="L589" i="2" s="1"/>
  <c r="J588" i="2"/>
  <c r="L588" i="2" s="1"/>
  <c r="J587" i="2"/>
  <c r="L587" i="2" s="1"/>
  <c r="J586" i="2"/>
  <c r="L586" i="2" s="1"/>
  <c r="J585" i="2"/>
  <c r="L585" i="2" s="1"/>
  <c r="J584" i="2"/>
  <c r="L584" i="2" s="1"/>
  <c r="J583" i="2"/>
  <c r="L583" i="2" s="1"/>
  <c r="J582" i="2"/>
  <c r="L582" i="2" s="1"/>
  <c r="J581" i="2"/>
  <c r="L581" i="2" s="1"/>
  <c r="J580" i="2"/>
  <c r="L580" i="2" s="1"/>
  <c r="J579" i="2"/>
  <c r="L579" i="2" s="1"/>
  <c r="J578" i="2"/>
  <c r="L578" i="2" s="1"/>
  <c r="J577" i="2"/>
  <c r="L577" i="2" s="1"/>
  <c r="J576" i="2"/>
  <c r="L576" i="2" s="1"/>
  <c r="J575" i="2"/>
  <c r="L575" i="2" s="1"/>
  <c r="J574" i="2"/>
  <c r="L574" i="2" s="1"/>
  <c r="J573" i="2"/>
  <c r="L573" i="2" s="1"/>
  <c r="J572" i="2"/>
  <c r="L572" i="2" s="1"/>
  <c r="J571" i="2"/>
  <c r="L571" i="2" s="1"/>
  <c r="J570" i="2"/>
  <c r="L570" i="2" s="1"/>
  <c r="J569" i="2"/>
  <c r="L569" i="2" s="1"/>
  <c r="J568" i="2"/>
  <c r="L568" i="2" s="1"/>
  <c r="J567" i="2"/>
  <c r="L567" i="2" s="1"/>
  <c r="J566" i="2"/>
  <c r="L566" i="2" s="1"/>
  <c r="J565" i="2"/>
  <c r="L565" i="2" s="1"/>
  <c r="J564" i="2"/>
  <c r="L564" i="2" s="1"/>
  <c r="J563" i="2"/>
  <c r="L563" i="2" s="1"/>
  <c r="J562" i="2"/>
  <c r="L562" i="2" s="1"/>
  <c r="J561" i="2"/>
  <c r="L561" i="2" s="1"/>
  <c r="J560" i="2"/>
  <c r="L560" i="2" s="1"/>
  <c r="J559" i="2"/>
  <c r="L559" i="2" s="1"/>
  <c r="J558" i="2"/>
  <c r="L558" i="2" s="1"/>
  <c r="J557" i="2"/>
  <c r="L557" i="2" s="1"/>
  <c r="J556" i="2"/>
  <c r="L556" i="2" s="1"/>
  <c r="J555" i="2"/>
  <c r="L555" i="2" s="1"/>
  <c r="J554" i="2"/>
  <c r="L554" i="2" s="1"/>
  <c r="J553" i="2"/>
  <c r="L553" i="2" s="1"/>
  <c r="J552" i="2"/>
  <c r="L552" i="2" s="1"/>
  <c r="J551" i="2"/>
  <c r="L551" i="2" s="1"/>
  <c r="J550" i="2"/>
  <c r="L550" i="2" s="1"/>
  <c r="J549" i="2"/>
  <c r="L549" i="2" s="1"/>
  <c r="J548" i="2"/>
  <c r="L548" i="2" s="1"/>
  <c r="J547" i="2"/>
  <c r="L547" i="2" s="1"/>
  <c r="J546" i="2"/>
  <c r="L546" i="2" s="1"/>
  <c r="J545" i="2"/>
  <c r="L545" i="2" s="1"/>
  <c r="J544" i="2"/>
  <c r="L544" i="2" s="1"/>
  <c r="J543" i="2"/>
  <c r="L543" i="2" s="1"/>
  <c r="J542" i="2"/>
  <c r="L542" i="2" s="1"/>
  <c r="J541" i="2"/>
  <c r="L541" i="2" s="1"/>
  <c r="J540" i="2"/>
  <c r="L540" i="2" s="1"/>
  <c r="J539" i="2"/>
  <c r="L539" i="2" s="1"/>
  <c r="J538" i="2"/>
  <c r="L538" i="2" s="1"/>
  <c r="J537" i="2"/>
  <c r="L537" i="2" s="1"/>
  <c r="J536" i="2"/>
  <c r="L536" i="2" s="1"/>
  <c r="J535" i="2"/>
  <c r="L535" i="2" s="1"/>
  <c r="J534" i="2"/>
  <c r="L534" i="2" s="1"/>
  <c r="J533" i="2"/>
  <c r="L533" i="2" s="1"/>
  <c r="J532" i="2"/>
  <c r="L532" i="2" s="1"/>
  <c r="J531" i="2"/>
  <c r="L531" i="2" s="1"/>
  <c r="J530" i="2"/>
  <c r="L530" i="2" s="1"/>
  <c r="J529" i="2"/>
  <c r="L529" i="2" s="1"/>
  <c r="J528" i="2"/>
  <c r="L528" i="2" s="1"/>
  <c r="J527" i="2"/>
  <c r="L527" i="2" s="1"/>
  <c r="J526" i="2"/>
  <c r="L526" i="2" s="1"/>
  <c r="J525" i="2"/>
  <c r="L525" i="2" s="1"/>
  <c r="J524" i="2"/>
  <c r="L524" i="2" s="1"/>
  <c r="J523" i="2"/>
  <c r="L523" i="2" s="1"/>
  <c r="J522" i="2"/>
  <c r="L522" i="2" s="1"/>
  <c r="J521" i="2"/>
  <c r="L521" i="2" s="1"/>
  <c r="J520" i="2"/>
  <c r="L520" i="2" s="1"/>
  <c r="J519" i="2"/>
  <c r="L519" i="2" s="1"/>
  <c r="J518" i="2"/>
  <c r="L518" i="2" s="1"/>
  <c r="J517" i="2"/>
  <c r="L517" i="2" s="1"/>
  <c r="J516" i="2"/>
  <c r="L516" i="2" s="1"/>
  <c r="J515" i="2"/>
  <c r="L515" i="2" s="1"/>
  <c r="J514" i="2"/>
  <c r="L514" i="2" s="1"/>
  <c r="J513" i="2"/>
  <c r="L513" i="2" s="1"/>
  <c r="J512" i="2"/>
  <c r="L512" i="2" s="1"/>
  <c r="J511" i="2"/>
  <c r="L511" i="2" s="1"/>
  <c r="J510" i="2"/>
  <c r="L510" i="2" s="1"/>
  <c r="J509" i="2"/>
  <c r="L509" i="2" s="1"/>
  <c r="J508" i="2"/>
  <c r="L508" i="2" s="1"/>
  <c r="J507" i="2"/>
  <c r="L507" i="2" s="1"/>
  <c r="J506" i="2"/>
  <c r="L506" i="2" s="1"/>
  <c r="J505" i="2"/>
  <c r="L505" i="2" s="1"/>
  <c r="J504" i="2"/>
  <c r="L504" i="2" s="1"/>
  <c r="J503" i="2"/>
  <c r="L503" i="2" s="1"/>
  <c r="J502" i="2"/>
  <c r="L502" i="2" s="1"/>
  <c r="J501" i="2"/>
  <c r="L501" i="2" s="1"/>
  <c r="J500" i="2"/>
  <c r="L500" i="2" s="1"/>
  <c r="J499" i="2"/>
  <c r="L499" i="2" s="1"/>
  <c r="J498" i="2"/>
  <c r="L498" i="2" s="1"/>
  <c r="J497" i="2"/>
  <c r="L497" i="2" s="1"/>
  <c r="J496" i="2"/>
  <c r="L496" i="2" s="1"/>
  <c r="J495" i="2"/>
  <c r="L495" i="2" s="1"/>
  <c r="J494" i="2"/>
  <c r="L494" i="2" s="1"/>
  <c r="J493" i="2"/>
  <c r="L493" i="2" s="1"/>
  <c r="J492" i="2"/>
  <c r="L492" i="2" s="1"/>
  <c r="J491" i="2"/>
  <c r="L491" i="2" s="1"/>
  <c r="J490" i="2"/>
  <c r="L490" i="2" s="1"/>
  <c r="J489" i="2"/>
  <c r="L489" i="2" s="1"/>
  <c r="J488" i="2"/>
  <c r="L488" i="2" s="1"/>
  <c r="J487" i="2"/>
  <c r="L487" i="2" s="1"/>
  <c r="J486" i="2"/>
  <c r="L486" i="2" s="1"/>
  <c r="J485" i="2"/>
  <c r="L485" i="2" s="1"/>
  <c r="J484" i="2"/>
  <c r="L484" i="2" s="1"/>
  <c r="J483" i="2"/>
  <c r="L483" i="2" s="1"/>
  <c r="J482" i="2"/>
  <c r="L482" i="2" s="1"/>
  <c r="J481" i="2"/>
  <c r="L481" i="2" s="1"/>
  <c r="J480" i="2"/>
  <c r="L480" i="2" s="1"/>
  <c r="J479" i="2"/>
  <c r="L479" i="2" s="1"/>
  <c r="J478" i="2"/>
  <c r="L478" i="2" s="1"/>
  <c r="J477" i="2"/>
  <c r="L477" i="2" s="1"/>
  <c r="J476" i="2"/>
  <c r="L476" i="2" s="1"/>
  <c r="J475" i="2"/>
  <c r="L475" i="2" s="1"/>
  <c r="J474" i="2"/>
  <c r="L474" i="2" s="1"/>
  <c r="J473" i="2"/>
  <c r="L473" i="2" s="1"/>
  <c r="J472" i="2"/>
  <c r="L472" i="2" s="1"/>
  <c r="J471" i="2"/>
  <c r="L471" i="2" s="1"/>
  <c r="J470" i="2"/>
  <c r="L470" i="2" s="1"/>
  <c r="J469" i="2"/>
  <c r="L469" i="2" s="1"/>
  <c r="J468" i="2"/>
  <c r="L468" i="2" s="1"/>
  <c r="J467" i="2"/>
  <c r="L467" i="2" s="1"/>
  <c r="J466" i="2"/>
  <c r="L466" i="2" s="1"/>
  <c r="J465" i="2"/>
  <c r="L465" i="2" s="1"/>
  <c r="J464" i="2"/>
  <c r="L464" i="2" s="1"/>
  <c r="J463" i="2"/>
  <c r="L463" i="2" s="1"/>
  <c r="J462" i="2"/>
  <c r="L462" i="2" s="1"/>
  <c r="J461" i="2"/>
  <c r="L461" i="2" s="1"/>
  <c r="J460" i="2"/>
  <c r="L460" i="2" s="1"/>
  <c r="J459" i="2"/>
  <c r="L459" i="2" s="1"/>
  <c r="J458" i="2"/>
  <c r="L458" i="2" s="1"/>
  <c r="J457" i="2"/>
  <c r="L457" i="2" s="1"/>
  <c r="J456" i="2"/>
  <c r="L456" i="2" s="1"/>
  <c r="J455" i="2"/>
  <c r="L455" i="2" s="1"/>
  <c r="J454" i="2"/>
  <c r="L454" i="2" s="1"/>
  <c r="J453" i="2"/>
  <c r="L453" i="2" s="1"/>
  <c r="J452" i="2"/>
  <c r="L452" i="2" s="1"/>
  <c r="J451" i="2"/>
  <c r="L451" i="2" s="1"/>
  <c r="J450" i="2"/>
  <c r="L450" i="2" s="1"/>
  <c r="J449" i="2"/>
  <c r="L449" i="2" s="1"/>
  <c r="J448" i="2"/>
  <c r="L448" i="2" s="1"/>
  <c r="J447" i="2"/>
  <c r="L447" i="2" s="1"/>
  <c r="J446" i="2"/>
  <c r="L446" i="2" s="1"/>
  <c r="J445" i="2"/>
  <c r="L445" i="2" s="1"/>
  <c r="J444" i="2"/>
  <c r="L444" i="2" s="1"/>
  <c r="J443" i="2"/>
  <c r="L443" i="2" s="1"/>
  <c r="J442" i="2"/>
  <c r="L442" i="2" s="1"/>
  <c r="J441" i="2"/>
  <c r="L441" i="2" s="1"/>
  <c r="J440" i="2"/>
  <c r="L440" i="2" s="1"/>
  <c r="J439" i="2"/>
  <c r="L439" i="2" s="1"/>
  <c r="J438" i="2"/>
  <c r="L438" i="2" s="1"/>
  <c r="J437" i="2"/>
  <c r="L437" i="2" s="1"/>
  <c r="J436" i="2"/>
  <c r="L436" i="2" s="1"/>
  <c r="J435" i="2"/>
  <c r="L435" i="2" s="1"/>
  <c r="J434" i="2"/>
  <c r="L434" i="2" s="1"/>
  <c r="J433" i="2"/>
  <c r="L433" i="2" s="1"/>
  <c r="J432" i="2"/>
  <c r="L432" i="2" s="1"/>
  <c r="J431" i="2"/>
  <c r="L431" i="2" s="1"/>
  <c r="J430" i="2"/>
  <c r="L430" i="2" s="1"/>
  <c r="J429" i="2"/>
  <c r="L429" i="2" s="1"/>
  <c r="J428" i="2"/>
  <c r="L428" i="2" s="1"/>
  <c r="J427" i="2"/>
  <c r="L427" i="2" s="1"/>
  <c r="J426" i="2"/>
  <c r="L426" i="2" s="1"/>
  <c r="J425" i="2"/>
  <c r="L425" i="2" s="1"/>
  <c r="J424" i="2"/>
  <c r="L424" i="2" s="1"/>
  <c r="J423" i="2"/>
  <c r="L423" i="2" s="1"/>
  <c r="J422" i="2"/>
  <c r="L422" i="2" s="1"/>
  <c r="J421" i="2"/>
  <c r="L421" i="2" s="1"/>
  <c r="J420" i="2"/>
  <c r="L420" i="2" s="1"/>
  <c r="J419" i="2"/>
  <c r="L419" i="2" s="1"/>
  <c r="J418" i="2"/>
  <c r="L418" i="2" s="1"/>
  <c r="J417" i="2"/>
  <c r="L417" i="2" s="1"/>
  <c r="J416" i="2"/>
  <c r="L416" i="2" s="1"/>
  <c r="J415" i="2"/>
  <c r="L415" i="2" s="1"/>
  <c r="J414" i="2"/>
  <c r="L414" i="2" s="1"/>
  <c r="J413" i="2"/>
  <c r="L413" i="2" s="1"/>
  <c r="J412" i="2"/>
  <c r="L412" i="2" s="1"/>
  <c r="J411" i="2"/>
  <c r="L411" i="2" s="1"/>
  <c r="J410" i="2"/>
  <c r="L410" i="2" s="1"/>
  <c r="J409" i="2"/>
  <c r="L409" i="2" s="1"/>
  <c r="J408" i="2"/>
  <c r="L408" i="2" s="1"/>
  <c r="J407" i="2"/>
  <c r="L407" i="2" s="1"/>
  <c r="J406" i="2"/>
  <c r="L406" i="2" s="1"/>
  <c r="J405" i="2"/>
  <c r="L405" i="2" s="1"/>
  <c r="J404" i="2"/>
  <c r="L404" i="2" s="1"/>
  <c r="J403" i="2"/>
  <c r="L403" i="2" s="1"/>
  <c r="J402" i="2"/>
  <c r="L402" i="2" s="1"/>
  <c r="J401" i="2"/>
  <c r="L401" i="2" s="1"/>
  <c r="J400" i="2"/>
  <c r="L400" i="2" s="1"/>
  <c r="J399" i="2"/>
  <c r="L399" i="2" s="1"/>
  <c r="J398" i="2"/>
  <c r="L398" i="2" s="1"/>
  <c r="J397" i="2"/>
  <c r="L397" i="2" s="1"/>
  <c r="J396" i="2"/>
  <c r="L396" i="2" s="1"/>
  <c r="J395" i="2"/>
  <c r="L395" i="2" s="1"/>
  <c r="J394" i="2"/>
  <c r="L394" i="2" s="1"/>
  <c r="J393" i="2"/>
  <c r="L393" i="2" s="1"/>
  <c r="J392" i="2"/>
  <c r="L392" i="2" s="1"/>
  <c r="J391" i="2"/>
  <c r="L391" i="2" s="1"/>
  <c r="J390" i="2"/>
  <c r="L390" i="2" s="1"/>
  <c r="J389" i="2"/>
  <c r="L389" i="2" s="1"/>
  <c r="J388" i="2"/>
  <c r="L388" i="2" s="1"/>
  <c r="J387" i="2"/>
  <c r="L387" i="2" s="1"/>
  <c r="J386" i="2"/>
  <c r="L386" i="2" s="1"/>
  <c r="J385" i="2"/>
  <c r="L385" i="2" s="1"/>
  <c r="J384" i="2"/>
  <c r="L384" i="2" s="1"/>
  <c r="J383" i="2"/>
  <c r="L383" i="2" s="1"/>
  <c r="J382" i="2"/>
  <c r="L382" i="2" s="1"/>
  <c r="J381" i="2"/>
  <c r="L381" i="2" s="1"/>
  <c r="J380" i="2"/>
  <c r="L380" i="2" s="1"/>
  <c r="J379" i="2"/>
  <c r="L379" i="2" s="1"/>
  <c r="J378" i="2"/>
  <c r="L378" i="2" s="1"/>
  <c r="J377" i="2"/>
  <c r="L377" i="2" s="1"/>
  <c r="J376" i="2"/>
  <c r="L376" i="2" s="1"/>
  <c r="J375" i="2"/>
  <c r="L375" i="2" s="1"/>
  <c r="J374" i="2"/>
  <c r="L374" i="2" s="1"/>
  <c r="J373" i="2"/>
  <c r="L373" i="2" s="1"/>
  <c r="J372" i="2"/>
  <c r="L372" i="2" s="1"/>
  <c r="J371" i="2"/>
  <c r="L371" i="2" s="1"/>
  <c r="J370" i="2"/>
  <c r="L370" i="2" s="1"/>
  <c r="J369" i="2"/>
  <c r="L369" i="2" s="1"/>
  <c r="J368" i="2"/>
  <c r="L368" i="2" s="1"/>
  <c r="J367" i="2"/>
  <c r="L367" i="2" s="1"/>
  <c r="J366" i="2"/>
  <c r="L366" i="2" s="1"/>
  <c r="J365" i="2"/>
  <c r="L365" i="2" s="1"/>
  <c r="J364" i="2"/>
  <c r="L364" i="2" s="1"/>
  <c r="J363" i="2"/>
  <c r="L363" i="2" s="1"/>
  <c r="J362" i="2"/>
  <c r="L362" i="2" s="1"/>
  <c r="J361" i="2"/>
  <c r="L361" i="2" s="1"/>
  <c r="J360" i="2"/>
  <c r="L360" i="2" s="1"/>
  <c r="J359" i="2"/>
  <c r="L359" i="2" s="1"/>
  <c r="J358" i="2"/>
  <c r="L358" i="2" s="1"/>
  <c r="J357" i="2"/>
  <c r="L357" i="2" s="1"/>
  <c r="J356" i="2"/>
  <c r="L356" i="2" s="1"/>
  <c r="J355" i="2"/>
  <c r="L355" i="2" s="1"/>
  <c r="J354" i="2"/>
  <c r="L354" i="2" s="1"/>
  <c r="J353" i="2"/>
  <c r="L353" i="2" s="1"/>
  <c r="J352" i="2"/>
  <c r="L352" i="2" s="1"/>
  <c r="J351" i="2"/>
  <c r="L351" i="2" s="1"/>
  <c r="J350" i="2"/>
  <c r="L350" i="2" s="1"/>
  <c r="J349" i="2"/>
  <c r="L349" i="2" s="1"/>
  <c r="J348" i="2"/>
  <c r="L348" i="2" s="1"/>
  <c r="J347" i="2"/>
  <c r="L347" i="2" s="1"/>
  <c r="J346" i="2"/>
  <c r="L346" i="2" s="1"/>
  <c r="J345" i="2"/>
  <c r="L345" i="2" s="1"/>
  <c r="J344" i="2"/>
  <c r="L344" i="2" s="1"/>
  <c r="J343" i="2"/>
  <c r="L343" i="2" s="1"/>
  <c r="J342" i="2"/>
  <c r="L342" i="2" s="1"/>
  <c r="J341" i="2"/>
  <c r="L341" i="2" s="1"/>
  <c r="J340" i="2"/>
  <c r="L340" i="2" s="1"/>
  <c r="J339" i="2"/>
  <c r="L339" i="2" s="1"/>
  <c r="J338" i="2"/>
  <c r="L338" i="2" s="1"/>
  <c r="J337" i="2"/>
  <c r="L337" i="2" s="1"/>
  <c r="J336" i="2"/>
  <c r="L336" i="2" s="1"/>
  <c r="J335" i="2"/>
  <c r="L335" i="2" s="1"/>
  <c r="J334" i="2"/>
  <c r="L334" i="2" s="1"/>
  <c r="J333" i="2"/>
  <c r="L333" i="2" s="1"/>
  <c r="J332" i="2"/>
  <c r="L332" i="2" s="1"/>
  <c r="J331" i="2"/>
  <c r="L331" i="2" s="1"/>
  <c r="J330" i="2"/>
  <c r="L330" i="2" s="1"/>
  <c r="J329" i="2"/>
  <c r="L329" i="2" s="1"/>
  <c r="J328" i="2"/>
  <c r="L328" i="2" s="1"/>
  <c r="J327" i="2"/>
  <c r="L327" i="2" s="1"/>
  <c r="J326" i="2"/>
  <c r="L326" i="2" s="1"/>
  <c r="J325" i="2"/>
  <c r="L325" i="2" s="1"/>
  <c r="J324" i="2"/>
  <c r="L324" i="2" s="1"/>
  <c r="J323" i="2"/>
  <c r="L323" i="2" s="1"/>
  <c r="J322" i="2"/>
  <c r="L322" i="2" s="1"/>
  <c r="J321" i="2"/>
  <c r="L321" i="2" s="1"/>
  <c r="J320" i="2"/>
  <c r="L320" i="2" s="1"/>
  <c r="J319" i="2"/>
  <c r="L319" i="2" s="1"/>
  <c r="J318" i="2"/>
  <c r="L318" i="2" s="1"/>
  <c r="J317" i="2"/>
  <c r="L317" i="2" s="1"/>
  <c r="J316" i="2"/>
  <c r="L316" i="2" s="1"/>
  <c r="J315" i="2"/>
  <c r="L315" i="2" s="1"/>
  <c r="J314" i="2"/>
  <c r="L314" i="2" s="1"/>
  <c r="J313" i="2"/>
  <c r="L313" i="2" s="1"/>
  <c r="J312" i="2"/>
  <c r="L312" i="2" s="1"/>
  <c r="J311" i="2"/>
  <c r="L311" i="2" s="1"/>
  <c r="J310" i="2"/>
  <c r="L310" i="2" s="1"/>
  <c r="J309" i="2"/>
  <c r="L309" i="2" s="1"/>
  <c r="J308" i="2"/>
  <c r="L308" i="2" s="1"/>
  <c r="J307" i="2"/>
  <c r="L307" i="2" s="1"/>
  <c r="J306" i="2"/>
  <c r="L306" i="2" s="1"/>
  <c r="J305" i="2"/>
  <c r="L305" i="2" s="1"/>
  <c r="J304" i="2"/>
  <c r="L304" i="2" s="1"/>
  <c r="J303" i="2"/>
  <c r="L303" i="2" s="1"/>
  <c r="J302" i="2"/>
  <c r="L302" i="2" s="1"/>
  <c r="J301" i="2"/>
  <c r="L301" i="2" s="1"/>
  <c r="J300" i="2"/>
  <c r="L300" i="2" s="1"/>
  <c r="J299" i="2"/>
  <c r="L299" i="2" s="1"/>
  <c r="J298" i="2"/>
  <c r="L298" i="2" s="1"/>
  <c r="J297" i="2"/>
  <c r="L297" i="2" s="1"/>
  <c r="J296" i="2"/>
  <c r="L296" i="2" s="1"/>
  <c r="J295" i="2"/>
  <c r="L295" i="2" s="1"/>
  <c r="J294" i="2"/>
  <c r="L294" i="2" s="1"/>
  <c r="J293" i="2"/>
  <c r="L293" i="2" s="1"/>
  <c r="J292" i="2"/>
  <c r="L292" i="2" s="1"/>
  <c r="J291" i="2"/>
  <c r="L291" i="2" s="1"/>
  <c r="J290" i="2"/>
  <c r="L290" i="2" s="1"/>
  <c r="J289" i="2"/>
  <c r="L289" i="2" s="1"/>
  <c r="J288" i="2"/>
  <c r="L288" i="2" s="1"/>
  <c r="J287" i="2"/>
  <c r="L287" i="2" s="1"/>
  <c r="J286" i="2"/>
  <c r="L286" i="2" s="1"/>
  <c r="J285" i="2"/>
  <c r="L285" i="2" s="1"/>
  <c r="J284" i="2"/>
  <c r="L284" i="2" s="1"/>
  <c r="J283" i="2"/>
  <c r="L283" i="2" s="1"/>
  <c r="J282" i="2"/>
  <c r="L282" i="2" s="1"/>
  <c r="J281" i="2"/>
  <c r="L281" i="2" s="1"/>
  <c r="J280" i="2"/>
  <c r="L280" i="2" s="1"/>
  <c r="J279" i="2"/>
  <c r="L279" i="2" s="1"/>
  <c r="J278" i="2"/>
  <c r="L278" i="2" s="1"/>
  <c r="J277" i="2"/>
  <c r="L277" i="2" s="1"/>
  <c r="J276" i="2"/>
  <c r="L276" i="2" s="1"/>
  <c r="J275" i="2"/>
  <c r="L275" i="2" s="1"/>
  <c r="J274" i="2"/>
  <c r="L274" i="2" s="1"/>
  <c r="J273" i="2"/>
  <c r="L273" i="2" s="1"/>
  <c r="J272" i="2"/>
  <c r="L272" i="2" s="1"/>
  <c r="J271" i="2"/>
  <c r="L271" i="2" s="1"/>
  <c r="J270" i="2"/>
  <c r="L270" i="2" s="1"/>
  <c r="J269" i="2"/>
  <c r="L269" i="2" s="1"/>
  <c r="J268" i="2"/>
  <c r="L268" i="2" s="1"/>
  <c r="J267" i="2"/>
  <c r="L267" i="2" s="1"/>
  <c r="J266" i="2"/>
  <c r="L266" i="2" s="1"/>
  <c r="J265" i="2"/>
  <c r="L265" i="2" s="1"/>
  <c r="J264" i="2"/>
  <c r="L264" i="2" s="1"/>
  <c r="J263" i="2"/>
  <c r="L263" i="2" s="1"/>
  <c r="J262" i="2"/>
  <c r="L262" i="2" s="1"/>
  <c r="J261" i="2"/>
  <c r="L261" i="2" s="1"/>
  <c r="J260" i="2"/>
  <c r="L260" i="2" s="1"/>
  <c r="J259" i="2"/>
  <c r="L259" i="2" s="1"/>
  <c r="J258" i="2"/>
  <c r="L258" i="2" s="1"/>
  <c r="J257" i="2"/>
  <c r="L257" i="2" s="1"/>
  <c r="J256" i="2"/>
  <c r="L256" i="2" s="1"/>
  <c r="J255" i="2"/>
  <c r="L255" i="2" s="1"/>
  <c r="J254" i="2"/>
  <c r="L254" i="2" s="1"/>
  <c r="J253" i="2"/>
  <c r="L253" i="2" s="1"/>
  <c r="J252" i="2"/>
  <c r="L252" i="2" s="1"/>
  <c r="J251" i="2"/>
  <c r="L251" i="2" s="1"/>
  <c r="J250" i="2"/>
  <c r="L250" i="2" s="1"/>
  <c r="J249" i="2"/>
  <c r="L249" i="2" s="1"/>
  <c r="J248" i="2"/>
  <c r="L248" i="2" s="1"/>
  <c r="J247" i="2"/>
  <c r="L247" i="2" s="1"/>
  <c r="J246" i="2"/>
  <c r="L246" i="2" s="1"/>
  <c r="J245" i="2"/>
  <c r="L245" i="2" s="1"/>
  <c r="J244" i="2"/>
  <c r="L244" i="2" s="1"/>
  <c r="J243" i="2"/>
  <c r="L243" i="2" s="1"/>
  <c r="J242" i="2"/>
  <c r="L242" i="2" s="1"/>
  <c r="J241" i="2"/>
  <c r="L241" i="2" s="1"/>
  <c r="J240" i="2"/>
  <c r="L240" i="2" s="1"/>
  <c r="J239" i="2"/>
  <c r="L239" i="2" s="1"/>
  <c r="J238" i="2"/>
  <c r="L238" i="2" s="1"/>
  <c r="J237" i="2"/>
  <c r="L237" i="2" s="1"/>
  <c r="J236" i="2"/>
  <c r="L236" i="2" s="1"/>
  <c r="J235" i="2"/>
  <c r="L235" i="2" s="1"/>
  <c r="J234" i="2"/>
  <c r="L234" i="2" s="1"/>
  <c r="J233" i="2"/>
  <c r="L233" i="2" s="1"/>
  <c r="J232" i="2"/>
  <c r="L232" i="2" s="1"/>
  <c r="J231" i="2"/>
  <c r="L231" i="2" s="1"/>
  <c r="J230" i="2"/>
  <c r="L230" i="2" s="1"/>
  <c r="J229" i="2"/>
  <c r="L229" i="2" s="1"/>
  <c r="J228" i="2"/>
  <c r="L228" i="2" s="1"/>
  <c r="J227" i="2"/>
  <c r="L227" i="2" s="1"/>
  <c r="J226" i="2"/>
  <c r="L226" i="2" s="1"/>
  <c r="J225" i="2"/>
  <c r="L225" i="2" s="1"/>
  <c r="J224" i="2"/>
  <c r="L224" i="2" s="1"/>
  <c r="J223" i="2"/>
  <c r="L223" i="2" s="1"/>
  <c r="J222" i="2"/>
  <c r="L222" i="2" s="1"/>
  <c r="J221" i="2"/>
  <c r="L221" i="2" s="1"/>
  <c r="J220" i="2"/>
  <c r="L220" i="2" s="1"/>
  <c r="J219" i="2"/>
  <c r="L219" i="2" s="1"/>
  <c r="J218" i="2"/>
  <c r="L218" i="2" s="1"/>
  <c r="J217" i="2"/>
  <c r="L217" i="2" s="1"/>
  <c r="J216" i="2"/>
  <c r="L216" i="2" s="1"/>
  <c r="J215" i="2"/>
  <c r="L215" i="2" s="1"/>
  <c r="J214" i="2"/>
  <c r="L214" i="2" s="1"/>
  <c r="J213" i="2"/>
  <c r="L213" i="2" s="1"/>
  <c r="J212" i="2"/>
  <c r="L212" i="2" s="1"/>
  <c r="J211" i="2"/>
  <c r="L211" i="2" s="1"/>
  <c r="J210" i="2"/>
  <c r="L210" i="2" s="1"/>
  <c r="J209" i="2"/>
  <c r="L209" i="2" s="1"/>
  <c r="J208" i="2"/>
  <c r="L208" i="2" s="1"/>
  <c r="J207" i="2"/>
  <c r="L207" i="2" s="1"/>
  <c r="J206" i="2"/>
  <c r="L206" i="2" s="1"/>
  <c r="J205" i="2"/>
  <c r="L205" i="2" s="1"/>
  <c r="J204" i="2"/>
  <c r="L204" i="2" s="1"/>
  <c r="J203" i="2"/>
  <c r="L203" i="2" s="1"/>
  <c r="J202" i="2"/>
  <c r="L202" i="2" s="1"/>
  <c r="J201" i="2"/>
  <c r="L201" i="2" s="1"/>
  <c r="J200" i="2"/>
  <c r="L200" i="2" s="1"/>
  <c r="J199" i="2"/>
  <c r="L199" i="2" s="1"/>
  <c r="J198" i="2"/>
  <c r="L198" i="2" s="1"/>
  <c r="J197" i="2"/>
  <c r="L197" i="2" s="1"/>
  <c r="J196" i="2"/>
  <c r="L196" i="2" s="1"/>
  <c r="J195" i="2"/>
  <c r="L195" i="2" s="1"/>
  <c r="J194" i="2"/>
  <c r="L194" i="2" s="1"/>
  <c r="J193" i="2"/>
  <c r="L193" i="2" s="1"/>
  <c r="J192" i="2"/>
  <c r="L192" i="2" s="1"/>
  <c r="J191" i="2"/>
  <c r="L191" i="2" s="1"/>
  <c r="J190" i="2"/>
  <c r="L190" i="2" s="1"/>
  <c r="J189" i="2"/>
  <c r="L189" i="2" s="1"/>
  <c r="J188" i="2"/>
  <c r="L188" i="2" s="1"/>
  <c r="J187" i="2"/>
  <c r="L187" i="2" s="1"/>
  <c r="J186" i="2"/>
  <c r="L186" i="2" s="1"/>
  <c r="J185" i="2"/>
  <c r="L185" i="2" s="1"/>
  <c r="J184" i="2"/>
  <c r="L184" i="2" s="1"/>
  <c r="J183" i="2"/>
  <c r="L183" i="2" s="1"/>
  <c r="J182" i="2"/>
  <c r="L182" i="2" s="1"/>
  <c r="J181" i="2"/>
  <c r="L181" i="2" s="1"/>
  <c r="J180" i="2"/>
  <c r="L180" i="2" s="1"/>
  <c r="J179" i="2"/>
  <c r="L179" i="2" s="1"/>
  <c r="J178" i="2"/>
  <c r="L178" i="2" s="1"/>
  <c r="J177" i="2"/>
  <c r="L177" i="2" s="1"/>
  <c r="J176" i="2"/>
  <c r="L176" i="2" s="1"/>
  <c r="J175" i="2"/>
  <c r="L175" i="2" s="1"/>
  <c r="J174" i="2"/>
  <c r="L174" i="2" s="1"/>
  <c r="J173" i="2"/>
  <c r="L173" i="2" s="1"/>
  <c r="J172" i="2"/>
  <c r="L172" i="2" s="1"/>
  <c r="J171" i="2"/>
  <c r="L171" i="2" s="1"/>
  <c r="J170" i="2"/>
  <c r="L170" i="2" s="1"/>
  <c r="J169" i="2"/>
  <c r="L169" i="2" s="1"/>
  <c r="J168" i="2"/>
  <c r="L168" i="2" s="1"/>
  <c r="J167" i="2"/>
  <c r="L167" i="2" s="1"/>
  <c r="J166" i="2"/>
  <c r="L166" i="2" s="1"/>
  <c r="J165" i="2"/>
  <c r="L165" i="2" s="1"/>
  <c r="J164" i="2"/>
  <c r="L164" i="2" s="1"/>
  <c r="J163" i="2"/>
  <c r="L163" i="2" s="1"/>
  <c r="J162" i="2"/>
  <c r="L162" i="2" s="1"/>
  <c r="J161" i="2"/>
  <c r="L161" i="2" s="1"/>
  <c r="J160" i="2"/>
  <c r="L160" i="2" s="1"/>
  <c r="J159" i="2"/>
  <c r="L159" i="2" s="1"/>
  <c r="J158" i="2"/>
  <c r="L158" i="2" s="1"/>
  <c r="J157" i="2"/>
  <c r="L157" i="2" s="1"/>
  <c r="J156" i="2"/>
  <c r="L156" i="2" s="1"/>
  <c r="J155" i="2"/>
  <c r="L155" i="2" s="1"/>
  <c r="J154" i="2"/>
  <c r="L154" i="2" s="1"/>
  <c r="J153" i="2"/>
  <c r="L153" i="2" s="1"/>
  <c r="J152" i="2"/>
  <c r="L152" i="2" s="1"/>
  <c r="J151" i="2"/>
  <c r="L151" i="2" s="1"/>
  <c r="J150" i="2"/>
  <c r="L150" i="2" s="1"/>
  <c r="J149" i="2"/>
  <c r="L149" i="2" s="1"/>
  <c r="J148" i="2"/>
  <c r="L148" i="2" s="1"/>
  <c r="J147" i="2"/>
  <c r="L147" i="2" s="1"/>
  <c r="J146" i="2"/>
  <c r="L146" i="2" s="1"/>
  <c r="J145" i="2"/>
  <c r="L145" i="2" s="1"/>
  <c r="J144" i="2"/>
  <c r="L144" i="2" s="1"/>
  <c r="J143" i="2"/>
  <c r="L143" i="2" s="1"/>
  <c r="J142" i="2"/>
  <c r="L142" i="2" s="1"/>
  <c r="J141" i="2"/>
  <c r="L141" i="2" s="1"/>
  <c r="J140" i="2"/>
  <c r="L140" i="2" s="1"/>
  <c r="J139" i="2"/>
  <c r="L139" i="2" s="1"/>
  <c r="J138" i="2"/>
  <c r="L138" i="2" s="1"/>
  <c r="J137" i="2"/>
  <c r="L137" i="2" s="1"/>
  <c r="J136" i="2"/>
  <c r="L136" i="2" s="1"/>
  <c r="J135" i="2"/>
  <c r="L135" i="2" s="1"/>
  <c r="J134" i="2"/>
  <c r="L134" i="2" s="1"/>
  <c r="J133" i="2"/>
  <c r="L133" i="2" s="1"/>
  <c r="J132" i="2"/>
  <c r="L132" i="2" s="1"/>
  <c r="J131" i="2"/>
  <c r="L131" i="2" s="1"/>
  <c r="J130" i="2"/>
  <c r="L130" i="2" s="1"/>
  <c r="J129" i="2"/>
  <c r="L129" i="2" s="1"/>
  <c r="J128" i="2"/>
  <c r="L128" i="2" s="1"/>
  <c r="J127" i="2"/>
  <c r="L127" i="2" s="1"/>
  <c r="J126" i="2"/>
  <c r="L126" i="2" s="1"/>
  <c r="J125" i="2"/>
  <c r="L125" i="2" s="1"/>
  <c r="J124" i="2"/>
  <c r="L124" i="2" s="1"/>
  <c r="J123" i="2"/>
  <c r="L123" i="2" s="1"/>
  <c r="J122" i="2"/>
  <c r="L122" i="2" s="1"/>
  <c r="J121" i="2"/>
  <c r="L121" i="2" s="1"/>
  <c r="J120" i="2"/>
  <c r="L120" i="2" s="1"/>
  <c r="J119" i="2"/>
  <c r="L119" i="2" s="1"/>
  <c r="J118" i="2"/>
  <c r="L118" i="2" s="1"/>
  <c r="J117" i="2"/>
  <c r="L117" i="2" s="1"/>
  <c r="J116" i="2"/>
  <c r="L116" i="2" s="1"/>
  <c r="J115" i="2"/>
  <c r="L115" i="2" s="1"/>
  <c r="J114" i="2"/>
  <c r="L114" i="2" s="1"/>
  <c r="J113" i="2"/>
  <c r="L113" i="2" s="1"/>
  <c r="J112" i="2"/>
  <c r="L112" i="2" s="1"/>
  <c r="J111" i="2"/>
  <c r="L111" i="2" s="1"/>
  <c r="J110" i="2"/>
  <c r="L110" i="2" s="1"/>
  <c r="J109" i="2"/>
  <c r="L109" i="2" s="1"/>
  <c r="J108" i="2"/>
  <c r="L108" i="2" s="1"/>
  <c r="J107" i="2"/>
  <c r="L107" i="2" s="1"/>
  <c r="J106" i="2"/>
  <c r="L106" i="2" s="1"/>
  <c r="J105" i="2"/>
  <c r="L105" i="2" s="1"/>
  <c r="J104" i="2"/>
  <c r="L104" i="2" s="1"/>
  <c r="J103" i="2"/>
  <c r="L103" i="2" s="1"/>
  <c r="J102" i="2"/>
  <c r="L102" i="2" s="1"/>
  <c r="J101" i="2"/>
  <c r="L101" i="2" s="1"/>
  <c r="J100" i="2"/>
  <c r="L100" i="2" s="1"/>
  <c r="J99" i="2"/>
  <c r="L99" i="2" s="1"/>
  <c r="J98" i="2"/>
  <c r="L98" i="2" s="1"/>
  <c r="J97" i="2"/>
  <c r="L97" i="2" s="1"/>
  <c r="J96" i="2"/>
  <c r="L96" i="2" s="1"/>
  <c r="J95" i="2"/>
  <c r="L95" i="2" s="1"/>
  <c r="J94" i="2"/>
  <c r="L94" i="2" s="1"/>
  <c r="J93" i="2"/>
  <c r="L93" i="2" s="1"/>
  <c r="J92" i="2"/>
  <c r="L92" i="2" s="1"/>
  <c r="J91" i="2"/>
  <c r="L91" i="2" s="1"/>
  <c r="J90" i="2"/>
  <c r="L90" i="2" s="1"/>
  <c r="J89" i="2"/>
  <c r="L89" i="2" s="1"/>
  <c r="J88" i="2"/>
  <c r="L88" i="2" s="1"/>
  <c r="J87" i="2"/>
  <c r="L87" i="2" s="1"/>
  <c r="J86" i="2"/>
  <c r="L86" i="2" s="1"/>
  <c r="J85" i="2"/>
  <c r="L85" i="2" s="1"/>
  <c r="J84" i="2"/>
  <c r="L84" i="2" s="1"/>
  <c r="J83" i="2"/>
  <c r="L83" i="2" s="1"/>
  <c r="J82" i="2"/>
  <c r="L82" i="2" s="1"/>
  <c r="J81" i="2"/>
  <c r="L81" i="2" s="1"/>
  <c r="J80" i="2"/>
  <c r="L80" i="2" s="1"/>
  <c r="J79" i="2"/>
  <c r="L79" i="2" s="1"/>
  <c r="J78" i="2"/>
  <c r="L78" i="2" s="1"/>
  <c r="J77" i="2"/>
  <c r="L77" i="2" s="1"/>
  <c r="J76" i="2"/>
  <c r="L76" i="2" s="1"/>
  <c r="J75" i="2"/>
  <c r="L75" i="2" s="1"/>
  <c r="J74" i="2"/>
  <c r="L74" i="2" s="1"/>
  <c r="J73" i="2"/>
  <c r="L73" i="2" s="1"/>
  <c r="J72" i="2"/>
  <c r="L72" i="2" s="1"/>
  <c r="J71" i="2"/>
  <c r="L71" i="2" s="1"/>
  <c r="J70" i="2"/>
  <c r="L70" i="2" s="1"/>
  <c r="J69" i="2"/>
  <c r="L69" i="2" s="1"/>
  <c r="J68" i="2"/>
  <c r="L68" i="2" s="1"/>
  <c r="J67" i="2"/>
  <c r="L67" i="2" s="1"/>
  <c r="J66" i="2"/>
  <c r="L66" i="2" s="1"/>
  <c r="J65" i="2"/>
  <c r="L65" i="2" s="1"/>
  <c r="J64" i="2"/>
  <c r="L64" i="2" s="1"/>
  <c r="J63" i="2"/>
  <c r="L63" i="2" s="1"/>
  <c r="J62" i="2"/>
  <c r="L62" i="2" s="1"/>
  <c r="J61" i="2"/>
  <c r="L61" i="2" s="1"/>
  <c r="J60" i="2"/>
  <c r="L60" i="2" s="1"/>
  <c r="J59" i="2"/>
  <c r="L59" i="2" s="1"/>
  <c r="J58" i="2"/>
  <c r="L58" i="2" s="1"/>
  <c r="J57" i="2"/>
  <c r="L57" i="2" s="1"/>
  <c r="J56" i="2"/>
  <c r="L56" i="2" s="1"/>
  <c r="J55" i="2"/>
  <c r="L55" i="2" s="1"/>
  <c r="J54" i="2"/>
  <c r="L54" i="2" s="1"/>
  <c r="J53" i="2"/>
  <c r="L53" i="2" s="1"/>
  <c r="J52" i="2"/>
  <c r="L52" i="2" s="1"/>
  <c r="J51" i="2"/>
  <c r="L51" i="2" s="1"/>
  <c r="J50" i="2"/>
  <c r="L50" i="2" s="1"/>
  <c r="J49" i="2"/>
  <c r="L49" i="2" s="1"/>
  <c r="J48" i="2"/>
  <c r="L48" i="2" s="1"/>
  <c r="J47" i="2"/>
  <c r="L47" i="2" s="1"/>
  <c r="J46" i="2"/>
  <c r="L46" i="2" s="1"/>
  <c r="J45" i="2"/>
  <c r="L45" i="2" s="1"/>
  <c r="J44" i="2"/>
  <c r="L44" i="2" s="1"/>
  <c r="J43" i="2"/>
  <c r="L43" i="2" s="1"/>
  <c r="J42" i="2"/>
  <c r="L42" i="2" s="1"/>
  <c r="J41" i="2"/>
  <c r="L41" i="2" s="1"/>
  <c r="J40" i="2"/>
  <c r="L40" i="2" s="1"/>
  <c r="J39" i="2"/>
  <c r="L39" i="2" s="1"/>
  <c r="J38" i="2"/>
  <c r="L38" i="2" s="1"/>
  <c r="J37" i="2"/>
  <c r="L37" i="2" s="1"/>
  <c r="J36" i="2"/>
  <c r="L36" i="2" s="1"/>
  <c r="J35" i="2"/>
  <c r="L35" i="2" s="1"/>
  <c r="J34" i="2"/>
  <c r="L34" i="2" s="1"/>
  <c r="J33" i="2"/>
  <c r="L33" i="2" s="1"/>
  <c r="J32" i="2"/>
  <c r="L32" i="2" s="1"/>
  <c r="J31" i="2"/>
  <c r="L31" i="2" s="1"/>
  <c r="J30" i="2"/>
  <c r="L30" i="2" s="1"/>
  <c r="J29" i="2"/>
  <c r="L29" i="2" s="1"/>
  <c r="J28" i="2"/>
  <c r="L28" i="2" s="1"/>
  <c r="J27" i="2"/>
  <c r="L27" i="2" s="1"/>
  <c r="J26" i="2"/>
  <c r="L26" i="2" s="1"/>
  <c r="J25" i="2"/>
  <c r="L25" i="2" s="1"/>
  <c r="J24" i="2"/>
  <c r="L24" i="2" s="1"/>
  <c r="J23" i="2"/>
  <c r="L23" i="2" s="1"/>
  <c r="J22" i="2"/>
  <c r="L22" i="2" s="1"/>
  <c r="J21" i="2"/>
  <c r="L21" i="2" s="1"/>
  <c r="J20" i="2"/>
  <c r="L20" i="2" s="1"/>
  <c r="J19" i="2"/>
  <c r="L19" i="2" s="1"/>
  <c r="J18" i="2"/>
  <c r="L18" i="2" s="1"/>
  <c r="J17" i="2"/>
  <c r="L17" i="2" s="1"/>
  <c r="J16" i="2"/>
  <c r="L16" i="2" s="1"/>
  <c r="J15" i="2"/>
  <c r="L15" i="2" s="1"/>
  <c r="J14" i="2"/>
  <c r="L14" i="2" s="1"/>
  <c r="J13" i="2"/>
  <c r="L13" i="2" s="1"/>
  <c r="J12" i="2"/>
  <c r="L12" i="2" s="1"/>
  <c r="J11" i="2"/>
  <c r="L11" i="2" s="1"/>
  <c r="J10" i="2"/>
  <c r="L10" i="2" s="1"/>
  <c r="J9" i="2"/>
  <c r="L9" i="2" s="1"/>
  <c r="J8" i="2"/>
  <c r="L8" i="2" s="1"/>
  <c r="J7" i="2"/>
  <c r="L7" i="2" s="1"/>
  <c r="J6" i="2"/>
  <c r="L6" i="2" s="1"/>
  <c r="J5" i="2"/>
  <c r="L5" i="2" s="1"/>
  <c r="J4" i="2"/>
  <c r="L4" i="2" s="1"/>
  <c r="J3" i="2"/>
  <c r="L3" i="2" s="1"/>
  <c r="J2" i="2"/>
  <c r="L2" i="2" s="1"/>
</calcChain>
</file>

<file path=xl/comments1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<sst xmlns="http://schemas.openxmlformats.org/spreadsheetml/2006/main" count="24473" uniqueCount="4347">
  <si>
    <t>ABRAHAM</t>
  </si>
  <si>
    <t>NINGUNO</t>
  </si>
  <si>
    <t>N/A</t>
  </si>
  <si>
    <t>BOGOTA D.C.</t>
  </si>
  <si>
    <t>ABRAHAM RUT</t>
  </si>
  <si>
    <t>CONTADO</t>
  </si>
  <si>
    <t>ADRIANA</t>
  </si>
  <si>
    <t>CALI</t>
  </si>
  <si>
    <t>CANGURO INTERNATIONAL S.A.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</si>
  <si>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</si>
  <si>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</si>
  <si>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</si>
  <si>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</si>
  <si>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</si>
  <si>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</si>
  <si>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</si>
  <si>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MEDELLIN</t>
  </si>
  <si>
    <t>PLASTICOS GOJA S.A.S.</t>
  </si>
  <si>
    <t>900349126-2</t>
  </si>
  <si>
    <t>CAMILO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</si>
  <si>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</si>
  <si>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</si>
  <si>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</si>
  <si>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</si>
  <si>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</si>
  <si>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</si>
  <si>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</si>
  <si>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900554604-0</t>
  </si>
  <si>
    <t>CARLOS POVEDA</t>
  </si>
  <si>
    <t>EL IMPERIO TEXTIL</t>
  </si>
  <si>
    <t>900339441-6</t>
  </si>
  <si>
    <t>CECILIA</t>
  </si>
  <si>
    <t>SENDEROS VILLA MARIA</t>
  </si>
  <si>
    <t>ZIPAQUIRA</t>
  </si>
  <si>
    <t>CONSUELO MENDOZA</t>
  </si>
  <si>
    <t>INDICO SAS</t>
  </si>
  <si>
    <t>830058473 1</t>
  </si>
  <si>
    <t>CARLOS BIGOTES</t>
  </si>
  <si>
    <t>830089698-4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</si>
  <si>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</si>
  <si>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</si>
  <si>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</si>
  <si>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</si>
  <si>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</si>
  <si>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</si>
  <si>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</si>
  <si>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PARQUE INDUSTRIAL SANTA LUCIA KM 3,3 VIA FUSA SIBERIA BODEGA 16 A</t>
  </si>
  <si>
    <t>COMERTEX</t>
  </si>
  <si>
    <t>80090204797-7</t>
  </si>
  <si>
    <t>IVAN MARTINEZ REATA</t>
  </si>
  <si>
    <t>830130965-2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</si>
  <si>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</si>
  <si>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</si>
  <si>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</si>
  <si>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</si>
  <si>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</si>
  <si>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</si>
  <si>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</si>
  <si>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</si>
  <si>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</si>
  <si>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</si>
  <si>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</si>
  <si>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</si>
  <si>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</si>
  <si>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</si>
  <si>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</si>
  <si>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</si>
  <si>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</si>
  <si>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</si>
  <si>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HUMBERTO LEON</t>
  </si>
  <si>
    <t>RL TEX S.A.S.</t>
  </si>
  <si>
    <t>EDWIN MARTINEZ CORDON</t>
  </si>
  <si>
    <t>REMTEX S.A</t>
  </si>
  <si>
    <t>900597041-9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</si>
  <si>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</si>
  <si>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</si>
  <si>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</si>
  <si>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</si>
  <si>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</si>
  <si>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</si>
  <si>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</si>
  <si>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</si>
  <si>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</si>
  <si>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</si>
  <si>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</si>
  <si>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</si>
  <si>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</si>
  <si>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</si>
  <si>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</si>
  <si>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PELETERIA</t>
  </si>
  <si>
    <t>JORGE MEDINA</t>
  </si>
  <si>
    <t>HERRAJES MERPLAST S.A.S.</t>
  </si>
  <si>
    <t>JORGE SEPULVEDA</t>
  </si>
  <si>
    <t>GIORGIO CAVALIRE S.A.S.</t>
  </si>
  <si>
    <t>900658891-5</t>
  </si>
  <si>
    <t>JOSE</t>
  </si>
  <si>
    <t>830091835-3</t>
  </si>
  <si>
    <t>JUAN CARLOS</t>
  </si>
  <si>
    <t>MUNDO HERRAJES</t>
  </si>
  <si>
    <t>KARINA</t>
  </si>
  <si>
    <t>POLIMEROS Y TEXTILES LTDA</t>
  </si>
  <si>
    <t>900164751-1</t>
  </si>
  <si>
    <t>LUIS ALBERTO</t>
  </si>
  <si>
    <t>REATAS NACIONALES</t>
  </si>
  <si>
    <t>901071433-8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</si>
  <si>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</si>
  <si>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</si>
  <si>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</si>
  <si>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</si>
  <si>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</si>
  <si>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</si>
  <si>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</si>
  <si>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</si>
  <si>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</si>
  <si>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</si>
  <si>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</si>
  <si>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</si>
  <si>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</si>
  <si>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</si>
  <si>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</si>
  <si>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</si>
  <si>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</si>
  <si>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</si>
  <si>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</si>
  <si>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</si>
  <si>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</si>
  <si>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</si>
  <si>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</si>
  <si>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</si>
  <si>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</si>
  <si>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</si>
  <si>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</si>
  <si>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</si>
  <si>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SIMON</t>
  </si>
  <si>
    <t>PLASTIVINIL</t>
  </si>
  <si>
    <t>830138205-8</t>
  </si>
  <si>
    <t>WILIAM ORTIZ</t>
  </si>
  <si>
    <t>ESTAMPADOS MILENIOS</t>
  </si>
  <si>
    <t>WILSON ROJAS</t>
  </si>
  <si>
    <t>BARRANQUILLA</t>
  </si>
  <si>
    <t>PLATESA S.A.S</t>
  </si>
  <si>
    <t>900527588-6</t>
  </si>
  <si>
    <t>PENDIENTE</t>
  </si>
  <si>
    <t>CLIENTE</t>
  </si>
  <si>
    <t>ADOLFO AGUILAR</t>
  </si>
  <si>
    <t>CARRERA 53 A 47 A - 06 SUR</t>
  </si>
  <si>
    <t>VENECIA</t>
  </si>
  <si>
    <t>0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</si>
  <si>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</si>
  <si>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</si>
  <si>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</si>
  <si>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</si>
  <si>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</si>
  <si>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</si>
  <si>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</si>
  <si>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</si>
  <si>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</si>
  <si>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</si>
  <si>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</si>
  <si>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</si>
  <si>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</si>
  <si>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</si>
  <si>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</si>
  <si>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</si>
  <si>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</si>
  <si>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</si>
  <si>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</si>
  <si>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</si>
  <si>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</si>
  <si>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</si>
  <si>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</si>
  <si>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</si>
  <si>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</si>
  <si>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</si>
  <si>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</si>
  <si>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</si>
  <si>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</si>
  <si>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</si>
  <si>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</si>
  <si>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</si>
  <si>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</si>
  <si>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</si>
  <si>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</si>
  <si>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</si>
  <si>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</si>
  <si>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ALEJANDRO HERNANDEZ 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</si>
  <si>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</si>
  <si>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</si>
  <si>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</si>
  <si>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</si>
  <si>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</si>
  <si>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</si>
  <si>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</si>
  <si>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</si>
  <si>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</si>
  <si>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</si>
  <si>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</si>
  <si>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</si>
  <si>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</si>
  <si>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</si>
  <si>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</si>
  <si>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</si>
  <si>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</si>
  <si>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</si>
  <si>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</si>
  <si>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</si>
  <si>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</si>
  <si>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</si>
  <si>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</si>
  <si>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</si>
  <si>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</si>
  <si>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</si>
  <si>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</si>
  <si>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</si>
  <si>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</si>
  <si>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</si>
  <si>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</si>
  <si>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</si>
  <si>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</si>
  <si>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</si>
  <si>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</si>
  <si>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</si>
  <si>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 xml:space="preserve">ALFONZO ZALAS </t>
  </si>
  <si>
    <t>CALLE 32 NO 14 - 31</t>
  </si>
  <si>
    <t>BUCARAMANGA</t>
  </si>
  <si>
    <t>HERRAJES SG</t>
  </si>
  <si>
    <t>13499400-2</t>
  </si>
  <si>
    <t>ALFREDO DELGADILLO</t>
  </si>
  <si>
    <t>CALLE 53 A SUR NO 35 - 31</t>
  </si>
  <si>
    <t>ALIRIO BENAVIDES</t>
  </si>
  <si>
    <t>CARRERA 15 NO 32 - 06</t>
  </si>
  <si>
    <t>COLOMBIA HERRRAJES</t>
  </si>
  <si>
    <t>ALVARO SERNA</t>
  </si>
  <si>
    <t>CALLE 66 NO 108 - 17</t>
  </si>
  <si>
    <t>VILLAS DEL DORADO</t>
  </si>
  <si>
    <t>INFLABLES MAXXIINFLABLES</t>
  </si>
  <si>
    <t>INFLABLES</t>
  </si>
  <si>
    <t>AMPARO MEJIA BOTERO</t>
  </si>
  <si>
    <t>CALLE 60 NO 6 A - 25</t>
  </si>
  <si>
    <t>EL LIMONAR</t>
  </si>
  <si>
    <t>IGABUE</t>
  </si>
  <si>
    <t xml:space="preserve">AMPARO VARGAS </t>
  </si>
  <si>
    <t>CALLE 18 NO 104 B - 70</t>
  </si>
  <si>
    <t>FONTIBON</t>
  </si>
  <si>
    <t>NAVALYS</t>
  </si>
  <si>
    <t>ANA MARIA GOMEZ</t>
  </si>
  <si>
    <t>CALLE 3 SUR NO 52 16</t>
  </si>
  <si>
    <t>GUAYABAL</t>
  </si>
  <si>
    <t>POLO TEXTILES SAS</t>
  </si>
  <si>
    <t xml:space="preserve"> 900012868-2</t>
  </si>
  <si>
    <t>LICITADACION</t>
  </si>
  <si>
    <t>ANA YIBER DANDERINO NAVAS</t>
  </si>
  <si>
    <t>CALLE 18 A SUR NO 29 C - 55</t>
  </si>
  <si>
    <t>SANTANDER</t>
  </si>
  <si>
    <t>CALZADO PAST POWER</t>
  </si>
  <si>
    <t>51641097-1</t>
  </si>
  <si>
    <t>CALZADO</t>
  </si>
  <si>
    <t>ANDERSON PACHEACO</t>
  </si>
  <si>
    <t>CARRERA 10 NO 9 - 99</t>
  </si>
  <si>
    <t>BOSA LA DESPENSA</t>
  </si>
  <si>
    <t>49787126-5</t>
  </si>
  <si>
    <t>BASECAMAS</t>
  </si>
  <si>
    <t>ANDREA LOAISA</t>
  </si>
  <si>
    <t>CARRERA 83 NO 68 K - 44</t>
  </si>
  <si>
    <t>VILLA LUZ</t>
  </si>
  <si>
    <t>DELTA PUBLICIDAD INFLABLES INTERNACIONAL LTDA</t>
  </si>
  <si>
    <t>830143693-9</t>
  </si>
  <si>
    <t>ANDREA ORDOÑEZ</t>
  </si>
  <si>
    <t>CALLE 44 NO 7 - 96 OFICINA 501</t>
  </si>
  <si>
    <t>JAVERIANA</t>
  </si>
  <si>
    <t>FUNDACION ENLACE TACTICO</t>
  </si>
  <si>
    <t>830098389-1</t>
  </si>
  <si>
    <t>ANDREA PERDOMO PARRA</t>
  </si>
  <si>
    <t>DIAGONAL 73 SUR NO 73 I - 23</t>
  </si>
  <si>
    <t>SIERRA MORENA</t>
  </si>
  <si>
    <t>CREACIONES RE BAGS</t>
  </si>
  <si>
    <t>36287433-9</t>
  </si>
  <si>
    <t>ANDREA PINEDA</t>
  </si>
  <si>
    <t>CARRERA 73 BIS NO 60 A - 14 SUR</t>
  </si>
  <si>
    <t>GALICIA</t>
  </si>
  <si>
    <t>MANUFACTURAS SPOTI SAS</t>
  </si>
  <si>
    <t>900824006-5</t>
  </si>
  <si>
    <t>ANDRES ALVIRA</t>
  </si>
  <si>
    <t>CARRERA 6 ESTE NO 90 A - 18 SUR</t>
  </si>
  <si>
    <t>ALFONZO LOPEZ</t>
  </si>
  <si>
    <t>ANDRES BENAVIDES</t>
  </si>
  <si>
    <t>CARRERA 11 NO 10 - 20 SUR</t>
  </si>
  <si>
    <t>CIUDAD BERNA</t>
  </si>
  <si>
    <t>FLAY FACTORY</t>
  </si>
  <si>
    <t>52956623</t>
  </si>
  <si>
    <t>ANDRES CASTILLO</t>
  </si>
  <si>
    <t xml:space="preserve">TRANSVERSAL 4 ESTE NO 26 - 43 </t>
  </si>
  <si>
    <t>SAN BLAS</t>
  </si>
  <si>
    <t>IMAGEN JR</t>
  </si>
  <si>
    <t>ANDRES FAJARDO</t>
  </si>
  <si>
    <t>CALLE 72 NO 20  A - 22</t>
  </si>
  <si>
    <t>CHAPINERO CENTRAL</t>
  </si>
  <si>
    <t>GRUPO DIFERENCIART S.A.S</t>
  </si>
  <si>
    <t>900953362-5</t>
  </si>
  <si>
    <t>ANDRES JULIAN MESA CAICEDO</t>
  </si>
  <si>
    <t>CALLE 52 A NO 20 - 48 OFICINA 101</t>
  </si>
  <si>
    <t>GALERIAS</t>
  </si>
  <si>
    <t>JHON PUENTES</t>
  </si>
  <si>
    <t>CARREA 24 D NO 18 - 27 SUR</t>
  </si>
  <si>
    <t>GRUPO MILPIELES S A S</t>
  </si>
  <si>
    <t>900350676- 4</t>
  </si>
  <si>
    <t>ANDRES MURILLO</t>
  </si>
  <si>
    <t>CALLE 66 A NO 68 - 17</t>
  </si>
  <si>
    <t>SAN MARCOS</t>
  </si>
  <si>
    <t>IDECO COLOMBIA S A S</t>
  </si>
  <si>
    <t>900599353-0</t>
  </si>
  <si>
    <t>BOLSOS EN SINTETICO</t>
  </si>
  <si>
    <t>ANDRES PACHECO</t>
  </si>
  <si>
    <t>ANDRES REYES</t>
  </si>
  <si>
    <t>CARRERA 42 NO 63 - 34 SUR</t>
  </si>
  <si>
    <t>CALENDARIA LA NUEVA</t>
  </si>
  <si>
    <t>TITINOS SPORT</t>
  </si>
  <si>
    <t>ANDRES ROJAS</t>
  </si>
  <si>
    <t>CARRERA 24 B NO 17 A - 70 SUR</t>
  </si>
  <si>
    <t>LA FERIA DEL HERRAJE</t>
  </si>
  <si>
    <t>ANDRES SILVA</t>
  </si>
  <si>
    <t>CALLE 80 BIS NO 15 - 08</t>
  </si>
  <si>
    <t>ANDREY AREVALO</t>
  </si>
  <si>
    <t>CALLE 24 C 11-  45 SUR</t>
  </si>
  <si>
    <t>SAN JOSE SUR</t>
  </si>
  <si>
    <t>CRISTAL MARROQUINERIA</t>
  </si>
  <si>
    <t>80037601-8</t>
  </si>
  <si>
    <t>ANDREY AREVALO GONZALEZ</t>
  </si>
  <si>
    <t>AVENIDA CALLE 4 NO 25 - 89</t>
  </si>
  <si>
    <t>ANGEL RODRIGUEZ</t>
  </si>
  <si>
    <t>CARRERA 7 ESTE NO 36 H - 66 SUR</t>
  </si>
  <si>
    <t>SAN VICENTE</t>
  </si>
  <si>
    <t>ANGEL SANABRIA</t>
  </si>
  <si>
    <t>DIAGONAL 31 NO 7 C - 33</t>
  </si>
  <si>
    <t>SAN MATEO</t>
  </si>
  <si>
    <t>FORROS DE LAVADORAS</t>
  </si>
  <si>
    <t>ANGELA GOMEZ</t>
  </si>
  <si>
    <t>CARRERA 12 NO 6 - 23</t>
  </si>
  <si>
    <t>PUENTE GRANDE</t>
  </si>
  <si>
    <t>DOTACIONES ECOLOGICAS</t>
  </si>
  <si>
    <t>ANGELICA FERNANDEZ</t>
  </si>
  <si>
    <t>KILOMETRO 1,5 VIA SIBERIA</t>
  </si>
  <si>
    <t>SIBERIA</t>
  </si>
  <si>
    <t>SIBERIA  CUNDINAMARCA</t>
  </si>
  <si>
    <t>COMPAÑÍA MIGUEL CABALLERO SAS</t>
  </si>
  <si>
    <t>90012710140- 4</t>
  </si>
  <si>
    <t>ANGELICA RAMIREZ</t>
  </si>
  <si>
    <t>CARRERA 36 NO 63 A - 54</t>
  </si>
  <si>
    <t>EL ROSARIO</t>
  </si>
  <si>
    <t>ESTUCHES DE SONIDO</t>
  </si>
  <si>
    <t>ANGELICA SANTAMARIA</t>
  </si>
  <si>
    <t>CALLE 75 NO 15 - 31</t>
  </si>
  <si>
    <t>CHAPINERO</t>
  </si>
  <si>
    <t>RUTA DIGITAL SAS</t>
  </si>
  <si>
    <t>900425166-3</t>
  </si>
  <si>
    <t>ANGELO REINA SALDAÑA</t>
  </si>
  <si>
    <t>CARRERA 19 C NO 26 A - 25 SUR</t>
  </si>
  <si>
    <t>OLAYA</t>
  </si>
  <si>
    <t>LIDERIAM GRUPO EMPRESARIAL SAS</t>
  </si>
  <si>
    <t>900066301-0</t>
  </si>
  <si>
    <t>ANIBAL HERNANDEZ</t>
  </si>
  <si>
    <t xml:space="preserve">AVENIDA CARACAS NO 17 - 4 </t>
  </si>
  <si>
    <t>CENTRO COMERCIAL MEGACENTRO LOCAL 101 ISLA Q</t>
  </si>
  <si>
    <t>ANIBAL MOTOS</t>
  </si>
  <si>
    <t>ANSELMO ROJAS</t>
  </si>
  <si>
    <t>CALLE 31 SUR NO 24 - 11</t>
  </si>
  <si>
    <t>EL LIBERTADOR</t>
  </si>
  <si>
    <t>ANTONIO GARCIA</t>
  </si>
  <si>
    <t>CARRERA 94 NO 127 B - 84</t>
  </si>
  <si>
    <t>SAN CALLETANO</t>
  </si>
  <si>
    <t>ARACELY PALACE</t>
  </si>
  <si>
    <t>CARRERA 50 NO 45 - 64</t>
  </si>
  <si>
    <t>RAFAEL NUÑEZ</t>
  </si>
  <si>
    <t>1088294033</t>
  </si>
  <si>
    <t>ARIANO MARROQUINERIA SAS</t>
  </si>
  <si>
    <t>CALLE 76 NO 113 B - 19 APARTAMENTO 401</t>
  </si>
  <si>
    <t>VILLAS DE GRANADA</t>
  </si>
  <si>
    <t>900593852-7</t>
  </si>
  <si>
    <t>ARIEL DIAZ</t>
  </si>
  <si>
    <t>CALLE 31 NO 39 - 41</t>
  </si>
  <si>
    <t>292508887</t>
  </si>
  <si>
    <t>ARIEL ZAMBRANO</t>
  </si>
  <si>
    <t>CARRERA 24 C NO 18 - 35 SUR</t>
  </si>
  <si>
    <t>RENO MARROQUINERA</t>
  </si>
  <si>
    <t>5276455-0</t>
  </si>
  <si>
    <t>ARMADURAS  SAS</t>
  </si>
  <si>
    <t>CARRERA 37 NO 7 - 63</t>
  </si>
  <si>
    <t>EL EGIDO</t>
  </si>
  <si>
    <t>830123857-4</t>
  </si>
  <si>
    <t>ARQUIMEDES ROA</t>
  </si>
  <si>
    <t>CARRERA 20 NO 31 B - 22</t>
  </si>
  <si>
    <t>QUIROGA</t>
  </si>
  <si>
    <t>AUGUSTO LOPEZ</t>
  </si>
  <si>
    <t>TRANSVERSAL 73 B NO 73 C - 05 SUR</t>
  </si>
  <si>
    <t>BEATRIZ  CALI</t>
  </si>
  <si>
    <t>CALLE 19 NO 7 A - 15</t>
  </si>
  <si>
    <t>SAN NICOLAS</t>
  </si>
  <si>
    <t>CALIHERRAJES  SAS</t>
  </si>
  <si>
    <t>BEDER BENAVIDES CUADRO</t>
  </si>
  <si>
    <t>CARRERA 28 B NO 38 B 7 - 40</t>
  </si>
  <si>
    <t>LA MILAGROSA</t>
  </si>
  <si>
    <t xml:space="preserve">CONFECCIONES BEKS </t>
  </si>
  <si>
    <t>78110636-1</t>
  </si>
  <si>
    <t>BELIZARIO PEREZ</t>
  </si>
  <si>
    <t>CALLE 42 G NO 89 C - 45</t>
  </si>
  <si>
    <t>LAS VEGAS</t>
  </si>
  <si>
    <t>MANUFACTURAS BERLIZ</t>
  </si>
  <si>
    <t>79315280-6</t>
  </si>
  <si>
    <t>GLORIA RONDON</t>
  </si>
  <si>
    <t>CALLE 78 SUR NO 1 H - 40 ESTE</t>
  </si>
  <si>
    <t>SANTA LIBRADA</t>
  </si>
  <si>
    <t>BERTHA  GUERRERO</t>
  </si>
  <si>
    <t>CARRERA 8 A NO 38 - 09 SUR</t>
  </si>
  <si>
    <t>BARCELONA</t>
  </si>
  <si>
    <t>BISMARK PARRA LEAL</t>
  </si>
  <si>
    <t>CARRERA 42 NO 2 - 41</t>
  </si>
  <si>
    <t>EL JASMIN</t>
  </si>
  <si>
    <t>CARPAS Y LONAS BISMARK PARRA</t>
  </si>
  <si>
    <t>79325126-2</t>
  </si>
  <si>
    <t>BLANCA FRANCO</t>
  </si>
  <si>
    <t>CALLE 13 NO 28 A - 05</t>
  </si>
  <si>
    <t>LOS SAUSES</t>
  </si>
  <si>
    <t>FUNZA - CUNDINAMARCA</t>
  </si>
  <si>
    <t>LIBING BACS</t>
  </si>
  <si>
    <t>51784008-8</t>
  </si>
  <si>
    <t>BOLSAS ECOLOGICAS</t>
  </si>
  <si>
    <t>BLANCA IDALIA PASTO</t>
  </si>
  <si>
    <t>MANZANA 5 CASA 6</t>
  </si>
  <si>
    <t>ESMERALDA</t>
  </si>
  <si>
    <t>PASTO</t>
  </si>
  <si>
    <t>BRENDA CICERI</t>
  </si>
  <si>
    <t>CALLE 69 B BIS NO 54 13 SUR</t>
  </si>
  <si>
    <t>ORZAN</t>
  </si>
  <si>
    <t>12265682-4</t>
  </si>
  <si>
    <t>CAMILO BOHORQUEZ</t>
  </si>
  <si>
    <t>CALLE 22 NO 9 - 32</t>
  </si>
  <si>
    <t>FUSAGASUGA</t>
  </si>
  <si>
    <t xml:space="preserve">CONFECCION </t>
  </si>
  <si>
    <t>CAMPO ELIAS PERALTA</t>
  </si>
  <si>
    <t>CALLE 18 SUR NO 24 B - 06</t>
  </si>
  <si>
    <t>PERALTEX &amp; CIA SAS</t>
  </si>
  <si>
    <t xml:space="preserve"> 900635263-0</t>
  </si>
  <si>
    <t>CARLOS ARTURO PENAGOS</t>
  </si>
  <si>
    <t>CALLE 35 SUR NO 69 C - 21</t>
  </si>
  <si>
    <t>PROVIDENCIA</t>
  </si>
  <si>
    <t>COLCHONES</t>
  </si>
  <si>
    <t>CARLOS AUGUSTO ORTEGA MUÑOZ</t>
  </si>
  <si>
    <t>CARRERA 7 C NO 2 - 72</t>
  </si>
  <si>
    <t>CALVO SUR</t>
  </si>
  <si>
    <t>SLEEPING</t>
  </si>
  <si>
    <t>CARLOS BARAJAS</t>
  </si>
  <si>
    <t>CARRERA 54 NO 46 - 32</t>
  </si>
  <si>
    <t>CARLOS IVAN VARAJAS</t>
  </si>
  <si>
    <t>13923875-6</t>
  </si>
  <si>
    <t>CARLOS BECERRA</t>
  </si>
  <si>
    <t>CARRERA 66  A NO 78 - 17</t>
  </si>
  <si>
    <t>BARRIOS UNIDOS</t>
  </si>
  <si>
    <t>HERRAJES DEL SUR</t>
  </si>
  <si>
    <t>CARLOS CHAPARRO</t>
  </si>
  <si>
    <t>CARRERA 24 F NO 19 - 05</t>
  </si>
  <si>
    <t>FERPIELES</t>
  </si>
  <si>
    <t>CARLOS CRISTANCHO</t>
  </si>
  <si>
    <t>CARRERA 18 K NO 61 B - 28 SUR</t>
  </si>
  <si>
    <t>LUCERO ALTO</t>
  </si>
  <si>
    <t>ORGANIZADORES DE CALZADO</t>
  </si>
  <si>
    <t>CARLOS GOMEZ PELETERIA</t>
  </si>
  <si>
    <t>CALLE 16 NO 4 - 84</t>
  </si>
  <si>
    <t>IBAGUE</t>
  </si>
  <si>
    <t>SURTILONA Y HULES</t>
  </si>
  <si>
    <t>93359370</t>
  </si>
  <si>
    <t>CARLOS HALSTUCH</t>
  </si>
  <si>
    <t>CALLE 11 NO 13 08 TORRE 1 OFC 603</t>
  </si>
  <si>
    <t>SANTA PAULA</t>
  </si>
  <si>
    <t>JOA ACCESORIES SAS</t>
  </si>
  <si>
    <t>900018682-7</t>
  </si>
  <si>
    <t>CARLOS IVAN BARAJAS HERNANDEZ</t>
  </si>
  <si>
    <t>CARRERA 54 A NO 46 - 32 SUR</t>
  </si>
  <si>
    <t>CARLOS LAGOS</t>
  </si>
  <si>
    <t>CALLE 35 BIS NO 8 A - 15 SUR</t>
  </si>
  <si>
    <t>BARCELONA SUR</t>
  </si>
  <si>
    <t>CARLOS LOPEZ</t>
  </si>
  <si>
    <t>CARRERA 8 NO 160 A - 10</t>
  </si>
  <si>
    <t>SAN CRISTOBAL NORTE</t>
  </si>
  <si>
    <t>CARLOS MATEUS</t>
  </si>
  <si>
    <t>CALLE 90 NO 4 G - 42</t>
  </si>
  <si>
    <t>CHICO AZUL</t>
  </si>
  <si>
    <t>CARLOS OCAMPO</t>
  </si>
  <si>
    <t>DIAGONAL 13 BIS NO 24 D - 08</t>
  </si>
  <si>
    <t>DELTA SOLUCIONES</t>
  </si>
  <si>
    <t>CARLOS ORDOÑEZ</t>
  </si>
  <si>
    <t>CALLE 3 SUR NO 8 A - 19</t>
  </si>
  <si>
    <t>MODELO SUR</t>
  </si>
  <si>
    <t>INVERSIONES MACOLY LTDA</t>
  </si>
  <si>
    <t>900258150</t>
  </si>
  <si>
    <t>CARLOS RODRIGUEZ</t>
  </si>
  <si>
    <t>CARRERA 11 NO 34 A - 92</t>
  </si>
  <si>
    <t>GAITAN</t>
  </si>
  <si>
    <t>AROTEX</t>
  </si>
  <si>
    <t>1422325-1</t>
  </si>
  <si>
    <t>CARLOS WILCHES</t>
  </si>
  <si>
    <t>CARRERA 45 A NO 58 C - 14</t>
  </si>
  <si>
    <t>ARBORIZADORA BAJA</t>
  </si>
  <si>
    <t>BOLSOS WRSPORT</t>
  </si>
  <si>
    <t>CARMEN SANDOVAL</t>
  </si>
  <si>
    <t>CALLE 64 B NO 111 B - 40</t>
  </si>
  <si>
    <t>VILLA GLADIS</t>
  </si>
  <si>
    <t>CARMENZA CERON</t>
  </si>
  <si>
    <t>CARRERA 72 C NO 69 - 43</t>
  </si>
  <si>
    <t>CELINA CASTRO</t>
  </si>
  <si>
    <t>CALLE 109 NO 0 - 39 SUR</t>
  </si>
  <si>
    <t>ANTONIO JOSE DE SUCRE</t>
  </si>
  <si>
    <t>CESAR GOMEZ</t>
  </si>
  <si>
    <t>CALLE 23 NO 20 - 20</t>
  </si>
  <si>
    <t>SAMPER MENDOZA</t>
  </si>
  <si>
    <t>PROMOS LTDA</t>
  </si>
  <si>
    <t>830018350-3</t>
  </si>
  <si>
    <t>CESAR MAURICIO MEJIA</t>
  </si>
  <si>
    <t>CALLE 44 A NO 60 - 55</t>
  </si>
  <si>
    <t>BARRIO TRISTE</t>
  </si>
  <si>
    <t>71262429</t>
  </si>
  <si>
    <t>CESAR SANCHEZ</t>
  </si>
  <si>
    <t>CALLE 2 NO 4 - 41</t>
  </si>
  <si>
    <t xml:space="preserve">CALLEJON GUZMAN CORREGIMIENTO PALMASECA </t>
  </si>
  <si>
    <t>LD SOLCIONES INTEGRALES SAS</t>
  </si>
  <si>
    <t>900922947-0</t>
  </si>
  <si>
    <t>CIRO GOMEZ</t>
  </si>
  <si>
    <t>CALLE 40 B BIS NO 16 A - 07 ESTE</t>
  </si>
  <si>
    <t>LA VICTORIA</t>
  </si>
  <si>
    <t>CLARA AURORA CELIS</t>
  </si>
  <si>
    <t>23623278-8</t>
  </si>
  <si>
    <t>CLAUDIA GALLO</t>
  </si>
  <si>
    <t>CALLE 91 SUR NO 7 B - 12</t>
  </si>
  <si>
    <t>CAMAS</t>
  </si>
  <si>
    <t>CLAUDIA ROMERO</t>
  </si>
  <si>
    <t>CARRERA 24 B NO 17 A - 65 SUR</t>
  </si>
  <si>
    <t>INSUMOS Y CREMALLERAS NISSY</t>
  </si>
  <si>
    <t>103372415-8</t>
  </si>
  <si>
    <t>CRISTHIAN CAMILO MEDINA</t>
  </si>
  <si>
    <t>CALLE 46 SUR NO 34 - 34</t>
  </si>
  <si>
    <t>LAS MARGARITAS</t>
  </si>
  <si>
    <t>1075267858-2</t>
  </si>
  <si>
    <t>CHALECOS PARA MOTOS</t>
  </si>
  <si>
    <t>CRISTIAN ESPITIA</t>
  </si>
  <si>
    <t>CALLE 42 SUR NO 50 C - 10</t>
  </si>
  <si>
    <t>LA ALQUERIA</t>
  </si>
  <si>
    <t>PROMOTEXTILES</t>
  </si>
  <si>
    <t>PANTUFLAS Y MUÑECOS</t>
  </si>
  <si>
    <t>CRISTIAN FERREIRA</t>
  </si>
  <si>
    <t>CARRERA 69 D NO 37 D - 47 SUR</t>
  </si>
  <si>
    <t>CARVAJAL</t>
  </si>
  <si>
    <t>MANUFACTURAS FERREIRA SAS</t>
  </si>
  <si>
    <t>CRISTIAN GARAVITO</t>
  </si>
  <si>
    <t>CARRERA 24 NO 9 A - 19 SUR PISO 2 NUEVA</t>
  </si>
  <si>
    <t>LA FRAGUITA</t>
  </si>
  <si>
    <t>PROMOCIONLES WILLIAMS</t>
  </si>
  <si>
    <t>900030344-1</t>
  </si>
  <si>
    <t>CRISTIAN SOLARTE</t>
  </si>
  <si>
    <t>CARRERA 12 A NO 71 - 17</t>
  </si>
  <si>
    <t>16936466</t>
  </si>
  <si>
    <t>CRISTOBAL BUSTOS</t>
  </si>
  <si>
    <t>CARRERA 22 NO 63 - 38 SUR</t>
  </si>
  <si>
    <t>SAN FRANCISCO</t>
  </si>
  <si>
    <t>BOTIQUINES</t>
  </si>
  <si>
    <t>DAGOBERTO CADENA</t>
  </si>
  <si>
    <t>CALLE 42 SUR NO 19 - 50</t>
  </si>
  <si>
    <t xml:space="preserve">QUIROGA </t>
  </si>
  <si>
    <t>COMERCIALIZADORA  DC  SAS</t>
  </si>
  <si>
    <t xml:space="preserve"> 900374320-1</t>
  </si>
  <si>
    <t>BOSOS EN CUERO Y SINTETICO</t>
  </si>
  <si>
    <t>DAHIAN BERRIO</t>
  </si>
  <si>
    <t>CARRERA 50 NO 47 - 11</t>
  </si>
  <si>
    <t>CORREAS  HERRAJES</t>
  </si>
  <si>
    <t>DAMARIS ANGEL MASIAS</t>
  </si>
  <si>
    <t>CALLE 86 A 90 - 09</t>
  </si>
  <si>
    <t>QUIRIGUA</t>
  </si>
  <si>
    <t>BOLSA ECOLOGICA MUNO QUIRURJICO</t>
  </si>
  <si>
    <t>52005147-6</t>
  </si>
  <si>
    <t>DANIEL LAISECA PAYAN</t>
  </si>
  <si>
    <t>MANZANA A CASA 3</t>
  </si>
  <si>
    <t>GAITANA</t>
  </si>
  <si>
    <t>CHARIK SPORT</t>
  </si>
  <si>
    <t>93450170-2</t>
  </si>
  <si>
    <t>DANILO ANDRES ZAMBRANO</t>
  </si>
  <si>
    <t>CARRERA 24 NO 68 32</t>
  </si>
  <si>
    <t>AMBALA</t>
  </si>
  <si>
    <t>TOLIMA</t>
  </si>
  <si>
    <t>INDUSTRIA MARROQUINERIA I.M BISONTE LTDA</t>
  </si>
  <si>
    <t>800206434-0</t>
  </si>
  <si>
    <t>ESTUCHES DE CELULAR</t>
  </si>
  <si>
    <t>DANILO AREVALO MORA</t>
  </si>
  <si>
    <t>CARRERA 11 NO 23 B - 01</t>
  </si>
  <si>
    <t>EUROS</t>
  </si>
  <si>
    <t>14234425-2</t>
  </si>
  <si>
    <t>DANY HORMAZA</t>
  </si>
  <si>
    <t>CALLE 26 BIS NO 24 F - 06</t>
  </si>
  <si>
    <t>CENTENARIO</t>
  </si>
  <si>
    <t>ARLEY RODRIGUEZ</t>
  </si>
  <si>
    <t>CARRERA 19 A NO 9 - 06 LOCAL 102</t>
  </si>
  <si>
    <t>SAN ANDRESITO SAN JOSE  - C.C. LA GRAN ESPAÑA</t>
  </si>
  <si>
    <t>6654199</t>
  </si>
  <si>
    <t>DAVID LAISECA PAYAN</t>
  </si>
  <si>
    <t>MANZANA F CASA 13</t>
  </si>
  <si>
    <t>PRIMAVERA SUR</t>
  </si>
  <si>
    <t>DKISS PUNTO DE FABRICA</t>
  </si>
  <si>
    <t>12168321-5</t>
  </si>
  <si>
    <t>DAYRO HECTOR ROJAS</t>
  </si>
  <si>
    <t>AVENIDA CARACAS NO 17 - 75 LOCAL 106</t>
  </si>
  <si>
    <t xml:space="preserve"> ISLA 1 - C.C. MEGACENTRO LA FAVORITA</t>
  </si>
  <si>
    <t>DHANKO</t>
  </si>
  <si>
    <t>DEYBIS JAVIER URREGO TAPIAS</t>
  </si>
  <si>
    <t>CARRERA 6 NO 16 C 24</t>
  </si>
  <si>
    <t>CENTRO GARITA</t>
  </si>
  <si>
    <t>VALLEDUPAR</t>
  </si>
  <si>
    <t>ALMACEN LA HERRADURA</t>
  </si>
  <si>
    <t>77091832-0</t>
  </si>
  <si>
    <t>DIANA BARRAGAN</t>
  </si>
  <si>
    <t xml:space="preserve">CALLE 20 SUR NO 25 - 30 </t>
  </si>
  <si>
    <t>MANUFACTURAS OVIEDO</t>
  </si>
  <si>
    <t>900409772 -1</t>
  </si>
  <si>
    <t>BOTA MILITAR</t>
  </si>
  <si>
    <t>DIANA KATHERINE QUEVEDO</t>
  </si>
  <si>
    <t>CARRERA 53 A NO 47 A - 06 SUR</t>
  </si>
  <si>
    <t>1030595257 -9</t>
  </si>
  <si>
    <t>DIANA PÁRRA</t>
  </si>
  <si>
    <t>CARRERA 9 ESTE NO 38 - 23 SUR</t>
  </si>
  <si>
    <t>TAPABOCAS</t>
  </si>
  <si>
    <t>DIANA VARGAS</t>
  </si>
  <si>
    <t>CALLE 36 K SUR NO 4 - 50 ESTE</t>
  </si>
  <si>
    <t>SAN VICENTE SUR ORIENTAL</t>
  </si>
  <si>
    <t>MANUFACTURAS BERACA</t>
  </si>
  <si>
    <t>79977195-8</t>
  </si>
  <si>
    <t xml:space="preserve"> </t>
  </si>
  <si>
    <t>CALLE 63 NO 78 - 61</t>
  </si>
  <si>
    <t>SANTA CECILIA</t>
  </si>
  <si>
    <t>PUBLIMARKET SOLUCIONES CREATIVAS SAS</t>
  </si>
  <si>
    <t>900561410-8</t>
  </si>
  <si>
    <t>DIANA ZAMBAK</t>
  </si>
  <si>
    <t>CALLE 162 A NO 21 - 08</t>
  </si>
  <si>
    <t>ORQUIDEAS</t>
  </si>
  <si>
    <t>ZAMBAK ACCESORIOS SAS</t>
  </si>
  <si>
    <t>900466380-9</t>
  </si>
  <si>
    <t>DIEGO ALEJANDRO LOPEZ</t>
  </si>
  <si>
    <t>TRANSVERSAL 73 G NO 75 A - 07 SUR</t>
  </si>
  <si>
    <t>DIMAR</t>
  </si>
  <si>
    <t>1024539872-9</t>
  </si>
  <si>
    <t>DIEGO CATAÑO</t>
  </si>
  <si>
    <t>CALLE 22 A SUR NO 12 H 29</t>
  </si>
  <si>
    <t>ERASUS</t>
  </si>
  <si>
    <t>70601189-7</t>
  </si>
  <si>
    <t>DIEGO CORTEZ</t>
  </si>
  <si>
    <t>AVENIDA CARRERA 68 NO 9- 40 SUR</t>
  </si>
  <si>
    <t>PROVIDENICIA</t>
  </si>
  <si>
    <t>GRUPO EMPRESARIAL 7 MARKETING</t>
  </si>
  <si>
    <t>900644306-7</t>
  </si>
  <si>
    <t xml:space="preserve">DOTACION </t>
  </si>
  <si>
    <t>DIEGO FERNANDO FLOREZ CUESTAS</t>
  </si>
  <si>
    <t>CARRERA 24 F 18 26 SUR</t>
  </si>
  <si>
    <t>LA ECONOMIA SAS</t>
  </si>
  <si>
    <t>1013586878-2</t>
  </si>
  <si>
    <t>DIEGO GOMEZ</t>
  </si>
  <si>
    <t>CALLE 19 A NO 82 - 65 BLOQUE 16 APARTAMENTO 302</t>
  </si>
  <si>
    <t>HAYUELOS</t>
  </si>
  <si>
    <t>COMERCIALIZADORA EL TULIPAN SAS</t>
  </si>
  <si>
    <t>900670661-7</t>
  </si>
  <si>
    <t>CAJAS PARA PROTEGER ROSAS</t>
  </si>
  <si>
    <t>DIEGO IMBACHI</t>
  </si>
  <si>
    <t>CARRERA 50 NO 19 C - 05</t>
  </si>
  <si>
    <t>PASTRANA</t>
  </si>
  <si>
    <t>NEIVA</t>
  </si>
  <si>
    <t>DIEGO LOZANO</t>
  </si>
  <si>
    <t>CALLE 18 A NO 69 - 52</t>
  </si>
  <si>
    <t>MONTEVIDEO</t>
  </si>
  <si>
    <t>GLOBAL SAFETY SUPPLIES SAS</t>
  </si>
  <si>
    <t>900530366-3</t>
  </si>
  <si>
    <t>DIEGO POSADA</t>
  </si>
  <si>
    <t>CALLE 3 SUR NO 52 - 16</t>
  </si>
  <si>
    <t>CRISTO REY GUAYABAL</t>
  </si>
  <si>
    <t>POLO TEXTILES LTDA</t>
  </si>
  <si>
    <t>900012868 - 2</t>
  </si>
  <si>
    <t>DORA ALBA</t>
  </si>
  <si>
    <t>CARRERA 20 C 26 - 40 SUR</t>
  </si>
  <si>
    <t>CI VENTURA LEATHER SAS</t>
  </si>
  <si>
    <t>900731675-2</t>
  </si>
  <si>
    <t>BOLSOS EN CUERO</t>
  </si>
  <si>
    <t>DORIS OFIR RUDEN</t>
  </si>
  <si>
    <t>CALLE 42 NO 52 C - 45</t>
  </si>
  <si>
    <t>INSUMOS TEXTILES</t>
  </si>
  <si>
    <t>DORIS GIRALDO</t>
  </si>
  <si>
    <t>HERRAJES Y ADORNOS JG</t>
  </si>
  <si>
    <t>10882944033-5</t>
  </si>
  <si>
    <t>EDGAR ALDANA</t>
  </si>
  <si>
    <t>CALLE 31 NO 40 -  47</t>
  </si>
  <si>
    <t>INVERSIONES ALDANA</t>
  </si>
  <si>
    <t>91361213-1</t>
  </si>
  <si>
    <t>EDGAR AUGUSTO MONTOYA</t>
  </si>
  <si>
    <t>QUINTAS DE SAN FRANCISCO CASA A  No 11</t>
  </si>
  <si>
    <t>FLANDES</t>
  </si>
  <si>
    <t>FORMATEX</t>
  </si>
  <si>
    <t>EDGAR GIRALDO</t>
  </si>
  <si>
    <t>TRANSVERSAL 11 NO 5 - 25</t>
  </si>
  <si>
    <t>PABLO NERUDA</t>
  </si>
  <si>
    <t>EDGAR JURADO</t>
  </si>
  <si>
    <t>CARRERA 17 A NO 54 - 75 SUR</t>
  </si>
  <si>
    <t>SAN CARLOS</t>
  </si>
  <si>
    <t>12167792-6</t>
  </si>
  <si>
    <t>EDGAR OCHOA</t>
  </si>
  <si>
    <t>CALLE 42 C BIS NO 89 G - 42 SUR</t>
  </si>
  <si>
    <t>9657211</t>
  </si>
  <si>
    <t>EDGAR REYES</t>
  </si>
  <si>
    <t>EDILMA GONZALEZ</t>
  </si>
  <si>
    <t>CARRERA 24 A NO 16 B - 01 SUR</t>
  </si>
  <si>
    <t>MARROUINERIA</t>
  </si>
  <si>
    <t>CARRIEL</t>
  </si>
  <si>
    <t>EDILSON FRANCO</t>
  </si>
  <si>
    <t>CARRERA 53 NO 37 A 96 SUR PISO 5</t>
  </si>
  <si>
    <t>VISTE Y RAYA LTDA</t>
  </si>
  <si>
    <t>900281046-8</t>
  </si>
  <si>
    <t>CARRERA 53 NO 37 A - 96 SUR PISO 5</t>
  </si>
  <si>
    <t>VISTE Y RAYA</t>
  </si>
  <si>
    <t>EDILSON GIRALDO</t>
  </si>
  <si>
    <t>CARRERA 52 NO 25 - 222 AVENIDA GUAYABAL</t>
  </si>
  <si>
    <t xml:space="preserve">ANTES DE LA CRUZ ROJA </t>
  </si>
  <si>
    <t>EDILSON ROJAS</t>
  </si>
  <si>
    <t>EDUARD GONZALEZ</t>
  </si>
  <si>
    <t>CALLE 78 NO 55 A - 45</t>
  </si>
  <si>
    <t>JORGE ELIECER GAITAN</t>
  </si>
  <si>
    <t>AGROINSUMOS ALFA S.A.S.</t>
  </si>
  <si>
    <t>830001445 -1</t>
  </si>
  <si>
    <t>EDUARDO CALLEJAS</t>
  </si>
  <si>
    <t>CARRERA 4 TAMANA 22 - 31</t>
  </si>
  <si>
    <t xml:space="preserve">EL CARMEN </t>
  </si>
  <si>
    <t>LOS AMIGOS</t>
  </si>
  <si>
    <t>EDUARDO MARTINEZ</t>
  </si>
  <si>
    <t>CARRERA 93 D NO 127 B - 18</t>
  </si>
  <si>
    <t>SUBA RINCON</t>
  </si>
  <si>
    <t>EDWIN BENAVIDES</t>
  </si>
  <si>
    <t>CALLE 79 NO 86 A 45 - PISO 3</t>
  </si>
  <si>
    <t>ROBLEDO EL DIAMANTE</t>
  </si>
  <si>
    <t>GEMA</t>
  </si>
  <si>
    <t>78112084</t>
  </si>
  <si>
    <t>EDWIN LOPEZ</t>
  </si>
  <si>
    <t>CALLE 21 NO 12 - 45</t>
  </si>
  <si>
    <t>SAN JUDAS TADEO</t>
  </si>
  <si>
    <t>NORTE DE SANTENDER</t>
  </si>
  <si>
    <t>MANUFATURAS EL BUHO</t>
  </si>
  <si>
    <t>ELIZABETH LUCIO MARTINEZ</t>
  </si>
  <si>
    <t>CARRERA 53 A NO 4 F - 41</t>
  </si>
  <si>
    <t>SAN RAFAEL</t>
  </si>
  <si>
    <t>CREACIONES JOMAR</t>
  </si>
  <si>
    <t>79772234-6</t>
  </si>
  <si>
    <t>ELIZABETH MORENO</t>
  </si>
  <si>
    <t>CALLE 94 A 58 - 25</t>
  </si>
  <si>
    <t>RIO NEGRO</t>
  </si>
  <si>
    <t>CONFECCIONES BRIPO LIMITADA</t>
  </si>
  <si>
    <t xml:space="preserve"> 900025001-0</t>
  </si>
  <si>
    <t>PRENDAS DE VESTIR</t>
  </si>
  <si>
    <t>ELIZABETH VARGAS</t>
  </si>
  <si>
    <t>CARRERA 81 D NO 42 A - 34</t>
  </si>
  <si>
    <t>VILLA LA TORRE</t>
  </si>
  <si>
    <t>ELIZABETH</t>
  </si>
  <si>
    <t>ELKIN CHACON</t>
  </si>
  <si>
    <t>CARRERA 18 H 74 C - 33 SUR</t>
  </si>
  <si>
    <t>LA ESTRELLA</t>
  </si>
  <si>
    <t>ERIK  VALLES</t>
  </si>
  <si>
    <t>CALLE 8 A NO 69 D - 19 SUR</t>
  </si>
  <si>
    <t>CORVALLES &amp; GONZALEZ S.A.S</t>
  </si>
  <si>
    <t>900897516-2</t>
  </si>
  <si>
    <t>EMIILSON CONTRERAS</t>
  </si>
  <si>
    <t>CARRERA 24 B NO 17 A - 77</t>
  </si>
  <si>
    <t>EMILIO ESPINDOLA</t>
  </si>
  <si>
    <t>CALLE 17 SUR NO 26 - 34 PISO 2</t>
  </si>
  <si>
    <t>WORLDNET CONSULTING SAS</t>
  </si>
  <si>
    <t xml:space="preserve"> 900362868-3</t>
  </si>
  <si>
    <t>EMILSE ESCOBAR</t>
  </si>
  <si>
    <t>CARRERA 45 A NO 58 C 06 SUR</t>
  </si>
  <si>
    <t>CORREAS Y BOLSOS WILCHE</t>
  </si>
  <si>
    <t>80268315</t>
  </si>
  <si>
    <t>BATAS QUIRURGICAS</t>
  </si>
  <si>
    <t>ERNESTO MUÑOZ GARCIA</t>
  </si>
  <si>
    <t>CALLE 96 SUR NO A A - 47</t>
  </si>
  <si>
    <t>LAS AMERICAS</t>
  </si>
  <si>
    <t>BABUCHAS</t>
  </si>
  <si>
    <t>ERNEY SAENZ</t>
  </si>
  <si>
    <t>ESMERALDA HERRERA</t>
  </si>
  <si>
    <t>CARRERA 19 NO 50 - 98</t>
  </si>
  <si>
    <t>TORCOROMA</t>
  </si>
  <si>
    <t>BARRANCABERMEJA</t>
  </si>
  <si>
    <t>OLIMPICAS SPORT LTDA</t>
  </si>
  <si>
    <t>829003812-5</t>
  </si>
  <si>
    <t>ESPERANZA FRIAS</t>
  </si>
  <si>
    <t>CARRERA 10 NO 9 - 59</t>
  </si>
  <si>
    <t>SAN VICTORINO</t>
  </si>
  <si>
    <t>CHALECOS INDUSTRIALES</t>
  </si>
  <si>
    <t>ESTEBAN CASTILLO</t>
  </si>
  <si>
    <t>CALLE 37 SUR NO 89 A - 48</t>
  </si>
  <si>
    <t>ALQUERIA</t>
  </si>
  <si>
    <t>GRUPO UNICAS SAS</t>
  </si>
  <si>
    <t>900422283 -3</t>
  </si>
  <si>
    <t>FABIAN CHISICA</t>
  </si>
  <si>
    <t>CALLE 15 NO 1 ESTE 43</t>
  </si>
  <si>
    <t>MADRID</t>
  </si>
  <si>
    <t>CUNDINAMARCA</t>
  </si>
  <si>
    <t>INVERSIONES SYS</t>
  </si>
  <si>
    <t>900616963-7</t>
  </si>
  <si>
    <t>CALZADO INDUSTRIAL</t>
  </si>
  <si>
    <t>FABIAN RAMIREZ</t>
  </si>
  <si>
    <t>CALLE 59 NO 13 - 83</t>
  </si>
  <si>
    <t>FABIO RICO</t>
  </si>
  <si>
    <t>DIAGONAL 56 35 A - 30</t>
  </si>
  <si>
    <t>BOLSOS FABINCHI</t>
  </si>
  <si>
    <t>19263092-5</t>
  </si>
  <si>
    <t>FAIVER FIERRO RUBIANO</t>
  </si>
  <si>
    <t>CARRERA 11 NO 5 - 58</t>
  </si>
  <si>
    <t xml:space="preserve">SAN BERNARDINO </t>
  </si>
  <si>
    <t>FEDERICO ANTONIO MUÑOZ</t>
  </si>
  <si>
    <t>CARRERA 22 NO 22 - 91</t>
  </si>
  <si>
    <t>SINCELEJO</t>
  </si>
  <si>
    <t>ACCESORIOS Y HERRAJES</t>
  </si>
  <si>
    <t>CHAQUETAS PARA MOTOS</t>
  </si>
  <si>
    <t>FELIPE GUTIERREZ</t>
  </si>
  <si>
    <t>CARRERA 25 NO 19 - 12 SUR</t>
  </si>
  <si>
    <t>AERO SCREEN</t>
  </si>
  <si>
    <t>MARQUILLAS Y ETIQUETAS</t>
  </si>
  <si>
    <t xml:space="preserve">FERNANDO CASILIMAS </t>
  </si>
  <si>
    <t>CALLE 54 NO 12 - 47 SUR</t>
  </si>
  <si>
    <t>TUNJUELITO</t>
  </si>
  <si>
    <t>CAMIBOTIQUINES SAS</t>
  </si>
  <si>
    <t>900862482 1</t>
  </si>
  <si>
    <t>FERNANDO FRANCO</t>
  </si>
  <si>
    <t>CARRERA 12 NO 8 - 35 SUR</t>
  </si>
  <si>
    <t>CUIDAD BERNA</t>
  </si>
  <si>
    <t>9856519</t>
  </si>
  <si>
    <t>FERNANDO MAYORGA</t>
  </si>
  <si>
    <t>CARRERA 24 H NO 19 - 87</t>
  </si>
  <si>
    <t>FERNANDO MONCADA</t>
  </si>
  <si>
    <t>CALLE 1 C NO 38 A - 13</t>
  </si>
  <si>
    <t>JORGE GAITAN CORTEZ</t>
  </si>
  <si>
    <t>DEPORTIVAS PONNY SAS</t>
  </si>
  <si>
    <t xml:space="preserve"> 830013803-5</t>
  </si>
  <si>
    <t>ELEMENTOS DE BOXEO</t>
  </si>
  <si>
    <t>FERNANDO PEÑA</t>
  </si>
  <si>
    <t>CARRERA 72 J NO 48 - 11 SUR</t>
  </si>
  <si>
    <t>BOITA</t>
  </si>
  <si>
    <t>BOLSOS PEÑA</t>
  </si>
  <si>
    <t>1024497221</t>
  </si>
  <si>
    <t>FERNANDO ZANABRIA</t>
  </si>
  <si>
    <t>CARRERA 69 K NO 71 - 09</t>
  </si>
  <si>
    <t>ESTRADA</t>
  </si>
  <si>
    <t>LA TIENDA MATERIA PUBLICITARIA</t>
  </si>
  <si>
    <t>FIDEL TORRES SANCHEZ</t>
  </si>
  <si>
    <t>305 8708413</t>
  </si>
  <si>
    <t>AVENIDA A UBATE EL RURAL</t>
  </si>
  <si>
    <t>TAPICERIAS EL OASIS</t>
  </si>
  <si>
    <t xml:space="preserve">BOLSOS </t>
  </si>
  <si>
    <t>FRANCISCO PINI</t>
  </si>
  <si>
    <t>PARQUE INDUSTRIAL LOS NOGALES BODEGA 7 AUTOPISTA MEDELLIN KL 3,7 COSTADO SUR</t>
  </si>
  <si>
    <t>COTA</t>
  </si>
  <si>
    <t>COTA CUNDINAMARCA</t>
  </si>
  <si>
    <t>CALZADOS 3025 SA</t>
  </si>
  <si>
    <t>FRANCISCO SALCEDO</t>
  </si>
  <si>
    <t>CARRERA 93 D NO 127 D - 18</t>
  </si>
  <si>
    <t>18413003-0</t>
  </si>
  <si>
    <t>OSCAR CERON</t>
  </si>
  <si>
    <t>CALLE 52 C SUR NO 5 C 19</t>
  </si>
  <si>
    <t>79822076-0</t>
  </si>
  <si>
    <t>FREDY MATEUS</t>
  </si>
  <si>
    <t>CARRERA 4 ESTE NO 90 D - 51 SUR</t>
  </si>
  <si>
    <t>FREDY PARRA</t>
  </si>
  <si>
    <t>CALLE 2 NO 69 A - 20 SUR</t>
  </si>
  <si>
    <t>CIRCULO DE LA CREATIVIDAD SAS</t>
  </si>
  <si>
    <t>900607770-4</t>
  </si>
  <si>
    <t>FREDY TABARES MANRIQUE</t>
  </si>
  <si>
    <t>CALLE 49 NO 51 - 20 PISO 2</t>
  </si>
  <si>
    <t>LA CANDELARIA</t>
  </si>
  <si>
    <t>71221698-7</t>
  </si>
  <si>
    <t xml:space="preserve">MORRALERO </t>
  </si>
  <si>
    <t>GABRIEL CARDONA</t>
  </si>
  <si>
    <t>CALLE 72 NO 52 - 45 LOCAL 215</t>
  </si>
  <si>
    <t>GABRIEL RODRIGUEZ BENAVIDES</t>
  </si>
  <si>
    <t>CALLE 2 C 25 A - 11</t>
  </si>
  <si>
    <t>SANTA ISABEL</t>
  </si>
  <si>
    <t>MAX FIBRAS DE COLOMBIA</t>
  </si>
  <si>
    <t>GABRIEL SOLER</t>
  </si>
  <si>
    <t>CALLE 27 SUR 29 - 46</t>
  </si>
  <si>
    <t>SANTANDER SUR</t>
  </si>
  <si>
    <t>MANUFACTURAS DMARKKA</t>
  </si>
  <si>
    <t>80420794-2</t>
  </si>
  <si>
    <t>GABRIEL TORRES</t>
  </si>
  <si>
    <t xml:space="preserve">CARRERA 68 H NO 23 - 47 SUR PISO 4 </t>
  </si>
  <si>
    <t>PROVIDENCIA ORIENTAL CERCA AL PARQUE MI LLANUARA</t>
  </si>
  <si>
    <t xml:space="preserve">GE GRUPO ELITE SAS </t>
  </si>
  <si>
    <t>GERMAN CARDOZA</t>
  </si>
  <si>
    <t>CALLE 20 NO 24 F - 30</t>
  </si>
  <si>
    <t>IMPROYEM</t>
  </si>
  <si>
    <t>GERMAN CASTAÑEDA</t>
  </si>
  <si>
    <t>CARRERA 72 A 23 C - 19</t>
  </si>
  <si>
    <t>CAPELLANIA</t>
  </si>
  <si>
    <t>KASFON GROUP S A S</t>
  </si>
  <si>
    <t>900588249-5</t>
  </si>
  <si>
    <t>GERMAN MORALES</t>
  </si>
  <si>
    <t>CARRERA 70 C NO 5 A - 16</t>
  </si>
  <si>
    <t>GERSON ROFRIGUEZ SUAREZ</t>
  </si>
  <si>
    <t>CARRERA 112 A BIS NO 71 C - 96</t>
  </si>
  <si>
    <t xml:space="preserve">VILLAS DE ALCALA </t>
  </si>
  <si>
    <t>ACPROJECT SAS</t>
  </si>
  <si>
    <t>900702982-5</t>
  </si>
  <si>
    <t>GILBERTO HOYOS</t>
  </si>
  <si>
    <t>CALLE 24 SUR NO 68 H - 18</t>
  </si>
  <si>
    <t>VILLA CLAUDIA</t>
  </si>
  <si>
    <t>CAPETOS GH PUBLICIDAD</t>
  </si>
  <si>
    <t>1030597545-4</t>
  </si>
  <si>
    <t>GILBERTO MORA</t>
  </si>
  <si>
    <t>CALLE  59 A NO 68 B - 63</t>
  </si>
  <si>
    <t>BELLAVISTA</t>
  </si>
  <si>
    <t>ONCE TALLER DE DISEÑO LTDA</t>
  </si>
  <si>
    <t>830142859-1</t>
  </si>
  <si>
    <t>GINETH ROA</t>
  </si>
  <si>
    <t>CARRERA 25 NO 17 B 13 - SUR</t>
  </si>
  <si>
    <t>BOGOTEXTIL SAS</t>
  </si>
  <si>
    <t>GIOVANNA SAENZ</t>
  </si>
  <si>
    <t>CARRERA 24 F NO 18 - 10 SUR</t>
  </si>
  <si>
    <t>COMERCIALIZADORA LA ORIENTAL</t>
  </si>
  <si>
    <t>GIOVANY RAMIREZ</t>
  </si>
  <si>
    <t>CARRERA 24 B NO 17 A - 83 SUR</t>
  </si>
  <si>
    <t>HILOS LUNA</t>
  </si>
  <si>
    <t>GLORIA RAMIREZ</t>
  </si>
  <si>
    <t>CALLE 51 A SUR NO 77 K - 49</t>
  </si>
  <si>
    <t>CATALINA 2</t>
  </si>
  <si>
    <t>RAPIFORROS</t>
  </si>
  <si>
    <t>39535871-7</t>
  </si>
  <si>
    <t>MUEBLES DE JARDIN</t>
  </si>
  <si>
    <t>GRUPO EGMEL SAS</t>
  </si>
  <si>
    <t>CALLE 67 B SUR 18 N - 27</t>
  </si>
  <si>
    <t>SUMAPAZ</t>
  </si>
  <si>
    <t>900792503 - 5</t>
  </si>
  <si>
    <t>GUIDO BLANCO</t>
  </si>
  <si>
    <t>DIAGONAL 22 BIS NO 22 - 80</t>
  </si>
  <si>
    <t>GUILLERMO HORMAZA</t>
  </si>
  <si>
    <t>FINCA KAREN</t>
  </si>
  <si>
    <t>FUSAGASUGA CUNDINAMARCA</t>
  </si>
  <si>
    <t>10273607</t>
  </si>
  <si>
    <t>GUILLERMO MUÑOZ</t>
  </si>
  <si>
    <t>CALLE 25 BIS NO 31 A - 86</t>
  </si>
  <si>
    <t>GRAN AMERICA</t>
  </si>
  <si>
    <t>CONFECCIONES MUÑOS MOLINEROS</t>
  </si>
  <si>
    <t>GUILLERMO RONCANCIO</t>
  </si>
  <si>
    <t>CALLE 15 NO 10 - 31</t>
  </si>
  <si>
    <t>ESPUMAS Y SINTETICOS</t>
  </si>
  <si>
    <t>GUSTAVO CARDOBA</t>
  </si>
  <si>
    <t>CALLE 15 NO 4 B - 05</t>
  </si>
  <si>
    <t>SOACHA COMPARTIR</t>
  </si>
  <si>
    <t>CREACIONES ANGELA MILENA</t>
  </si>
  <si>
    <t>14257317-4</t>
  </si>
  <si>
    <t>GUSTAVO RODRIGUEZ</t>
  </si>
  <si>
    <t>CALLE 73 BIS NO 85 - 11</t>
  </si>
  <si>
    <t xml:space="preserve">BOSA ISLANDIA </t>
  </si>
  <si>
    <t>HAMILTHON FERREIRA PATIÑO</t>
  </si>
  <si>
    <t>AVENIDA BOYACA NO 34 - 23</t>
  </si>
  <si>
    <t>INDUSTRIAS FERRER</t>
  </si>
  <si>
    <t>93409465-7</t>
  </si>
  <si>
    <t>HECTOR LONDOÑO</t>
  </si>
  <si>
    <t>CARRERA 12 NO 18 - 60</t>
  </si>
  <si>
    <t>CUIDAD JARDIN</t>
  </si>
  <si>
    <t>HECTOR RAMIREZ</t>
  </si>
  <si>
    <t>CALLE 2 SUR NO 9 -15</t>
  </si>
  <si>
    <t>CHIQUINQUIRA</t>
  </si>
  <si>
    <t>BOYACA</t>
  </si>
  <si>
    <t>HECTOR RIAÑO</t>
  </si>
  <si>
    <t>CARRERA 49 B NO 59 A - 28 SUR</t>
  </si>
  <si>
    <t>LA CORUÑA</t>
  </si>
  <si>
    <t>14257535-3</t>
  </si>
  <si>
    <t>JHONY ULLOA</t>
  </si>
  <si>
    <t>CHAQUETAS PARA  MOTOS</t>
  </si>
  <si>
    <t>NESTOR RUIZ</t>
  </si>
  <si>
    <t>CARRERA 69 F NO 5 A - 15</t>
  </si>
  <si>
    <t>HIPOTECHO</t>
  </si>
  <si>
    <t>MAI GROUP SAS</t>
  </si>
  <si>
    <t>860504811-0</t>
  </si>
  <si>
    <t>PUBLICIDAD</t>
  </si>
  <si>
    <t>HEINER DANIEL ARIZA QUIROGA</t>
  </si>
  <si>
    <t>CARRERA 14 P NO 77 A 32 SUR</t>
  </si>
  <si>
    <t>EL MUNDO DEL SALTARIN</t>
  </si>
  <si>
    <t>1022954363-3</t>
  </si>
  <si>
    <t>HENRRY BOLAÑOS</t>
  </si>
  <si>
    <t>TRANSVERSAL 73 B NO 69 C - 05 SUR</t>
  </si>
  <si>
    <t>HENRY CAMARGO</t>
  </si>
  <si>
    <t>TRANSVERSAL 93 NO 65 - 48</t>
  </si>
  <si>
    <t>ALAMOS</t>
  </si>
  <si>
    <t>JACQELI  SAS</t>
  </si>
  <si>
    <t>900439893 0</t>
  </si>
  <si>
    <t>HENRY DELGADO</t>
  </si>
  <si>
    <t>CARRERA 24 C NO 18 - 15  SUR</t>
  </si>
  <si>
    <t>TODO HERRAJES</t>
  </si>
  <si>
    <t>HERMES SUAREZ</t>
  </si>
  <si>
    <t>CARRERA 72 D NO 55 - 58 SUR</t>
  </si>
  <si>
    <t>OLARTE</t>
  </si>
  <si>
    <t>MANUFACTURAS TOBER</t>
  </si>
  <si>
    <t>80178321</t>
  </si>
  <si>
    <t>CANGUROS</t>
  </si>
  <si>
    <t>HERNAN ARISTIZABAL</t>
  </si>
  <si>
    <t>CARRERA 18 NO 4 56 SUR</t>
  </si>
  <si>
    <t>SAN ANTINIO</t>
  </si>
  <si>
    <t>INVERSIONES AROX SAS</t>
  </si>
  <si>
    <t>901059530-5</t>
  </si>
  <si>
    <t>GORRAS</t>
  </si>
  <si>
    <t>HERNANDO MORENO</t>
  </si>
  <si>
    <t>CARRERA 19 NO 19 - 35 LOCAL 2</t>
  </si>
  <si>
    <t>ARMENIA</t>
  </si>
  <si>
    <t>ESPUMAS Y PLASTICOS DEL QUINDIO SAS</t>
  </si>
  <si>
    <t>900662522-8</t>
  </si>
  <si>
    <t>HERNANDO TRIVIÑO</t>
  </si>
  <si>
    <t>CALLE 18 SUR NO 24 D - 34</t>
  </si>
  <si>
    <t>HOOVER CARDOZO</t>
  </si>
  <si>
    <t>CENTRO COMERCIAL LOS COMUNEROS LOCAL 1393</t>
  </si>
  <si>
    <t>LOS COMUNEROS</t>
  </si>
  <si>
    <t xml:space="preserve">DISTRI EBENECER </t>
  </si>
  <si>
    <t>HORACIO JURADO</t>
  </si>
  <si>
    <t>CARRERA 5 F NO 90 A - 40 SUR</t>
  </si>
  <si>
    <t>RYM MANUFACTURAS</t>
  </si>
  <si>
    <t>13011546-1</t>
  </si>
  <si>
    <t>HUGO ORDOÑEZ</t>
  </si>
  <si>
    <t>CARRERA 73 C NO 69 B - 05 SUR</t>
  </si>
  <si>
    <t>HUILDER QUIROGA</t>
  </si>
  <si>
    <t>CARRERA 25 NO 70 - 54 PISO 2</t>
  </si>
  <si>
    <t>7 DE AGOSTO</t>
  </si>
  <si>
    <t>GEOFLOORTEX</t>
  </si>
  <si>
    <t>HUMBERTO BASTIDAS</t>
  </si>
  <si>
    <t>CALLE 10 NO 20 - 10 LOCAL 103</t>
  </si>
  <si>
    <t>SAN ANDRESITO SAN JOSE</t>
  </si>
  <si>
    <t>IGNACIO MORA</t>
  </si>
  <si>
    <t>DIAGONAL 37 A NO 14 - 41</t>
  </si>
  <si>
    <t>RINCON DE SANTAFE</t>
  </si>
  <si>
    <t>SOACHA</t>
  </si>
  <si>
    <t>TULAS</t>
  </si>
  <si>
    <t>IGOR PATROCINIO VARGAS</t>
  </si>
  <si>
    <t>AVENIDA CARACAS  NO 18 - 39</t>
  </si>
  <si>
    <t>LA FAVORITA</t>
  </si>
  <si>
    <t>INAEL SALINAS</t>
  </si>
  <si>
    <t>CARRERA 19 NO 55 - 69 SUR</t>
  </si>
  <si>
    <t>IRMA PERDOMO</t>
  </si>
  <si>
    <t>CALLE 4 C NO 19 - 40</t>
  </si>
  <si>
    <t xml:space="preserve">CONFECSIONES IRMA </t>
  </si>
  <si>
    <t>55169456-1</t>
  </si>
  <si>
    <t>ISABELL TABERA</t>
  </si>
  <si>
    <t>CRA 68 B BIS NO 37 A 11 SUR</t>
  </si>
  <si>
    <t>LA FLORESTA SUR</t>
  </si>
  <si>
    <t>SUPER DOTACIONES  TADIZ SAS</t>
  </si>
  <si>
    <t>900293861-6</t>
  </si>
  <si>
    <t>DOTACIONES</t>
  </si>
  <si>
    <t>ISAIAS LAISECA PAYAN</t>
  </si>
  <si>
    <t>MANZANA E CASA 9</t>
  </si>
  <si>
    <t>ISAMAEL LARA CESPEDES</t>
  </si>
  <si>
    <t>CARRERA 41 NO 19 - 53</t>
  </si>
  <si>
    <t>LIMONAR</t>
  </si>
  <si>
    <t>HUILA</t>
  </si>
  <si>
    <t>ISMAEL CESPEDES LARA</t>
  </si>
  <si>
    <t>ISAURO RODRIGUEZ</t>
  </si>
  <si>
    <t>CARRERA 9 B NO 127 D - 10</t>
  </si>
  <si>
    <t>SAN GABRIEL NORTE</t>
  </si>
  <si>
    <t>VEROLI FR COLOMBIA</t>
  </si>
  <si>
    <t>CARTUCHERAS</t>
  </si>
  <si>
    <t>IVAN RUIZ</t>
  </si>
  <si>
    <t>CARRERA 72 NO 56 P - 26</t>
  </si>
  <si>
    <t>JACINTO RAMIREZ</t>
  </si>
  <si>
    <t>CARRERA 21 NO 50 - 82</t>
  </si>
  <si>
    <t>MANUFACTURAS JR</t>
  </si>
  <si>
    <t>3226674-5</t>
  </si>
  <si>
    <t>JACQUELIN SALAMANCA</t>
  </si>
  <si>
    <t>CALLE 11 NO 14 - 22</t>
  </si>
  <si>
    <t xml:space="preserve">DEKOTEXTILES DEL CAFÉ </t>
  </si>
  <si>
    <t>JAIME DAZA</t>
  </si>
  <si>
    <t>CALLE 7 NO 18 - 80</t>
  </si>
  <si>
    <t>LA ESMERALDA</t>
  </si>
  <si>
    <t>POPAYAN</t>
  </si>
  <si>
    <t>25516915-0</t>
  </si>
  <si>
    <t>JAIR GONZALEZ</t>
  </si>
  <si>
    <t>CARRERA 70 G NO 68 A - 71 SUR</t>
  </si>
  <si>
    <t>JAIR ORLEY PEDRAZA CARDENAS</t>
  </si>
  <si>
    <t>CARRERA 45 B NO 130 - 18</t>
  </si>
  <si>
    <t>PRADO VERANIEGO</t>
  </si>
  <si>
    <t>CREAMOS IDEAS</t>
  </si>
  <si>
    <t>80085356-2</t>
  </si>
  <si>
    <t xml:space="preserve">LICITACION </t>
  </si>
  <si>
    <t>JAIR WALTERO</t>
  </si>
  <si>
    <t>CARRERA 11 NO 23 - 01</t>
  </si>
  <si>
    <t>JAIRO AREVALO</t>
  </si>
  <si>
    <t>CALLE 182 NO 8  D 43 PISO 3</t>
  </si>
  <si>
    <t>SAN ANTONIO</t>
  </si>
  <si>
    <t>LORD PRTOMOCIONALES</t>
  </si>
  <si>
    <t>900884301-1</t>
  </si>
  <si>
    <t>JAIRO MARTINEZ</t>
  </si>
  <si>
    <t>CALLE 37 B NO 26 - 40</t>
  </si>
  <si>
    <t>VILLA JULIA</t>
  </si>
  <si>
    <t xml:space="preserve">VILLAVICENCIO </t>
  </si>
  <si>
    <t>JM SPORT</t>
  </si>
  <si>
    <t>86056579-6</t>
  </si>
  <si>
    <t>JAMID MUÑOZ</t>
  </si>
  <si>
    <t>TRANSVERSAL 73 D 68 47 - SUR</t>
  </si>
  <si>
    <t>PERDOMO</t>
  </si>
  <si>
    <t>JANETH MANJARRES</t>
  </si>
  <si>
    <t>AVENIDA CARACAS NO 16 - 98</t>
  </si>
  <si>
    <t>LA CAPUCHINA</t>
  </si>
  <si>
    <t>TEXTILES E INSUMOS LA 17</t>
  </si>
  <si>
    <t>20633747</t>
  </si>
  <si>
    <t>JAVIER GOLONDRINO</t>
  </si>
  <si>
    <t>AVENIDA CARACAS NO 17 - 27 LOCAL 116 ISLA G</t>
  </si>
  <si>
    <t>CENTRO COMERCIAL MEGACENTRO</t>
  </si>
  <si>
    <t>JAVIER IMBACHI</t>
  </si>
  <si>
    <t>CARRERA 11 NO 20 - 57</t>
  </si>
  <si>
    <t>RICAURTE</t>
  </si>
  <si>
    <t>JAVIER ZABALA</t>
  </si>
  <si>
    <t>CALLE 46 A SUR NO 26 - 21</t>
  </si>
  <si>
    <t>CLARET</t>
  </si>
  <si>
    <t>ESTILO &amp; DISEÑOS J S SAS</t>
  </si>
  <si>
    <t>900835743-2</t>
  </si>
  <si>
    <t>JAVIER ZULUETA</t>
  </si>
  <si>
    <t>CALLE 15 SUR NO 24 - 58</t>
  </si>
  <si>
    <t>CREACIONES  CAZU SAS</t>
  </si>
  <si>
    <t>900704470-5</t>
  </si>
  <si>
    <t>JHON CASTAÑEDA</t>
  </si>
  <si>
    <t>CALLE 14 SUR NO 18 A 61 ARRIBA DEL EXITO</t>
  </si>
  <si>
    <t>79381337-8</t>
  </si>
  <si>
    <t>JHON CHARLES CASTAÑEDA BALVUENA</t>
  </si>
  <si>
    <t>CALLE 14 SUR NO 18 A 61 PISO 2</t>
  </si>
  <si>
    <t>JHON DIAZ</t>
  </si>
  <si>
    <t>CALLE 5 NO 5 B - 10</t>
  </si>
  <si>
    <t>QUINTANARES</t>
  </si>
  <si>
    <t>JHON BAGS</t>
  </si>
  <si>
    <t>79743954-7</t>
  </si>
  <si>
    <t>JHON FREDY AGUILLON</t>
  </si>
  <si>
    <t>DIAGONAL 69 C BIS SU NO 78 M - 23</t>
  </si>
  <si>
    <t>BOSA PIAMONTE</t>
  </si>
  <si>
    <t>AWR ASOCIADOS SAS</t>
  </si>
  <si>
    <t>800208462-6</t>
  </si>
  <si>
    <t>PORTA ESQUIPAJES</t>
  </si>
  <si>
    <t>JHON FREDY OCAMPO</t>
  </si>
  <si>
    <t>CALLE 22 A NO 12 H - 29</t>
  </si>
  <si>
    <t>JHON GARCIA</t>
  </si>
  <si>
    <t>JHON GOMEZ</t>
  </si>
  <si>
    <t>DIAGONAL 16 A SUR NO 24 D - 24</t>
  </si>
  <si>
    <t>CIMERA MARROQUINERA SAS</t>
  </si>
  <si>
    <t xml:space="preserve"> 901032421 3</t>
  </si>
  <si>
    <t>JHON GUERRERO</t>
  </si>
  <si>
    <t>BILLETERAS</t>
  </si>
  <si>
    <t>JHON HENRY DIAZ VELASQUEZ</t>
  </si>
  <si>
    <t>CARRERA 1 ESTE NO 43 - 50</t>
  </si>
  <si>
    <t>LA GLORIA</t>
  </si>
  <si>
    <t>JHON HOYOS</t>
  </si>
  <si>
    <t>JHON SUAREZ</t>
  </si>
  <si>
    <t>CALLE 20 SUR 24 F - 40</t>
  </si>
  <si>
    <t>SUELAS E INSUMOS ABUNDIA</t>
  </si>
  <si>
    <t>900961894-5</t>
  </si>
  <si>
    <t>JIAMID HERNANDEZ LEON</t>
  </si>
  <si>
    <t>CALLE 5 C NO 21 - 35</t>
  </si>
  <si>
    <t>PROGRESO</t>
  </si>
  <si>
    <t>LIBNI  DORIA JIMENEZ</t>
  </si>
  <si>
    <t>CARRERA 3 NO 39 - 64</t>
  </si>
  <si>
    <t>MONTERIA</t>
  </si>
  <si>
    <t>PLATIESPUMA DE CORDOBA</t>
  </si>
  <si>
    <t>25800370-4</t>
  </si>
  <si>
    <t>CARRERA 24 C NO 17 - 34 SUR</t>
  </si>
  <si>
    <t>CORTES Y CAMBRE</t>
  </si>
  <si>
    <t>CALLE 19 A NO 96 B - 64</t>
  </si>
  <si>
    <t>VILLEMAR</t>
  </si>
  <si>
    <t>ESCENOGRAFIAS Y MONTAJES T.V. Y CIA LTDA.</t>
  </si>
  <si>
    <t>JOHANA ESPITIA</t>
  </si>
  <si>
    <t>CALLE 19 SUR NO 24 C - 37</t>
  </si>
  <si>
    <t>DIMATEX LEON SAS</t>
  </si>
  <si>
    <t>900508936-5</t>
  </si>
  <si>
    <t>HARVID LARGACHA</t>
  </si>
  <si>
    <t>CARRERA 9 NO 16 - 32</t>
  </si>
  <si>
    <t>CASA DEL HERRAJE</t>
  </si>
  <si>
    <t>JONATHAN CASTRO</t>
  </si>
  <si>
    <t>CARRERA 26 NO 18 B - 68</t>
  </si>
  <si>
    <t>FERRETERIA METALCORTE Y AFINES S A S</t>
  </si>
  <si>
    <t>900571841-1</t>
  </si>
  <si>
    <t>JORGE BEDOYA</t>
  </si>
  <si>
    <t>TRANSVERSAL 13 B NO 46 - 48 SUR</t>
  </si>
  <si>
    <t>MARCO FIDEL SUAREZ</t>
  </si>
  <si>
    <t>JORGE FANDIÑO</t>
  </si>
  <si>
    <t>CALLE 71 NO 55 - 17</t>
  </si>
  <si>
    <t>SAN FERNANDO</t>
  </si>
  <si>
    <t>UNIFORMES CORPORATIVOS SAS</t>
  </si>
  <si>
    <t xml:space="preserve"> 900941756-1</t>
  </si>
  <si>
    <t>ARNES DE SEGURIDAD</t>
  </si>
  <si>
    <t>JORGE PARRA</t>
  </si>
  <si>
    <t>CALLE 15 NO 16 - 40</t>
  </si>
  <si>
    <t>CENTRO SANTA ROSA DE CABAL</t>
  </si>
  <si>
    <t>RISARALDA</t>
  </si>
  <si>
    <t>JOSE ABRIL</t>
  </si>
  <si>
    <t>CALLE 71 A 70 C - 34</t>
  </si>
  <si>
    <t>PALO BLANCO</t>
  </si>
  <si>
    <t>CUERO Y MODA NATURAL SKIN LTDA</t>
  </si>
  <si>
    <t>830055229-7</t>
  </si>
  <si>
    <t>JOSE AGUSTIN ZAPATA</t>
  </si>
  <si>
    <t>CARRERA 72 NO 57 F - 06 SUR</t>
  </si>
  <si>
    <t>OLARATE</t>
  </si>
  <si>
    <t>JOSE BENAL</t>
  </si>
  <si>
    <t>CARRERA 101 NO 56 F - 31</t>
  </si>
  <si>
    <t>BOSA SANTAFE</t>
  </si>
  <si>
    <t>JOSE CAICEDO</t>
  </si>
  <si>
    <t>CARRERA 4 NO 17 - 56</t>
  </si>
  <si>
    <t>MARROQUINERIA CAICEDO</t>
  </si>
  <si>
    <t>JOSE FERNANDO VELANDIA</t>
  </si>
  <si>
    <t>CARRERA 4 NO 22 B - 18 SUR PISO 1</t>
  </si>
  <si>
    <t>20 DE JULIO</t>
  </si>
  <si>
    <t>ZHOTICO</t>
  </si>
  <si>
    <t>JOSE FORERO</t>
  </si>
  <si>
    <t>CARRERA 8 A ESTE NO 30 - 41 SUR</t>
  </si>
  <si>
    <t>ALTA VISTA</t>
  </si>
  <si>
    <t>JOSE GENIR MARTINEZ CASTRO</t>
  </si>
  <si>
    <t>CARRERA 12 NO 15 - 16</t>
  </si>
  <si>
    <t>REATAS Y LONAS DE LA 15</t>
  </si>
  <si>
    <t xml:space="preserve"> 79474346-4</t>
  </si>
  <si>
    <t>JOSE GREEIFF</t>
  </si>
  <si>
    <t>CALLE 127 A NO 51 A  - 90</t>
  </si>
  <si>
    <t>LOVE PET SAS</t>
  </si>
  <si>
    <t>900875960-5</t>
  </si>
  <si>
    <t>ARTICULOS PARA PERROS</t>
  </si>
  <si>
    <t>JOSE HERNANDEZ</t>
  </si>
  <si>
    <t>CALLE 61 C NO 29 - 79</t>
  </si>
  <si>
    <t>LOS TRES REYES</t>
  </si>
  <si>
    <t>JOSE LOPEZ</t>
  </si>
  <si>
    <t>CALLE 78 NO 1 G - 24</t>
  </si>
  <si>
    <t>JEELP</t>
  </si>
  <si>
    <t>JOSE LOZANO</t>
  </si>
  <si>
    <t>CALLE 4 NO 9 - 03</t>
  </si>
  <si>
    <t>HULIA</t>
  </si>
  <si>
    <t>JOSE MOSCOSO</t>
  </si>
  <si>
    <t>VILLA MARIA  CAI ESQUINA DESPUES DEL BARRIO LIBERTADOR  ANTES DE CHAPETON VIA AL NEVADO</t>
  </si>
  <si>
    <t>PAME</t>
  </si>
  <si>
    <t>JOSE MUÑOZ</t>
  </si>
  <si>
    <t>CALLE 75 NO 1 A - 12 SUR</t>
  </si>
  <si>
    <t>JOSE ORTIZ</t>
  </si>
  <si>
    <t>AVENIDA CARACAS NO 10 - 65 SAN VICTORINO</t>
  </si>
  <si>
    <t>JOSE TIBERIO MUNERA GALVIS</t>
  </si>
  <si>
    <t>CALLE 69 C NO 71 - 49</t>
  </si>
  <si>
    <t>ACAPULCO</t>
  </si>
  <si>
    <t>BOLSOS TIBER</t>
  </si>
  <si>
    <t>3525385-5</t>
  </si>
  <si>
    <t>JOSE TRIANA</t>
  </si>
  <si>
    <t>CALLE 19 SUR NO 24 F - 29</t>
  </si>
  <si>
    <t>PERKO SAS</t>
  </si>
  <si>
    <t xml:space="preserve"> 900975919-1</t>
  </si>
  <si>
    <t>JOSE URIEL ALBARRACIN</t>
  </si>
  <si>
    <t>CARRERA 52 C NO 41 A - 08 SUR</t>
  </si>
  <si>
    <t>TEXTILES NIKO</t>
  </si>
  <si>
    <t xml:space="preserve"> 79429517-6</t>
  </si>
  <si>
    <t>JOSELITO MARTINEZ</t>
  </si>
  <si>
    <t>CARRERA 24 B 17 A - 78 SUR LOCAL 2</t>
  </si>
  <si>
    <t xml:space="preserve">LONAS Y HERRAJES </t>
  </si>
  <si>
    <t>JUAN AYALA</t>
  </si>
  <si>
    <t>DIAGONAL 13 BIS NO 24 D - 66</t>
  </si>
  <si>
    <t>ESPUMAS Y VINILOS</t>
  </si>
  <si>
    <t>JUAN CAMILO PREORA</t>
  </si>
  <si>
    <t>CALLE 65 A NO 105 F - 32</t>
  </si>
  <si>
    <t>EL MUELLE</t>
  </si>
  <si>
    <t>INFLABLES DE COLOMBIA JG</t>
  </si>
  <si>
    <t>JUAN CARLOS LOPEZ LARA</t>
  </si>
  <si>
    <t>79641765-3</t>
  </si>
  <si>
    <t>JUAN FERNADO RAMIREZ</t>
  </si>
  <si>
    <t>CALLE 11 SUR NO 26 - 65</t>
  </si>
  <si>
    <t>PROAIRE SAS</t>
  </si>
  <si>
    <t>803009781-8</t>
  </si>
  <si>
    <t>MANTENIMIENTO Y REPARACION ESPECILIZADO DE MAQUINARIA Y EQUIPO</t>
  </si>
  <si>
    <t>JUAN GUILLERMO RAMIREZ</t>
  </si>
  <si>
    <t>CALLE 8 NO 21 - 15</t>
  </si>
  <si>
    <t>SAN ANDRESITO</t>
  </si>
  <si>
    <t>MAGNIFICAS</t>
  </si>
  <si>
    <t>70955103</t>
  </si>
  <si>
    <t>JUAN MANUEL LOPEZ</t>
  </si>
  <si>
    <t>MARLUZ SAS</t>
  </si>
  <si>
    <t>811033452-1</t>
  </si>
  <si>
    <t>JUAN VICENTE RODRIGUEZ</t>
  </si>
  <si>
    <t>CARRERA 13 NO 33 - 90</t>
  </si>
  <si>
    <t>VIVEROS</t>
  </si>
  <si>
    <t xml:space="preserve">FAHRENHEIT </t>
  </si>
  <si>
    <t>JUDITH PEÑARANDA SOTO</t>
  </si>
  <si>
    <t>AVENIDA 9 NO 10 - 52</t>
  </si>
  <si>
    <t xml:space="preserve">EL LLANO </t>
  </si>
  <si>
    <t>DISTRILONAS</t>
  </si>
  <si>
    <t>60318836-5</t>
  </si>
  <si>
    <t>JULIO MENESES</t>
  </si>
  <si>
    <t>DIAGONAL 32 G NO 14 - 80</t>
  </si>
  <si>
    <t>MANUFACTURAS BRAMU</t>
  </si>
  <si>
    <t>5506438-3</t>
  </si>
  <si>
    <t>KAREN FLOREZ</t>
  </si>
  <si>
    <t>CALLE 57 B SUR NO 77 I - 37</t>
  </si>
  <si>
    <t>PROECOLOMBIA SAS</t>
  </si>
  <si>
    <t>900964895-6</t>
  </si>
  <si>
    <t>KATHERINE RODRIGUEZ</t>
  </si>
  <si>
    <t>CALLE 22 F NO 104 A - 38</t>
  </si>
  <si>
    <t>TIENDA CAPITAL CHEER SAS</t>
  </si>
  <si>
    <t>900600210-1</t>
  </si>
  <si>
    <t>LAURA VIVIANA CARDONA</t>
  </si>
  <si>
    <t>AVENIDA CARACAS NO 17 - 27</t>
  </si>
  <si>
    <t>PUNTO DEL ESCOLTA</t>
  </si>
  <si>
    <t>1024504556</t>
  </si>
  <si>
    <t>LEIDY JILIETH HOYOS</t>
  </si>
  <si>
    <t>CALLE 24 SUR NO 68 H 18 BODEGA 2</t>
  </si>
  <si>
    <t>LEIDY POZO</t>
  </si>
  <si>
    <t>LEILA VELANDIA</t>
  </si>
  <si>
    <t>CARRERA10 NO 6 - 44</t>
  </si>
  <si>
    <t>CREACIONES DIVHER</t>
  </si>
  <si>
    <t>ALEJANDRO ROMERO</t>
  </si>
  <si>
    <t>CARRERA 10 A NO 10 - 38 SUR</t>
  </si>
  <si>
    <t>INDUSTRIAS TALU LTDA</t>
  </si>
  <si>
    <t>900193699-1</t>
  </si>
  <si>
    <t>LEONEL LOPEZ</t>
  </si>
  <si>
    <t>CARRERA 24 D BIS NO 24 - 32</t>
  </si>
  <si>
    <t>LIBARDO ALVEAR</t>
  </si>
  <si>
    <t>318 2583186</t>
  </si>
  <si>
    <t>CARRERA 13 B NO 51 - 57 SUR</t>
  </si>
  <si>
    <t>LIGIA PALECHOR</t>
  </si>
  <si>
    <t>CALLE 63 NO 71 B - 82 SUR</t>
  </si>
  <si>
    <t>LILIANA GOLONDRINO</t>
  </si>
  <si>
    <t>CARRERA 73 D NO 63 - 47</t>
  </si>
  <si>
    <t>EL ESPINO PERDOMO ALTO</t>
  </si>
  <si>
    <t>LILIANA MARTINEZ</t>
  </si>
  <si>
    <t>CALLE 68 D BIS SUR 63 - 35</t>
  </si>
  <si>
    <t>CANDELARIA</t>
  </si>
  <si>
    <t>LINA JINETH MUNERA GRACIANO</t>
  </si>
  <si>
    <t>LINA PACHON</t>
  </si>
  <si>
    <t>CARRERA 21 NO 43 - 43</t>
  </si>
  <si>
    <t>MANIZALES</t>
  </si>
  <si>
    <t>PROST SOPORTES ORTOPEDICOS EU</t>
  </si>
  <si>
    <t>900204581-9</t>
  </si>
  <si>
    <t>SOPORTES ORTOPEDICOS</t>
  </si>
  <si>
    <t>JULIAN ANDRES HERMIDA LOZANO</t>
  </si>
  <si>
    <t>CALLE 88 A No 17 D - 18 SUR</t>
  </si>
  <si>
    <t>LUCERO</t>
  </si>
  <si>
    <t>ELI HERMIDA</t>
  </si>
  <si>
    <t>LIZANDRO GONZALEZ</t>
  </si>
  <si>
    <t>CARRERA 45 C 70 A 38 - SUR</t>
  </si>
  <si>
    <t xml:space="preserve">JERUSALEN </t>
  </si>
  <si>
    <t>LUCILA LOPEZ</t>
  </si>
  <si>
    <t>CARRERA 77 BIS NO 61 C - 31 SUR</t>
  </si>
  <si>
    <t>LUCY ESPERANZA MORA</t>
  </si>
  <si>
    <t>CARRERA 11 A NO 5 - 38 SUR</t>
  </si>
  <si>
    <t>LUIS ANTONIO MENDOZA RODRIGUEZ</t>
  </si>
  <si>
    <t>CALLE 3 A NO 19 - 61 SUR</t>
  </si>
  <si>
    <t>VARIEDADES LUBOM</t>
  </si>
  <si>
    <t>LUIS BERNANRDO BURGOS</t>
  </si>
  <si>
    <t>TRANSVERSAL 49 G NO 69 B BIS - 51 SUR</t>
  </si>
  <si>
    <t>LUIS DEMETRIO LUNA</t>
  </si>
  <si>
    <t>CALLE 57 SUR NO 3 - 23</t>
  </si>
  <si>
    <t>EL DANUIO</t>
  </si>
  <si>
    <t>PIEL ARTE DISEÑO</t>
  </si>
  <si>
    <t>79058092-5</t>
  </si>
  <si>
    <t>LUIS EDUARDO GONZALEZ AGUDELO</t>
  </si>
  <si>
    <t>CARRERA 12 C NO 18 - 71 SUR</t>
  </si>
  <si>
    <t>CIUDAD JARDIN</t>
  </si>
  <si>
    <t>LUIS EDUARDO GONZALEZ</t>
  </si>
  <si>
    <t>16635980-7</t>
  </si>
  <si>
    <t>LUIS EDUARDO GUTIERREZ DELGADO</t>
  </si>
  <si>
    <t>CARRERA 12 NO 21 - 56</t>
  </si>
  <si>
    <t>GIRARDOT</t>
  </si>
  <si>
    <t>LUIS EDUARO CLEVES</t>
  </si>
  <si>
    <t>AVENIDA PRIMERA DE MAYO NO 22 - 02</t>
  </si>
  <si>
    <t>LUIS ENRRIQUE ARANZALEZ</t>
  </si>
  <si>
    <t xml:space="preserve"> 320 2738171</t>
  </si>
  <si>
    <t>LUIS FERNANDO MONTES</t>
  </si>
  <si>
    <t xml:space="preserve"> 312 8779993</t>
  </si>
  <si>
    <t>MANZANA 8 CASA 5</t>
  </si>
  <si>
    <t>BELLA VISTA - BELLA SANTANA</t>
  </si>
  <si>
    <t>PEREIRA</t>
  </si>
  <si>
    <t>LUIS FORERO</t>
  </si>
  <si>
    <t>DIAGONAL 45 A SUR NO 26 A - 83</t>
  </si>
  <si>
    <t>PIA TELI</t>
  </si>
  <si>
    <t xml:space="preserve">JAVIER NAJAR GARCIA </t>
  </si>
  <si>
    <t>CARRERA 5 B NO 48 M - 19</t>
  </si>
  <si>
    <t>TECNOPRESICION AIRE SAS</t>
  </si>
  <si>
    <t>900413575-0</t>
  </si>
  <si>
    <t>DUCTERIAS DE VENTILACION</t>
  </si>
  <si>
    <t>LUIS HERNANDO VANEGAS</t>
  </si>
  <si>
    <t xml:space="preserve">LUIS LEONARDO RAGUA MOLINA </t>
  </si>
  <si>
    <t>CALLE 141 NO 7 B - 78</t>
  </si>
  <si>
    <t>CEDRITOS</t>
  </si>
  <si>
    <t>CARPAS G2M SAS</t>
  </si>
  <si>
    <t>900591031-8</t>
  </si>
  <si>
    <t>LUIS PARAMO</t>
  </si>
  <si>
    <t>CALLE 36 SUR NO 51 - 67</t>
  </si>
  <si>
    <t xml:space="preserve">ALCALA </t>
  </si>
  <si>
    <t>CHEVERAMY FASHON SAS</t>
  </si>
  <si>
    <t>900854450-0</t>
  </si>
  <si>
    <t>BOSOS</t>
  </si>
  <si>
    <t>LUIS ROJAS LUIGY</t>
  </si>
  <si>
    <t>CARRERA 24 G NO 20 - 20 SUR</t>
  </si>
  <si>
    <t>CREACIONES LUIGY DEL SUR SAS</t>
  </si>
  <si>
    <t>900511117-9</t>
  </si>
  <si>
    <t>LUNA ANGELA CARDINALE</t>
  </si>
  <si>
    <t>AVENIDA 9 NO 10 - 21 LOCAL 1</t>
  </si>
  <si>
    <t>ARTIFLEX</t>
  </si>
  <si>
    <t>1090445945-3</t>
  </si>
  <si>
    <t>LUZ DARY GARCIA</t>
  </si>
  <si>
    <t>CARRERA 69 NO 8 - 51</t>
  </si>
  <si>
    <t>LUZ MARINA DUQUE</t>
  </si>
  <si>
    <t>301 7076839</t>
  </si>
  <si>
    <t>DIAGONAL 5 A NO 73 C- 16</t>
  </si>
  <si>
    <t>MANDALAY</t>
  </si>
  <si>
    <t>GRAMA SAS</t>
  </si>
  <si>
    <t>900735967 6</t>
  </si>
  <si>
    <t>LUZ MARINA RINCON</t>
  </si>
  <si>
    <t>MANZANA 31 LOTE 17</t>
  </si>
  <si>
    <t>PALMERAS PARTE ALTA - JUAN ATALAYA</t>
  </si>
  <si>
    <t>TULAS DEPORTIVAS</t>
  </si>
  <si>
    <t>LUZ MERY MORALES</t>
  </si>
  <si>
    <t>DIAGONAL 49 SUR NO 86 C - 77</t>
  </si>
  <si>
    <t>KENNEDY</t>
  </si>
  <si>
    <t>51901612-1</t>
  </si>
  <si>
    <t>LUZ STELLA ARIAS</t>
  </si>
  <si>
    <t>TRANSVERSAL 43 B NO 69 D - 33 SUR</t>
  </si>
  <si>
    <t>ARBORIZADORA ALTA</t>
  </si>
  <si>
    <t>LUZ VEGA</t>
  </si>
  <si>
    <t>CARRERA 24 A NO 10 A - 30 SUR</t>
  </si>
  <si>
    <t>DAMTON GLOBAL SAS</t>
  </si>
  <si>
    <t>900220190-1</t>
  </si>
  <si>
    <t>LUZN MARINA ORDOÑEZ</t>
  </si>
  <si>
    <t>CARRERA 22 NO 14 - 26 PISO 2</t>
  </si>
  <si>
    <t>MANUEL JIMENEZ</t>
  </si>
  <si>
    <t>CALLE 39 SUR NO 8 B - 34</t>
  </si>
  <si>
    <t xml:space="preserve">SAN NICOLAS </t>
  </si>
  <si>
    <t>1093670238</t>
  </si>
  <si>
    <t>MARCELA BAUTISTA</t>
  </si>
  <si>
    <t>CARRERA 89 NO 127 D - 43</t>
  </si>
  <si>
    <t>ALTOS DE LA ESPERANZA</t>
  </si>
  <si>
    <t>MARBOLS</t>
  </si>
  <si>
    <t>1032434367-5</t>
  </si>
  <si>
    <t>MARCELA FLECHAS</t>
  </si>
  <si>
    <t>CALLE 38 B NO 78 I - 28 SUR</t>
  </si>
  <si>
    <t>EMPRESA DE PRODUCTOS TEXTILES ALTERNATIVOS SAS</t>
  </si>
  <si>
    <t>901088353-1</t>
  </si>
  <si>
    <t>ROPA QUIRURJICA</t>
  </si>
  <si>
    <t>MARCOS BUENO</t>
  </si>
  <si>
    <t>CARRERA 24 C NO 17 - 79</t>
  </si>
  <si>
    <t>TELAS Y HERRAJES</t>
  </si>
  <si>
    <t>4269745-9</t>
  </si>
  <si>
    <t>MARCOS SIERRA</t>
  </si>
  <si>
    <t>CARRERA 18 K NO 61 B - 46 SUR</t>
  </si>
  <si>
    <t>MARIA ANGELICA QUINTERO</t>
  </si>
  <si>
    <t>SINCELEJO SUCRE</t>
  </si>
  <si>
    <t>MARIA CANO</t>
  </si>
  <si>
    <t>DIAGONAL17 C SUR NO 4 I - 73</t>
  </si>
  <si>
    <t>900801815-8</t>
  </si>
  <si>
    <t>MARIA CLARA MELO</t>
  </si>
  <si>
    <t>MARIA CRISTINA CORONADO</t>
  </si>
  <si>
    <t>CARRERA 78 A NO 34 A - 03</t>
  </si>
  <si>
    <t>43166605-5</t>
  </si>
  <si>
    <t>MARIA HEDY MARIN LOPEZ</t>
  </si>
  <si>
    <t>MARIA ISABEL GARZON</t>
  </si>
  <si>
    <t>MARIA MIRIAM CHAPARRO</t>
  </si>
  <si>
    <t>AVENIDA CALLE 63 NO 77 C 69</t>
  </si>
  <si>
    <t>51976402-1</t>
  </si>
  <si>
    <t>MARIA ROSARIO UCROS</t>
  </si>
  <si>
    <t>CARRERA 70 NO 120 - 30</t>
  </si>
  <si>
    <t>NIZA</t>
  </si>
  <si>
    <t>SAN MARTIN PRODUCCIONES INDUSTRALES SAS</t>
  </si>
  <si>
    <t xml:space="preserve"> 900592345-1</t>
  </si>
  <si>
    <t>COLADERAS PARA CAFÉ</t>
  </si>
  <si>
    <t>MARICELA DELGADO</t>
  </si>
  <si>
    <t xml:space="preserve">CARRERA 22 NO 13 - 82 </t>
  </si>
  <si>
    <t>CENTRO SAN ANDRESITO SAN JUAN DE PASTO</t>
  </si>
  <si>
    <t xml:space="preserve">CIERRES Y HERRAJES MARI </t>
  </si>
  <si>
    <t>MARLENY GARZON GUZMAN</t>
  </si>
  <si>
    <t>CALLE 69 T NO 18 SUR 08</t>
  </si>
  <si>
    <t>52039300-3</t>
  </si>
  <si>
    <t>MARTIN BERNARDO JAIME</t>
  </si>
  <si>
    <t>MAURA ARGOTE</t>
  </si>
  <si>
    <t>MAURICIO BARRERA</t>
  </si>
  <si>
    <t>CALLE 12 NO 7 - 59</t>
  </si>
  <si>
    <t>PARQUEADERO EL COCUY</t>
  </si>
  <si>
    <t>COMERCIALIZADORA PELZ CALEB</t>
  </si>
  <si>
    <t>MAURICIO DIAZ</t>
  </si>
  <si>
    <t>MAURICIO GALVIS</t>
  </si>
  <si>
    <t>901088358-1</t>
  </si>
  <si>
    <t>MERCEDEZ GUTIERREZ</t>
  </si>
  <si>
    <t>CARRERA 24 H NO 18 - 37 SUR</t>
  </si>
  <si>
    <t>MULTIPROYECTOS INDUSTRIAL S.A</t>
  </si>
  <si>
    <t>830045178-7</t>
  </si>
  <si>
    <t>MICHAEL STEVEN  OYOLA RAMIREZ</t>
  </si>
  <si>
    <t>CARRERA 24 F NO 18 - 11 SUR</t>
  </si>
  <si>
    <t>TEXTILES VELEZ</t>
  </si>
  <si>
    <t xml:space="preserve"> 1073685588 -4</t>
  </si>
  <si>
    <t>MICHAEL TRIANA</t>
  </si>
  <si>
    <t>CARRERA 78 D 47 A - 56 SUR</t>
  </si>
  <si>
    <t xml:space="preserve">SOCORRO </t>
  </si>
  <si>
    <t xml:space="preserve">MANUFACTURAS TRIANA </t>
  </si>
  <si>
    <t>80808540-6</t>
  </si>
  <si>
    <t>MILENA MOSQUERA</t>
  </si>
  <si>
    <t>CARRERA 18 NO 09 A - 89</t>
  </si>
  <si>
    <t>40740345-6</t>
  </si>
  <si>
    <t>MILLER ROJAS</t>
  </si>
  <si>
    <t>TRANSVERSAL 50 NO 69 B - 27 SUR</t>
  </si>
  <si>
    <t>MILLER TAFUR</t>
  </si>
  <si>
    <t>CALLE 14 NO 24 D - 37</t>
  </si>
  <si>
    <t>EL MAYORISTA</t>
  </si>
  <si>
    <t>19430868-1</t>
  </si>
  <si>
    <t>MIREYA REALPE</t>
  </si>
  <si>
    <t>CARRERA 21 A NO 27 A - 37 SUR</t>
  </si>
  <si>
    <t>MANUFACTURAS MY PELLE SAS</t>
  </si>
  <si>
    <t>900281066-5</t>
  </si>
  <si>
    <t>FORROS PARA MUEBLES</t>
  </si>
  <si>
    <t>MONICA TORO</t>
  </si>
  <si>
    <t>CARRERA 72 J NO 36 N 61 - SUR PISO 3</t>
  </si>
  <si>
    <t>MAT SKIN</t>
  </si>
  <si>
    <t>52485247-2</t>
  </si>
  <si>
    <t>MONICA ULLOA</t>
  </si>
  <si>
    <t>CALLE 172 NO 47 - 93</t>
  </si>
  <si>
    <t>VILLA DEL PRADO</t>
  </si>
  <si>
    <t>REPRESENTACONES ULLOA LOPEZ LTDA</t>
  </si>
  <si>
    <t>830111472-0</t>
  </si>
  <si>
    <t>PAOLA BAYONA ASCANIO</t>
  </si>
  <si>
    <t>NELCY CALLEJAS PARRA</t>
  </si>
  <si>
    <t>CARRERA 21 A NO 3 A 15</t>
  </si>
  <si>
    <t>51814397-8</t>
  </si>
  <si>
    <t>NELLI  PEÑA</t>
  </si>
  <si>
    <t>CALLE 15 10 - 75</t>
  </si>
  <si>
    <t>TEXTI INSUMOS CAUCA</t>
  </si>
  <si>
    <t>48601002-9</t>
  </si>
  <si>
    <t>NELSON GAMA</t>
  </si>
  <si>
    <t>CALLE 133 NO 91 - 67</t>
  </si>
  <si>
    <t>SUBA VILLA ELISA</t>
  </si>
  <si>
    <t>AUDIO RACKS</t>
  </si>
  <si>
    <t>52397641-4</t>
  </si>
  <si>
    <t xml:space="preserve">ESPONJAS </t>
  </si>
  <si>
    <t>NELSON LOZANO</t>
  </si>
  <si>
    <t>AVENIDA CALLE 26 SUR NO 68  - 14</t>
  </si>
  <si>
    <t>INTERDOTAR SAS</t>
  </si>
  <si>
    <t>900298651-9</t>
  </si>
  <si>
    <t>NELSON ROMERO</t>
  </si>
  <si>
    <t>CARRERA 31 A NO 10 - 78</t>
  </si>
  <si>
    <t>PENSILVANIA</t>
  </si>
  <si>
    <t>VALORES SMITH S A</t>
  </si>
  <si>
    <t>830096510-8</t>
  </si>
  <si>
    <t>NELSON SOTO</t>
  </si>
  <si>
    <t>CARRERA 17 D NO 69 - 28 SUR</t>
  </si>
  <si>
    <t xml:space="preserve">SAN JOAQUIN </t>
  </si>
  <si>
    <t xml:space="preserve">PUBLIESM SAS </t>
  </si>
  <si>
    <t>900930883-1</t>
  </si>
  <si>
    <t>NELSON VARON</t>
  </si>
  <si>
    <t>310 2747954</t>
  </si>
  <si>
    <t>CARRERA  78 J NO 60 A - 82 SUR</t>
  </si>
  <si>
    <t>BOSA CENTRO</t>
  </si>
  <si>
    <t>GRUPO ALIANZA ALZ SAS</t>
  </si>
  <si>
    <t>900748210 6</t>
  </si>
  <si>
    <t>NERSY RODRIGUEZ</t>
  </si>
  <si>
    <t>CARRERA 44 NO 22 A - 64</t>
  </si>
  <si>
    <t>ORTEZAL</t>
  </si>
  <si>
    <t>DOTACIONES INDUSTRIALES DOTAR LTDA</t>
  </si>
  <si>
    <t xml:space="preserve"> 900132531 0</t>
  </si>
  <si>
    <t>NILSON PLATA GOMEZ</t>
  </si>
  <si>
    <t>CALLE 19 SUR NO 24 D - 53</t>
  </si>
  <si>
    <t>PELETERIA MONACO</t>
  </si>
  <si>
    <t>NOHORA LEIDY GARCIA</t>
  </si>
  <si>
    <t>CARRERA 24 NO 68 - 32</t>
  </si>
  <si>
    <t>DISTRICUEROS DEL TOLIMA</t>
  </si>
  <si>
    <t>65747561-3</t>
  </si>
  <si>
    <t>NORBEY URREGO</t>
  </si>
  <si>
    <t>CALLE 64 A NO 103 A 80</t>
  </si>
  <si>
    <t>CUBRE VESTIDOS</t>
  </si>
  <si>
    <t>NUBIA CASTRO</t>
  </si>
  <si>
    <t>CARRERA 24 B NO 17 A - 78 SUR</t>
  </si>
  <si>
    <t>NUBIA PERDOMO</t>
  </si>
  <si>
    <t>CALLE 46 NO 34 - 34 SUR</t>
  </si>
  <si>
    <t>MARGARITA</t>
  </si>
  <si>
    <t>CHAQUETAS MOTOS</t>
  </si>
  <si>
    <t>NURY CERA</t>
  </si>
  <si>
    <t>DIAGONAL 69 D SUR NO 18 J - 54</t>
  </si>
  <si>
    <t>LUCERO MEDIO</t>
  </si>
  <si>
    <t xml:space="preserve">M.A </t>
  </si>
  <si>
    <t>OCTAVIO CARRILLO</t>
  </si>
  <si>
    <t>CALLE 40 D NO 40 - 26</t>
  </si>
  <si>
    <t>TEUSAQUILLO</t>
  </si>
  <si>
    <t>PRAXIS DISEÑO INDUSTRIAL S. A. S.</t>
  </si>
  <si>
    <t>900514360-8</t>
  </si>
  <si>
    <t>OLIVERIO ARTULUAGA</t>
  </si>
  <si>
    <t>CALLE 62 B SUR NO 27 - 09</t>
  </si>
  <si>
    <t>CANDELARIA LA NUEVA</t>
  </si>
  <si>
    <t>COMERCIALIZADORA OLIVER</t>
  </si>
  <si>
    <t>12127736-2</t>
  </si>
  <si>
    <t>OLMEDO GALLEGO</t>
  </si>
  <si>
    <t>CARRERA 38 D No 2 -12</t>
  </si>
  <si>
    <t>CARABELAS</t>
  </si>
  <si>
    <t>OLMEDO TRUJILLO</t>
  </si>
  <si>
    <t>CARRERA 4 TAMANA NO 22 - 30</t>
  </si>
  <si>
    <t>LA FRANCIA</t>
  </si>
  <si>
    <t>OLVER SILVA</t>
  </si>
  <si>
    <t>CARRERA 72 D 69 - 60</t>
  </si>
  <si>
    <t>OMAR QUIÑONES</t>
  </si>
  <si>
    <t>CALLE 5 C 31 - 24</t>
  </si>
  <si>
    <t>VERAGUAS</t>
  </si>
  <si>
    <t>OMARKY</t>
  </si>
  <si>
    <t>PANTUFLAS</t>
  </si>
  <si>
    <t>ORLADO ORTEGA MUÑOZ</t>
  </si>
  <si>
    <t>CALLE 2 A NO 8 B 25</t>
  </si>
  <si>
    <t>NARIÑO SUR</t>
  </si>
  <si>
    <t>80207096-1</t>
  </si>
  <si>
    <t>ORLANDO JIMENEZ</t>
  </si>
  <si>
    <t>CALLE 16 NO 45 - 45 OFICINA 301</t>
  </si>
  <si>
    <t>PROMOMARKA SAS</t>
  </si>
  <si>
    <t>900489875-1</t>
  </si>
  <si>
    <t>OSCAR DUARTE</t>
  </si>
  <si>
    <t>CALLE 70 BIS NO 78 C - 28</t>
  </si>
  <si>
    <t>CUIDAD MONTES</t>
  </si>
  <si>
    <t>WAVE UPPER CASES SAS</t>
  </si>
  <si>
    <t>9011096173-6</t>
  </si>
  <si>
    <t>OSCAR RAMIRO CERON MUÑOZ</t>
  </si>
  <si>
    <t>CALLE 52 C SUR NO 5 C - 19</t>
  </si>
  <si>
    <t>LA PICOTA</t>
  </si>
  <si>
    <t>79822076-4</t>
  </si>
  <si>
    <t>OSMAN CROS</t>
  </si>
  <si>
    <t>CARRERA 23 A NO 66 A - 38 SUR</t>
  </si>
  <si>
    <t>OSWALDO RAMO</t>
  </si>
  <si>
    <t>CARRERA 72 D NO 38 - 91 SUR</t>
  </si>
  <si>
    <t>PROVIDENCIA OCCIDENTAL</t>
  </si>
  <si>
    <t>OTONIEL MENSA</t>
  </si>
  <si>
    <t>CARRERA 1 ESTE NO 89 C - 14 SUR</t>
  </si>
  <si>
    <t>ALFONSO LOPEZ LA REFORMA</t>
  </si>
  <si>
    <t>PATRICIA CHACON</t>
  </si>
  <si>
    <t>CARRERA 57 NO 45 A - 52 SUR</t>
  </si>
  <si>
    <t>ISALE DEL SOL</t>
  </si>
  <si>
    <t>BIO BOLSA SAS</t>
  </si>
  <si>
    <t xml:space="preserve"> 900390537-1</t>
  </si>
  <si>
    <t>PAULA CALI</t>
  </si>
  <si>
    <t>CALLE 16 NO 8 - 87</t>
  </si>
  <si>
    <t>CALI HERRAJES ANTIOQUIA</t>
  </si>
  <si>
    <t>900489492</t>
  </si>
  <si>
    <t>PEDRO AGUSTIN MUÑOZ CARREÑO</t>
  </si>
  <si>
    <t xml:space="preserve">CARRERA 29 A NO 38 - 17 </t>
  </si>
  <si>
    <t>GIRALUZ</t>
  </si>
  <si>
    <t>RECORT ESPORT</t>
  </si>
  <si>
    <t>91286555-4</t>
  </si>
  <si>
    <t>PEDRO GOMEZ</t>
  </si>
  <si>
    <t>CARRERA 68 N NO 36 - 39 SUR</t>
  </si>
  <si>
    <t>ESPUMLANDIA LIMITADA</t>
  </si>
  <si>
    <t>800026934-9</t>
  </si>
  <si>
    <t>PEDRO MUÑOZ</t>
  </si>
  <si>
    <t>CARRERA 29 A NO 38 - 17</t>
  </si>
  <si>
    <t xml:space="preserve">RECORD SPORTD </t>
  </si>
  <si>
    <t>PEDRO PABLO PEÑUELA</t>
  </si>
  <si>
    <t>PEDRO PARRA ROJAS</t>
  </si>
  <si>
    <t>TRANSAVERSAL 73 G BIS A NO 73 B - 39 SUR</t>
  </si>
  <si>
    <t>PEDRO PINILLA</t>
  </si>
  <si>
    <t>CARRERA 62 NO 68 - 04</t>
  </si>
  <si>
    <t>BARRIO SAN FERNANDO</t>
  </si>
  <si>
    <t>RAMIRO CLAVIJO</t>
  </si>
  <si>
    <t>TRANSVERSAL 13 B NO 02 - 04</t>
  </si>
  <si>
    <t>RAMON PIZA</t>
  </si>
  <si>
    <t>CALLE 81 SUR NO 10 - 28</t>
  </si>
  <si>
    <t>YOMASA</t>
  </si>
  <si>
    <t>RAUL BOLAÑOS</t>
  </si>
  <si>
    <t>CARREA 77 C NO 64 C - 58</t>
  </si>
  <si>
    <t>REINALDO BUITRAGO</t>
  </si>
  <si>
    <t>CARRERA 68 D NO 35 A - 12 SUR</t>
  </si>
  <si>
    <t>AMERICANA DE INFLABLES Y SUMINISTROS SAS</t>
  </si>
  <si>
    <t>900906222-2</t>
  </si>
  <si>
    <t>RICARDO CAMELO</t>
  </si>
  <si>
    <t>CARRERA 69 C 24 67 - SUR</t>
  </si>
  <si>
    <t>MANUFACTURAS RICAL LTDA</t>
  </si>
  <si>
    <t xml:space="preserve"> 800219222-2</t>
  </si>
  <si>
    <t>RICARDO GARCIA</t>
  </si>
  <si>
    <t>CARRERA 32 NO 6 - 50</t>
  </si>
  <si>
    <t>CARPAS Y RECUBRIMIENTOS CYC SAS</t>
  </si>
  <si>
    <t>RICARDO OYUELA</t>
  </si>
  <si>
    <t>CARRERA 102 NO 20 B - 48</t>
  </si>
  <si>
    <t xml:space="preserve"> 93151453-9</t>
  </si>
  <si>
    <t>RICARDO PINEDA MARIN</t>
  </si>
  <si>
    <t>AUTOPISTA SUR NO 18 - 93</t>
  </si>
  <si>
    <t>KIT DE CARRETERA</t>
  </si>
  <si>
    <t>RICARDO SAAB HIJO</t>
  </si>
  <si>
    <t>DIAGONAL 16 A SUR NO 24 D - 36</t>
  </si>
  <si>
    <t>DINAMIK PUBLICIDAD</t>
  </si>
  <si>
    <t>900347007-6</t>
  </si>
  <si>
    <t xml:space="preserve">RICARDO SAAB PAPA </t>
  </si>
  <si>
    <t>RICARDO SILVA</t>
  </si>
  <si>
    <t>CARRERA 2 NO 92 B 94 SUR</t>
  </si>
  <si>
    <t>COMUNEROS</t>
  </si>
  <si>
    <t>RICARDO VARGAS</t>
  </si>
  <si>
    <t>CARRERA 51  NO 64 A  66</t>
  </si>
  <si>
    <t>SAN MIGUEL</t>
  </si>
  <si>
    <t>TIPAL IMPRESORES SAS</t>
  </si>
  <si>
    <t>900443470-4</t>
  </si>
  <si>
    <t>IMPRESIÓN PUBLICITARIA</t>
  </si>
  <si>
    <t>RICHARD ANTONY CHACON</t>
  </si>
  <si>
    <t>CARRERA 72 F NO 53 C - 31 SUR</t>
  </si>
  <si>
    <t>CEMENTERIO JARDINES APOGEO</t>
  </si>
  <si>
    <t>ROCIO VARGAS</t>
  </si>
  <si>
    <t>RODOLFO JURADO</t>
  </si>
  <si>
    <t>DIAGONAL 52 B NO 53 - 48 SUR</t>
  </si>
  <si>
    <t>ROGER LOPEZ</t>
  </si>
  <si>
    <t>CARRERA  45 B NO 130 - 18</t>
  </si>
  <si>
    <t xml:space="preserve">ROSA CUELLAR </t>
  </si>
  <si>
    <t>RUFINO ARIAS</t>
  </si>
  <si>
    <t>CALLE 18 SUR NO 24 B - 44</t>
  </si>
  <si>
    <t>ARICEROS LTDA</t>
  </si>
  <si>
    <t>900266189-1</t>
  </si>
  <si>
    <t>RUTILIO MARTINEZ ERAZO</t>
  </si>
  <si>
    <t>CARRERA 92 A NO 130 - 45</t>
  </si>
  <si>
    <t>7540162-7</t>
  </si>
  <si>
    <t>SAMUEL PACHON</t>
  </si>
  <si>
    <t>SANDRA CABREJO</t>
  </si>
  <si>
    <t>CALLE 35 B SUR NO 1 H - 46</t>
  </si>
  <si>
    <t>BOCHICA CENTRAL</t>
  </si>
  <si>
    <t>SANDRA LILIANA CASTANEDA</t>
  </si>
  <si>
    <t>CARRERA 4 NO 14 - 26</t>
  </si>
  <si>
    <t>SANDRA MILENA SANCHEZ</t>
  </si>
  <si>
    <t>AVENIDA CARACAS NO 31 - 26 SUR</t>
  </si>
  <si>
    <t>GUSTAVO RESTREPO</t>
  </si>
  <si>
    <t>INVERSIONES SANCHEZ GARCES</t>
  </si>
  <si>
    <t>900867875 3</t>
  </si>
  <si>
    <t>SANDRA RICAURTE</t>
  </si>
  <si>
    <t>CALLE 6 NO 56 - 17</t>
  </si>
  <si>
    <t>SECTOR CAMPO AMOR</t>
  </si>
  <si>
    <t>900076212-3</t>
  </si>
  <si>
    <t>SANTIAGO YEPES</t>
  </si>
  <si>
    <t>CARRERA 73 NO 29 - 29</t>
  </si>
  <si>
    <t>CAMPO AMOR</t>
  </si>
  <si>
    <t>AGENCIA GRUPO BRAND S.A.S.</t>
  </si>
  <si>
    <t>900076912 - 3</t>
  </si>
  <si>
    <t>SANTOS GAHONA</t>
  </si>
  <si>
    <t>TRANSVERSL 77 L 71 B - 51 SUR</t>
  </si>
  <si>
    <t>BOSA CARBONEL</t>
  </si>
  <si>
    <t>MANUFACTURAS SAGA LTDA</t>
  </si>
  <si>
    <t xml:space="preserve"> 830130779-7</t>
  </si>
  <si>
    <t>SEBASTIAN RAMIREZ</t>
  </si>
  <si>
    <t>CARRERA 18 A NO 19 - 34</t>
  </si>
  <si>
    <t>MANUFACTURAS RAM</t>
  </si>
  <si>
    <t>830092770-8</t>
  </si>
  <si>
    <t>SELVIO RODRIGUEZ</t>
  </si>
  <si>
    <t>CARRERA 72 J NO 36 N 61 SUR 3 PISO</t>
  </si>
  <si>
    <t>SERAFIN URBANO</t>
  </si>
  <si>
    <t>CALLE 31 A SUR NO 26 B - 99</t>
  </si>
  <si>
    <t>SERGIO FOREZ</t>
  </si>
  <si>
    <t>SERGIO MENESES</t>
  </si>
  <si>
    <t>CARRERA 24 F NO 19 - 26 SUR</t>
  </si>
  <si>
    <t>DISTRIBUIDORA CALIPLASTICOS LTDA</t>
  </si>
  <si>
    <t>890312487-1</t>
  </si>
  <si>
    <t>SIGIFREDO VIVEROS</t>
  </si>
  <si>
    <t>CALLE 67 A BIS SUR NO 18 - 45</t>
  </si>
  <si>
    <t>LUCERO BAJO</t>
  </si>
  <si>
    <t>SNEIDER CORREA</t>
  </si>
  <si>
    <t>CARRERA 103 A NO 57 - 56</t>
  </si>
  <si>
    <t xml:space="preserve">METANO INC </t>
  </si>
  <si>
    <t>80063367-9</t>
  </si>
  <si>
    <t>SNEIDER MONTAÑA RUIZ</t>
  </si>
  <si>
    <t>CARRERA 42 G NO - 19 G SUR</t>
  </si>
  <si>
    <t>GRAN COLOMBIA</t>
  </si>
  <si>
    <t>CREASHEKINA</t>
  </si>
  <si>
    <t>TARCISIO LOPEZ</t>
  </si>
  <si>
    <t>CARRERA 526 A NO 4 - 45</t>
  </si>
  <si>
    <t>GALAN</t>
  </si>
  <si>
    <t>LOGO MARCAS SAS</t>
  </si>
  <si>
    <t>800143622 -7</t>
  </si>
  <si>
    <t>TATIANA VELOZA</t>
  </si>
  <si>
    <t>CALLE 48 A NO 88 C - 10</t>
  </si>
  <si>
    <t xml:space="preserve">ALAMEDA SAN JOSE 4 </t>
  </si>
  <si>
    <t>TITO RUBIANO</t>
  </si>
  <si>
    <t>MUNDO QUIRURJICO</t>
  </si>
  <si>
    <t>URIEL ESPITIA</t>
  </si>
  <si>
    <t>CALLE 76 B BIS SUR NO 14 - 08</t>
  </si>
  <si>
    <t>MOCHUELO</t>
  </si>
  <si>
    <t>URPIANO ENSISO</t>
  </si>
  <si>
    <t>CALLE 60 C NO 18 A - 31</t>
  </si>
  <si>
    <t>MEISSEN</t>
  </si>
  <si>
    <t>VICENTE ROJAS</t>
  </si>
  <si>
    <t>TRANSVERSAL 73 C NO 73 C - 40 SUR</t>
  </si>
  <si>
    <t>VICTOR HUGO FRIAS</t>
  </si>
  <si>
    <t>CARRERA 25 NO 7 - 19 SUR - APTO 301</t>
  </si>
  <si>
    <t>TAURUS</t>
  </si>
  <si>
    <t>VICTOR TAPIAS GABRIEL GARCIA</t>
  </si>
  <si>
    <t>CALLE 29 BIS SUR NO 26 B - 40 PISO 3</t>
  </si>
  <si>
    <t>VICTORIA ORTIZ</t>
  </si>
  <si>
    <t>CALLE 18 NO 14 - 29</t>
  </si>
  <si>
    <t>VICTORY MOTOS</t>
  </si>
  <si>
    <t>VIVIANA CARDENAS</t>
  </si>
  <si>
    <t>CARRERA 69 B NO 22 - 37 SUR - PISO 2</t>
  </si>
  <si>
    <t>PROVIDENCIA ORIENTAL</t>
  </si>
  <si>
    <t>VICS PROMOTION</t>
  </si>
  <si>
    <t xml:space="preserve">LISITACION </t>
  </si>
  <si>
    <t>WALTER GRACIANO</t>
  </si>
  <si>
    <t>CALLE 57 A NO 92 A - 51 SUR</t>
  </si>
  <si>
    <t>BOSA PORVENIR</t>
  </si>
  <si>
    <t>WALTER VARGAS</t>
  </si>
  <si>
    <t>MANUFACTUTRAS HERMANOS VARGAS</t>
  </si>
  <si>
    <t>WILFER ARIAS</t>
  </si>
  <si>
    <t>CARRERA 24 C NO 18 - 47</t>
  </si>
  <si>
    <t>PELETERIA PENSILVANIA</t>
  </si>
  <si>
    <t>WILIAM ACEVEDO</t>
  </si>
  <si>
    <t>CALLE 8 NO 70 B - 42</t>
  </si>
  <si>
    <t>79907146</t>
  </si>
  <si>
    <t>WILIAM FERNANDO GARAVITO</t>
  </si>
  <si>
    <t xml:space="preserve">LA FRAGUITA </t>
  </si>
  <si>
    <t xml:space="preserve">PROMOCIONLES WILLIAMS </t>
  </si>
  <si>
    <t>WILIAM FLOREZ</t>
  </si>
  <si>
    <t>CARRERA 12 A 71 - 17</t>
  </si>
  <si>
    <t xml:space="preserve">7 DE AGOSTO </t>
  </si>
  <si>
    <t>CROTEX</t>
  </si>
  <si>
    <t>WILLIAM HERNANDEZ</t>
  </si>
  <si>
    <t>CALLE 27 SUR NO 34 A - 64</t>
  </si>
  <si>
    <t>MUNDO INFLABLE</t>
  </si>
  <si>
    <t>WILLIAM ORTIZ</t>
  </si>
  <si>
    <t>CALLE 57 NO 17 - 20</t>
  </si>
  <si>
    <t>ESTAMPADOS MILENIO</t>
  </si>
  <si>
    <t>79979068-3</t>
  </si>
  <si>
    <t>WILLIAM SALCEDO LILIANA AMESQUITA</t>
  </si>
  <si>
    <t>CALLE 16 SUR NO 24 D - 67</t>
  </si>
  <si>
    <t xml:space="preserve">CAMY GROUP </t>
  </si>
  <si>
    <t>37556202-2</t>
  </si>
  <si>
    <t>WILMAR RAMIREZ</t>
  </si>
  <si>
    <t>CALLE 17 NO 14 - 20 LOCAL 101</t>
  </si>
  <si>
    <t>DISTRIFABRICA RAMIREZ SAS</t>
  </si>
  <si>
    <t>900421846-5</t>
  </si>
  <si>
    <t>WILSON CATAÑO</t>
  </si>
  <si>
    <t>CARRERA 12 H NO 22 - 14</t>
  </si>
  <si>
    <t>USME</t>
  </si>
  <si>
    <t>WILSON JIMENEZ</t>
  </si>
  <si>
    <t>CALLE 49 NO 51 - 28</t>
  </si>
  <si>
    <t>MULTI BOLSAS EL YACUCHO</t>
  </si>
  <si>
    <t>WILSON RUIZ</t>
  </si>
  <si>
    <t>YAMILE PARRA</t>
  </si>
  <si>
    <t>SANTALIBRADA</t>
  </si>
  <si>
    <t>YANETH  FORERO</t>
  </si>
  <si>
    <t>LAS ORQUIDEAS</t>
  </si>
  <si>
    <t>YERLI ROCIO MENDOZA LOZANO</t>
  </si>
  <si>
    <t>CARRERA 1 NO 15 - 37</t>
  </si>
  <si>
    <t>YESMY PATIÑO</t>
  </si>
  <si>
    <t xml:space="preserve">CALLE 20 NO 33 - 30 </t>
  </si>
  <si>
    <t>YOLANDA SARTA</t>
  </si>
  <si>
    <t>CALLE 19 SUR NO 24 H - 23</t>
  </si>
  <si>
    <t>C.I. AQUARIUS UNIVERSAL BUSINESS GROUP SAS</t>
  </si>
  <si>
    <t xml:space="preserve"> 900562476-8</t>
  </si>
  <si>
    <t>YURI CONTRERAS</t>
  </si>
  <si>
    <t>CALLE 18 SUR NO 24 F - 21</t>
  </si>
  <si>
    <t>PELETERIA EL FARAON</t>
  </si>
  <si>
    <t>79472163-4</t>
  </si>
  <si>
    <t>ANDERSON PELETERIA EL LIDER</t>
  </si>
  <si>
    <t>PELETERIA EL LIDER</t>
  </si>
  <si>
    <t>NATALY ROMERO</t>
  </si>
  <si>
    <t>JHON PORRAS</t>
  </si>
  <si>
    <t>ALEXANDER RAMOS</t>
  </si>
  <si>
    <t>CHAQUETAS DE MOTOS</t>
  </si>
  <si>
    <t>BENJAMIN GUERRA</t>
  </si>
  <si>
    <t>JULIAN MESA</t>
  </si>
  <si>
    <t>TOPMARK COLOMBIA SAS</t>
  </si>
  <si>
    <t>PUBLICODAD</t>
  </si>
  <si>
    <t>JOHAN PIRAGAUTA</t>
  </si>
  <si>
    <t>CALLE 18 SUR NO 24 B - 58</t>
  </si>
  <si>
    <t>LOS TRES EXITOS</t>
  </si>
  <si>
    <t>900329506-3</t>
  </si>
  <si>
    <t xml:space="preserve">NELSON ROZO </t>
  </si>
  <si>
    <t>CALLE 39 NO 2 K - 81</t>
  </si>
  <si>
    <t xml:space="preserve">ARNULFO QUIÑONES </t>
  </si>
  <si>
    <t>CARRERA 10 NO 11 - 140</t>
  </si>
  <si>
    <t>SANTA ANA</t>
  </si>
  <si>
    <t>INDUSTRIAS SKILL</t>
  </si>
  <si>
    <t>ANGELA CARDINALY</t>
  </si>
  <si>
    <t>AV 9 NO 10-51</t>
  </si>
  <si>
    <t>ARTIMETAL</t>
  </si>
  <si>
    <t>DIOGENES MAECHA</t>
  </si>
  <si>
    <t>CALLE 45 NO 32-26</t>
  </si>
  <si>
    <t>MANUEL EDUARDO MATAMOROS</t>
  </si>
  <si>
    <t>CALLE 12 SUR NO 6 - 74</t>
  </si>
  <si>
    <t>QUINTA RAMOS</t>
  </si>
  <si>
    <t>FREDY TAPIAS</t>
  </si>
  <si>
    <t>319 7680531</t>
  </si>
  <si>
    <t>VECTOR TEACHERS</t>
  </si>
  <si>
    <t>JHON SUAZA</t>
  </si>
  <si>
    <t>CALLE 2 NO 11 - 18 SUR</t>
  </si>
  <si>
    <t>BOLSOS MURANO</t>
  </si>
  <si>
    <t>ARAMINTA ALFONSO</t>
  </si>
  <si>
    <t>DIAGONAL 91 SUR NO 4 G - 53</t>
  </si>
  <si>
    <t>JULIO CESAR CORTEZ</t>
  </si>
  <si>
    <t>LUCY ABRIL</t>
  </si>
  <si>
    <t xml:space="preserve">CARRERA 24 G NO 18 -  30 SUR </t>
  </si>
  <si>
    <t>MANUFACTURAS JACNA LTDA</t>
  </si>
  <si>
    <t>830115744-7</t>
  </si>
  <si>
    <t>JOSE RICARDO VARGAS DIAZ</t>
  </si>
  <si>
    <t>ALFORJAS Y ACCESORIOS MOTTO</t>
  </si>
  <si>
    <t>ACCESORIOS PARA MOTOS</t>
  </si>
  <si>
    <t>THOMAS MAECHA</t>
  </si>
  <si>
    <t>TENIS</t>
  </si>
  <si>
    <t>NILSON BENAVIDEZ</t>
  </si>
  <si>
    <t>BUENOS AIRES</t>
  </si>
  <si>
    <t>BOLSOS TROMNS</t>
  </si>
  <si>
    <t>78110409-4</t>
  </si>
  <si>
    <t>GUILLERMO DIAZ ALVARADO</t>
  </si>
  <si>
    <t>CIRO ACOSTA</t>
  </si>
  <si>
    <t xml:space="preserve">CARRERA  88 NO 42 F </t>
  </si>
  <si>
    <t>ALEXANDER VASQUEZ</t>
  </si>
  <si>
    <t xml:space="preserve">CARRERA 69 B NO 22 -37 PISO 2 </t>
  </si>
  <si>
    <t>JUAN  DAVID SALCEDO</t>
  </si>
  <si>
    <t>2</t>
  </si>
  <si>
    <t>LA REINA</t>
  </si>
  <si>
    <t>CARRERA 18 SUR NO 23-04</t>
  </si>
  <si>
    <t>INSUMOS LA REINA</t>
  </si>
  <si>
    <t>AIDA FORERO</t>
  </si>
  <si>
    <t>JAVIER PEREZ</t>
  </si>
  <si>
    <t>CARRERA 127 NO 22 G  28</t>
  </si>
  <si>
    <t>FONTIBON HB</t>
  </si>
  <si>
    <t>GRUPO GFC SAS</t>
  </si>
  <si>
    <t>830097948-4</t>
  </si>
  <si>
    <t>JHANET CEPEDA</t>
  </si>
  <si>
    <t>LUIS FERNANDO TOVAR</t>
  </si>
  <si>
    <t>CARRERA 12 A  No 3 - 14</t>
  </si>
  <si>
    <t>SEVILLA</t>
  </si>
  <si>
    <t>1022371420-2</t>
  </si>
  <si>
    <t>JUEGOS DE BAÑO</t>
  </si>
  <si>
    <t>RAUL BAUTISTA</t>
  </si>
  <si>
    <t>TAPICERIA</t>
  </si>
  <si>
    <t>JHON GALVIS</t>
  </si>
  <si>
    <t>OSWALDO HERRERA</t>
  </si>
  <si>
    <t>CARRERA 47 No 128 A - 33</t>
  </si>
  <si>
    <t>EQUIPOS DE PROTECCION</t>
  </si>
  <si>
    <t>KAREN JARAMILLO</t>
  </si>
  <si>
    <t>CALLE 5 No 11 - 57</t>
  </si>
  <si>
    <t>CHIA</t>
  </si>
  <si>
    <t>ESQUINERAS PARA COLEGIO</t>
  </si>
  <si>
    <t>OSCAR VEGA</t>
  </si>
  <si>
    <t>CARRERA 56 A No 5  B - 68</t>
  </si>
  <si>
    <t>PROTECTOR MORRAL</t>
  </si>
  <si>
    <t>JULIAN GAMBA</t>
  </si>
  <si>
    <t>TRANSVERSAL 18 P No 69 A - 21 SUR</t>
  </si>
  <si>
    <t>JUAN PABLO SEGUNDO</t>
  </si>
  <si>
    <t>GUILLERMO GOMEZ</t>
  </si>
  <si>
    <t>3235910583</t>
  </si>
  <si>
    <t>MILTON GARRIDO</t>
  </si>
  <si>
    <t>FERNANDO SIERRA</t>
  </si>
  <si>
    <t>CARRERA 147 C NO 143 B - 49</t>
  </si>
  <si>
    <t>BILBAO</t>
  </si>
  <si>
    <t>IVAN AGUIRRE</t>
  </si>
  <si>
    <t>CARRERA 59  D 131 - 64</t>
  </si>
  <si>
    <t>CIUDAD JARDIN NORTE</t>
  </si>
  <si>
    <t>FABIAN MORENO</t>
  </si>
  <si>
    <t>AVENIDA CARARCAS NO 17 - 47</t>
  </si>
  <si>
    <t>JESUS DAVID VILLAMIZAR</t>
  </si>
  <si>
    <t>CARRERA 56 - 5 A 13</t>
  </si>
  <si>
    <t>COLON</t>
  </si>
  <si>
    <t>RODRIGO SALAMANCA</t>
  </si>
  <si>
    <t>CARRERA  24  H  18 -00 SUR</t>
  </si>
  <si>
    <t>JAIME DUQUE</t>
  </si>
  <si>
    <t>CARRERA 45 NO 4 F - 56</t>
  </si>
  <si>
    <t>WILLIAM MOSQUERA</t>
  </si>
  <si>
    <t>CALLE 56 C No 72 A - 39</t>
  </si>
  <si>
    <t>FORROS PARA GUITARRA</t>
  </si>
  <si>
    <t>WILSON MARIÑO</t>
  </si>
  <si>
    <t>CARRERA 81 B NO 14 B 60</t>
  </si>
  <si>
    <t>CASTILLA</t>
  </si>
  <si>
    <t>SPORT CUEROS</t>
  </si>
  <si>
    <t>79856207-9</t>
  </si>
  <si>
    <t>MARROQUINERIA</t>
  </si>
  <si>
    <t>EDEBERTO PINILLOS</t>
  </si>
  <si>
    <t xml:space="preserve">CALLE 12 No 13 - 58 </t>
  </si>
  <si>
    <t>REINO MAGICO</t>
  </si>
  <si>
    <t>DISFRASES</t>
  </si>
  <si>
    <t>LEIDY JOANA PALECHOR</t>
  </si>
  <si>
    <t>CARRERA 89 C No 42 G SUR - 40</t>
  </si>
  <si>
    <t>DINDALITO</t>
  </si>
  <si>
    <t>1112463228</t>
  </si>
  <si>
    <t>CHAQUETA PARA MOTO</t>
  </si>
  <si>
    <t>CARMEN LUCIA PARRA</t>
  </si>
  <si>
    <t>CALLE 9 No 27 - 26</t>
  </si>
  <si>
    <t>EMPAQUES PUBLICITARIOS</t>
  </si>
  <si>
    <t>HUGO LEON</t>
  </si>
  <si>
    <t>CARRERA 37 No 1 H - 13</t>
  </si>
  <si>
    <t>SANTA MATILDE</t>
  </si>
  <si>
    <t>COMERCIALIZADORA H L</t>
  </si>
  <si>
    <t>19469543-0</t>
  </si>
  <si>
    <t>MORRALES FINOS</t>
  </si>
  <si>
    <t>EVELIO ALVIRA</t>
  </si>
  <si>
    <t>CARRERA 4 ESTE No 90 D - 81 SUR</t>
  </si>
  <si>
    <t>ALFONSO LOPEZ</t>
  </si>
  <si>
    <t>TAO</t>
  </si>
  <si>
    <t>80744999-6</t>
  </si>
  <si>
    <t>JHON EDISON ARDILA SANCHEZ</t>
  </si>
  <si>
    <t>CARRERA 12 No 14 - 12 LOCAL 103 106</t>
  </si>
  <si>
    <t>DISTRIBUIDORA ARDILA</t>
  </si>
  <si>
    <t>75004734-9</t>
  </si>
  <si>
    <t>CAMAS PERRO Y COLCHONETA</t>
  </si>
  <si>
    <t>ANTONIO ZUÑIGA</t>
  </si>
  <si>
    <t>CARRERA 41 A No 37 A - 53 SUR</t>
  </si>
  <si>
    <t>VILLA SONIA</t>
  </si>
  <si>
    <t>ARTIBELLEZA LTDA</t>
  </si>
  <si>
    <t>19304756-4</t>
  </si>
  <si>
    <t>ARTICULOS BELLEZA</t>
  </si>
  <si>
    <t>WILLINTON ORDOÑEZ</t>
  </si>
  <si>
    <t>CARRERA 7 NO 02 - 08 SUR</t>
  </si>
  <si>
    <t>UNIVERSAL DE GUANTES VELEN</t>
  </si>
  <si>
    <t>98358652-6</t>
  </si>
  <si>
    <t>GUANTES</t>
  </si>
  <si>
    <t>JEISON BERNAL</t>
  </si>
  <si>
    <t>CARRERA 18 D No 58 A - 55</t>
  </si>
  <si>
    <t>SAN BENITO</t>
  </si>
  <si>
    <t>CURTIEMBRES Y MARROQUINERIA FB</t>
  </si>
  <si>
    <t>1033725056-6</t>
  </si>
  <si>
    <t>YOVANNY PULIDO</t>
  </si>
  <si>
    <t>CARRERA 9 No 8 - 03</t>
  </si>
  <si>
    <t>MANUFACTURAS MILITARES YOPP</t>
  </si>
  <si>
    <t>79654748-4</t>
  </si>
  <si>
    <t>ARTICULOS MILITARES</t>
  </si>
  <si>
    <t xml:space="preserve">OSCAR MAURICIO AVENDAÑO/ HUGO FERNANDO AVENDAÑO </t>
  </si>
  <si>
    <t>CALLE 41 BIS SUR No 2 - 45 ESTE</t>
  </si>
  <si>
    <t>OSCAR AVENDAÑO</t>
  </si>
  <si>
    <t>79995003</t>
  </si>
  <si>
    <t>JAIR MARTINEZ CASTRO</t>
  </si>
  <si>
    <t>CALLE 14 NO 10 -92</t>
  </si>
  <si>
    <t>JAIR REATAS Y SEDAS</t>
  </si>
  <si>
    <t>7501299-2</t>
  </si>
  <si>
    <t>ILDA MORENO SANCHEZ</t>
  </si>
  <si>
    <t>CARRERA 110 BIS N O 64 D - 52</t>
  </si>
  <si>
    <t>LUIS CARLOS HERNANDEZ</t>
  </si>
  <si>
    <t xml:space="preserve">TRANSVERSAL 35 No 32 - 32 SUR </t>
  </si>
  <si>
    <t>VILLA MAYOR</t>
  </si>
  <si>
    <t>HENRY FIERRO</t>
  </si>
  <si>
    <t xml:space="preserve">CARRERA 19 NO 17  - 15 SUR </t>
  </si>
  <si>
    <t>CALZADO HAFA</t>
  </si>
  <si>
    <t>80213849</t>
  </si>
  <si>
    <t xml:space="preserve">BOTAS MILITARES </t>
  </si>
  <si>
    <t>JAVIER ALONZO MUNERA</t>
  </si>
  <si>
    <t>CARRERA 61 No 02 - 47</t>
  </si>
  <si>
    <t>PAMPALINDA</t>
  </si>
  <si>
    <t>AUDIO ACOSTICO</t>
  </si>
  <si>
    <t>16265283-3</t>
  </si>
  <si>
    <t>ANGELA GUERRA</t>
  </si>
  <si>
    <t>CARRERA 80 F # 9 - 16</t>
  </si>
  <si>
    <t>530733158</t>
  </si>
  <si>
    <t>JENNY MONTOYA</t>
  </si>
  <si>
    <t xml:space="preserve">QUINTAS DE SANFRANCISCO CASA 11 A </t>
  </si>
  <si>
    <t>FLANDE</t>
  </si>
  <si>
    <t>NOVAMEDICA</t>
  </si>
  <si>
    <t>52232641</t>
  </si>
  <si>
    <t>GORROS ESPECIALES</t>
  </si>
  <si>
    <t xml:space="preserve">EBERLIDES CONTRERAS </t>
  </si>
  <si>
    <t xml:space="preserve">CARRERA 23 NO 22 86 </t>
  </si>
  <si>
    <t>BARRAQUILLA</t>
  </si>
  <si>
    <t>PELETERIA LIZ</t>
  </si>
  <si>
    <t>WILIAM CHACON</t>
  </si>
  <si>
    <t>EDWIN LIZARAZO</t>
  </si>
  <si>
    <t>CRISTIAN LISARAZO</t>
  </si>
  <si>
    <t>FABER</t>
  </si>
  <si>
    <t>PABLO</t>
  </si>
  <si>
    <t>JUAN FERNANDO ROMERO</t>
  </si>
  <si>
    <t>TRAMAS</t>
  </si>
  <si>
    <t>CARRERA 50 PALACE N 47 - 11</t>
  </si>
  <si>
    <t>BARBARA CHAPARRO</t>
  </si>
  <si>
    <t>ALFONZO</t>
  </si>
  <si>
    <t>CALLE 19 SUR N 24 F - 45</t>
  </si>
  <si>
    <t>LUCIO MARTINEZ</t>
  </si>
  <si>
    <t>CARRERA 53 A N 4 F - 41</t>
  </si>
  <si>
    <t>797722334</t>
  </si>
  <si>
    <t>79772234</t>
  </si>
  <si>
    <t>DORA INES CIFUENTES</t>
  </si>
  <si>
    <t>CALLE 32 N 10 - 98 ESTE SOACHA</t>
  </si>
  <si>
    <t>OASIS SAN MATEO</t>
  </si>
  <si>
    <t>D.NET</t>
  </si>
  <si>
    <t>39719604-8</t>
  </si>
  <si>
    <t>FUNDAS PORTATILES</t>
  </si>
  <si>
    <t>ALBERTO ROMERO</t>
  </si>
  <si>
    <t>CALLE 62 N 37 - 51 SUR</t>
  </si>
  <si>
    <t>79547469</t>
  </si>
  <si>
    <t>LUZ CONSUELO AVELLANEDA</t>
  </si>
  <si>
    <t>CALLE 12 A NO 26 A  - 17</t>
  </si>
  <si>
    <t>INSDUSTRIAS AVELLANEDA</t>
  </si>
  <si>
    <t>51831946-3</t>
  </si>
  <si>
    <t>MUEBLES TAPICERIA</t>
  </si>
  <si>
    <t>NELSON MONTOYA</t>
  </si>
  <si>
    <t xml:space="preserve">TRANSVERSAL 68 C NO 23 12 SUR </t>
  </si>
  <si>
    <t>VILLA CLAUIDIA</t>
  </si>
  <si>
    <t>5821610</t>
  </si>
  <si>
    <t>BOLSOS CSINTETICOS</t>
  </si>
  <si>
    <t xml:space="preserve">AV 1 DE MAYO NO 68 I 43 SUR </t>
  </si>
  <si>
    <t xml:space="preserve">CARVAJAL </t>
  </si>
  <si>
    <t xml:space="preserve">COTACIONES </t>
  </si>
  <si>
    <t xml:space="preserve">FABIO CORTES </t>
  </si>
  <si>
    <t>TRANVERSAL 0 ESTE NO 69 - 23</t>
  </si>
  <si>
    <t xml:space="preserve">SUAMOX </t>
  </si>
  <si>
    <t xml:space="preserve">TUNJA </t>
  </si>
  <si>
    <t xml:space="preserve">CREACIONES RUFA </t>
  </si>
  <si>
    <t>51987238-7</t>
  </si>
  <si>
    <t>CESAR ORDOÑEZ</t>
  </si>
  <si>
    <t>CARRERA 72 BIS NO 37 C - 34 SUR</t>
  </si>
  <si>
    <t>CUEROS GENNY</t>
  </si>
  <si>
    <t>830128216-6</t>
  </si>
  <si>
    <t>BOLSOS SINTETICOS</t>
  </si>
  <si>
    <t>MARIA MATEUS</t>
  </si>
  <si>
    <t>CARRERA 29 C No 18 D - 56</t>
  </si>
  <si>
    <t>ALPEZ</t>
  </si>
  <si>
    <t>52129312</t>
  </si>
  <si>
    <t>BERNARDO ABRIL</t>
  </si>
  <si>
    <t>KILOMETRO 2 VIA FUNZA - PARQUE INDUSTRIAL LA ARGELIA BODEGA 10</t>
  </si>
  <si>
    <t>FUNZA</t>
  </si>
  <si>
    <t>JENNIFER PEDRAZA GODOY</t>
  </si>
  <si>
    <t>CARRERA 25 NO 66 - 62</t>
  </si>
  <si>
    <t>LINEA TEXTILEX</t>
  </si>
  <si>
    <t>53068779-4</t>
  </si>
  <si>
    <t>JORGE ADENIS JIMENEZ</t>
  </si>
  <si>
    <t>CALLE 68 SUR NO 21 A - 44</t>
  </si>
  <si>
    <t>REPRESENTACIONES ACUARIO</t>
  </si>
  <si>
    <t>19364692-8</t>
  </si>
  <si>
    <t>ESPONJAS</t>
  </si>
  <si>
    <t xml:space="preserve">EMER OBANDO </t>
  </si>
  <si>
    <t>CARRERA 4 NO 57 - 24</t>
  </si>
  <si>
    <t>DANUBIO</t>
  </si>
  <si>
    <t>12747379</t>
  </si>
  <si>
    <t>MARLON TUNJANO</t>
  </si>
  <si>
    <t>CARRRERA 57 A NO 5 B 53</t>
  </si>
  <si>
    <t>SAN GABRIEL GALAN</t>
  </si>
  <si>
    <t>GRUPO ARES SUPPLIES COLOMBIA SAS</t>
  </si>
  <si>
    <t>900503116-1</t>
  </si>
  <si>
    <t>ELEMENTOS DEPORTIVOS Y MILITARES</t>
  </si>
  <si>
    <t>DIEGO MENDEZ</t>
  </si>
  <si>
    <t xml:space="preserve">CALLE 75 NO 1 A 12 SUR </t>
  </si>
  <si>
    <t>JOSE GUILLERMO ORTIZ</t>
  </si>
  <si>
    <t>TRANSVERSAL 73 D NO 39 A  - 10</t>
  </si>
  <si>
    <t>COLCHONES SPRINFLES</t>
  </si>
  <si>
    <t>79135468</t>
  </si>
  <si>
    <t>MARTHA ALARCON BARINA</t>
  </si>
  <si>
    <t>CARRERA 75 BIS NO 68 - 81</t>
  </si>
  <si>
    <t>BOYACA REAL</t>
  </si>
  <si>
    <t>TIMOOS</t>
  </si>
  <si>
    <t>35487162-2</t>
  </si>
  <si>
    <t>MORRALES</t>
  </si>
  <si>
    <t>DARIO CAÑON</t>
  </si>
  <si>
    <t>CALLE 40 B SUR NO 86 C - 01</t>
  </si>
  <si>
    <t>PATIO BONITO</t>
  </si>
  <si>
    <t>NATURAL HOMT</t>
  </si>
  <si>
    <t>900712548-4</t>
  </si>
  <si>
    <t>MUEBLES</t>
  </si>
  <si>
    <t>JOSE LAUREANO RAMIREZ</t>
  </si>
  <si>
    <t>CARRERA 93 C NO 129 B - 10</t>
  </si>
  <si>
    <t>SUBA RICON</t>
  </si>
  <si>
    <t>CREACIONES ZERIMAR</t>
  </si>
  <si>
    <t>3145872</t>
  </si>
  <si>
    <t>VENDEDOR DE MALETAS</t>
  </si>
  <si>
    <t>CAROLINA SUAREZ GUTIERREZ</t>
  </si>
  <si>
    <t>CARRERA 18 C BIS NO 38 SUR</t>
  </si>
  <si>
    <t>CAROLINA SUAREZ</t>
  </si>
  <si>
    <t>1032420380</t>
  </si>
  <si>
    <t>IBALDO RIAÑO</t>
  </si>
  <si>
    <t>CARRERA 28 B BIS NO 1 A A - 70</t>
  </si>
  <si>
    <t>CREACIONES DANIELA LS</t>
  </si>
  <si>
    <t>5767734-8</t>
  </si>
  <si>
    <t>ELVIA ARANGO</t>
  </si>
  <si>
    <t>CARRERA 12 C NO 17 79 SUR</t>
  </si>
  <si>
    <t>32534618</t>
  </si>
  <si>
    <t>EDGAR SARMIENTO</t>
  </si>
  <si>
    <t>CALLE 801 NO 26 - 43</t>
  </si>
  <si>
    <t>SANTA SOFIA</t>
  </si>
  <si>
    <t>EDGAR SARMIENTO Y/O AGROEDSAR DISTRIBUCIONES</t>
  </si>
  <si>
    <t>79413994-6</t>
  </si>
  <si>
    <t>ELEMENTOS AGRICOLAS</t>
  </si>
  <si>
    <t xml:space="preserve">DIANA BARRAGAN </t>
  </si>
  <si>
    <t>CALLE 6 BIS NO 90 - 80</t>
  </si>
  <si>
    <t>TINTAL</t>
  </si>
  <si>
    <t>52498007</t>
  </si>
  <si>
    <t xml:space="preserve">CUBIERTAS </t>
  </si>
  <si>
    <t>JOSE SUAREZ</t>
  </si>
  <si>
    <t>CARRERA 4 H ESTE NO 93-70 SUR</t>
  </si>
  <si>
    <t>JUAN CARLOS MATAMOROS</t>
  </si>
  <si>
    <t>TRANSVERSAL 7 ESTE No 5 A - 37 SUR</t>
  </si>
  <si>
    <t>UVAL</t>
  </si>
  <si>
    <t>MALLAS DEPORTIVAS 3M</t>
  </si>
  <si>
    <t>1013592589</t>
  </si>
  <si>
    <t>MALLAS DEPORTIVAS</t>
  </si>
  <si>
    <t>CARRERA 39 A NO 2 - 16</t>
  </si>
  <si>
    <t>CARAVELAS</t>
  </si>
  <si>
    <t>79432282</t>
  </si>
  <si>
    <t xml:space="preserve">GLORIA VALENCIA </t>
  </si>
  <si>
    <t xml:space="preserve">CARRERA 54 NO 32 - 26 GRAN AVENIDA </t>
  </si>
  <si>
    <t xml:space="preserve">OBRERO </t>
  </si>
  <si>
    <t>BELLO</t>
  </si>
  <si>
    <t>WINGOL S.A.S</t>
  </si>
  <si>
    <t>900372277-3</t>
  </si>
  <si>
    <t xml:space="preserve">LICITACION  </t>
  </si>
  <si>
    <t>GENARO ANTONIO RUIZ</t>
  </si>
  <si>
    <t>CALLE 68 A SUR NO 77 K 24</t>
  </si>
  <si>
    <t>BOSA SAN PABLO 2 SECTOR</t>
  </si>
  <si>
    <t>16227248</t>
  </si>
  <si>
    <t>JAIME ESPITIA</t>
  </si>
  <si>
    <t>CARRERA 7 NO 22 A 87</t>
  </si>
  <si>
    <t>20 JULIO</t>
  </si>
  <si>
    <t>CREACIONES BAG STAR</t>
  </si>
  <si>
    <t>79242373</t>
  </si>
  <si>
    <t>LONCHERAS PARA EL EJERCITO</t>
  </si>
  <si>
    <t xml:space="preserve">MAURICIO LONDOÑO </t>
  </si>
  <si>
    <t>CARRERA 50 NO 45 - 105 PISO 2</t>
  </si>
  <si>
    <t xml:space="preserve">DISTRINSUMOS </t>
  </si>
  <si>
    <t>ALIRIO MORENO</t>
  </si>
  <si>
    <t xml:space="preserve">CALLE 61 NO 21 B 17 SUR </t>
  </si>
  <si>
    <t>MINUTO DE DIOS CIUDAD BOLIVAR</t>
  </si>
  <si>
    <t>3086961</t>
  </si>
  <si>
    <t>FORROS DE GUITERRA</t>
  </si>
  <si>
    <t>OSWALDO DELGADO</t>
  </si>
  <si>
    <t>CARRERA 24 D NO 24 -06</t>
  </si>
  <si>
    <t>OSWAL</t>
  </si>
  <si>
    <t>79760205</t>
  </si>
  <si>
    <t>ARLEY SILVA</t>
  </si>
  <si>
    <t>CALLE 70 M NO 18 L 82 SUR</t>
  </si>
  <si>
    <t>VILLA GLORIA</t>
  </si>
  <si>
    <t>12266927</t>
  </si>
  <si>
    <t>BOLSOS SINTETICO</t>
  </si>
  <si>
    <t>CARLOS AUGUSTO SALAZAR PEREIRA</t>
  </si>
  <si>
    <t xml:space="preserve">CALLE 9 NO 15 A 24 - 20 </t>
  </si>
  <si>
    <t>20 JULIO VILLA DEL ROSARIO</t>
  </si>
  <si>
    <t>TRIDEN SPORT</t>
  </si>
  <si>
    <t>88.193.497</t>
  </si>
  <si>
    <t>MANUEL GUERRERO</t>
  </si>
  <si>
    <t>CARRERA 63 NO 4 G - 45</t>
  </si>
  <si>
    <t>PRADERA</t>
  </si>
  <si>
    <t>FAMOLPLAST SAS</t>
  </si>
  <si>
    <t>830034662-3</t>
  </si>
  <si>
    <t>ARTICULOS DEPORTIVOS</t>
  </si>
  <si>
    <t>MARILUZ CRUZ</t>
  </si>
  <si>
    <t>DIAGONAL,97 B SUR NO 05 I ESTE 44</t>
  </si>
  <si>
    <t>53130917</t>
  </si>
  <si>
    <t>COLCHONETAS</t>
  </si>
  <si>
    <t>MERCEDEZ MENDEZ</t>
  </si>
  <si>
    <t xml:space="preserve">CALLE 16 NO 4 - 49 </t>
  </si>
  <si>
    <t xml:space="preserve">METRO HERRAJES </t>
  </si>
  <si>
    <t>65745107</t>
  </si>
  <si>
    <t xml:space="preserve">PELETERIA </t>
  </si>
  <si>
    <t xml:space="preserve">GABRIEL PRECIADO </t>
  </si>
  <si>
    <t xml:space="preserve">AVENIDA CALLE 80 102 - 64 </t>
  </si>
  <si>
    <t xml:space="preserve">BOCHICA 2 </t>
  </si>
  <si>
    <t xml:space="preserve">CREANDO ESTILOS Y DISEÑOS </t>
  </si>
  <si>
    <t>19335031</t>
  </si>
  <si>
    <t xml:space="preserve">TAPICERIA </t>
  </si>
  <si>
    <t>VICTOR GONZALES</t>
  </si>
  <si>
    <t xml:space="preserve">CARRERA 26 NO 17 - 18 SUR </t>
  </si>
  <si>
    <t xml:space="preserve">RESTREPO </t>
  </si>
  <si>
    <t>79363777</t>
  </si>
  <si>
    <t>JULIO RINCON</t>
  </si>
  <si>
    <t xml:space="preserve">CARRERA 5 NO 8 38 </t>
  </si>
  <si>
    <t>17422080</t>
  </si>
  <si>
    <t>ANDERSON RICO</t>
  </si>
  <si>
    <t>CARRERA 24 NO 25 - 67</t>
  </si>
  <si>
    <t>CARES</t>
  </si>
  <si>
    <t>1022985694</t>
  </si>
  <si>
    <t>HECTOR GOMEZ</t>
  </si>
  <si>
    <t>CALLE 67 NO 62 - 69</t>
  </si>
  <si>
    <t>ISALA DEL SOL</t>
  </si>
  <si>
    <t>HEGOS</t>
  </si>
  <si>
    <t>12228759-5</t>
  </si>
  <si>
    <t>MIREYA QUIMBAYO</t>
  </si>
  <si>
    <t>CARRERA 73 D NO 59 B - 51 SUR</t>
  </si>
  <si>
    <t>52880078</t>
  </si>
  <si>
    <t>OSCAR ORTIZ</t>
  </si>
  <si>
    <t>CARRERA 4 NO 4 - 52</t>
  </si>
  <si>
    <t>BELEN</t>
  </si>
  <si>
    <t>PASTO NARIÑO</t>
  </si>
  <si>
    <t>KATIZ MARROQUINERIA</t>
  </si>
  <si>
    <t>98394929</t>
  </si>
  <si>
    <t>PASTOR PARADA</t>
  </si>
  <si>
    <t>CALLE 77 BIS SUR NO 5 - 20</t>
  </si>
  <si>
    <t>79392038</t>
  </si>
  <si>
    <t>BASE CAMAS</t>
  </si>
  <si>
    <t>MARY LUZ CARDENAS</t>
  </si>
  <si>
    <t>CALLE 127 C NO 71 - 77</t>
  </si>
  <si>
    <t>523014055-2</t>
  </si>
  <si>
    <t>BOLSOS Y BILLETERA EN SINTETICO</t>
  </si>
  <si>
    <t>JAIME RICON</t>
  </si>
  <si>
    <t>CARRERA 23 A NO 45 A - 23</t>
  </si>
  <si>
    <t>79829223</t>
  </si>
  <si>
    <t>AIMER SILVA</t>
  </si>
  <si>
    <t>CALLE 70 M No 18 L - 82</t>
  </si>
  <si>
    <t>12266928</t>
  </si>
  <si>
    <t>LUIS ABEL CORONADO</t>
  </si>
  <si>
    <t>CALLE 64 BB CARRERA 105 A 97 (INTERIOR 101)</t>
  </si>
  <si>
    <t xml:space="preserve">CIUDADELA NUEVO OCCIDENTE - VIA SAN CRISTOBAL </t>
  </si>
  <si>
    <t>78112113</t>
  </si>
  <si>
    <t>CLARA CRUZ</t>
  </si>
  <si>
    <t>CALLE 48 Q NO 4 - 29 INTE 1 APTO, 101</t>
  </si>
  <si>
    <t>MOLINOS 2</t>
  </si>
  <si>
    <t>52377939</t>
  </si>
  <si>
    <t>SRA DE LOS ALMUERZOS</t>
  </si>
  <si>
    <t xml:space="preserve">ALEXANDER TARAZONA </t>
  </si>
  <si>
    <t>CARRRERA 9 NO 8 10</t>
  </si>
  <si>
    <t>SUPER BOTAS T.V.</t>
  </si>
  <si>
    <t>91492240-2</t>
  </si>
  <si>
    <t xml:space="preserve">CALZADO Y MORRALES </t>
  </si>
  <si>
    <t>LUZ HELENA OLMOS</t>
  </si>
  <si>
    <t>CARRERA 17 K BIS NO 74 B SUR - 35</t>
  </si>
  <si>
    <t>CONFECCIONES MAIRON</t>
  </si>
  <si>
    <t>1033677132</t>
  </si>
  <si>
    <t>ROPA Y CALZADO</t>
  </si>
  <si>
    <t>DANIEL AYALA</t>
  </si>
  <si>
    <t>TRANSVERSAL 77L NO 71 B 51 SUR</t>
  </si>
  <si>
    <t>11430734</t>
  </si>
  <si>
    <t xml:space="preserve">ANDRES PADILLA </t>
  </si>
  <si>
    <t xml:space="preserve">CARRERA 15 D 16 - 48 SUR </t>
  </si>
  <si>
    <t xml:space="preserve">VILLA LUZ </t>
  </si>
  <si>
    <t>80736138-8</t>
  </si>
  <si>
    <t>CHAQUETAS SPORT</t>
  </si>
  <si>
    <t>JAIRO USECHE</t>
  </si>
  <si>
    <t>CALLE 15 NO 24 - 45</t>
  </si>
  <si>
    <t>LOS HELECHOS</t>
  </si>
  <si>
    <t>YOPAL</t>
  </si>
  <si>
    <t>13063034</t>
  </si>
  <si>
    <t xml:space="preserve">RICHARD MARTINEZ </t>
  </si>
  <si>
    <t xml:space="preserve">CALLE 6 NO 68 </t>
  </si>
  <si>
    <t>PAEZ</t>
  </si>
  <si>
    <t xml:space="preserve">PLATA HUILA </t>
  </si>
  <si>
    <t>MEGA DEPORTIVAS</t>
  </si>
  <si>
    <t>83040340</t>
  </si>
  <si>
    <t>MORRALES DEPORTIVOS</t>
  </si>
  <si>
    <t xml:space="preserve">ROSARIO LUNA </t>
  </si>
  <si>
    <t>AV 9 NO 10 - 51 LOCAL 1</t>
  </si>
  <si>
    <t xml:space="preserve">ARTIMETAL </t>
  </si>
  <si>
    <t>60287635-7</t>
  </si>
  <si>
    <t xml:space="preserve">MONICA GRANADOS </t>
  </si>
  <si>
    <t>CALLE 58 B NO 75 - 40</t>
  </si>
  <si>
    <t xml:space="preserve">LA ESTANCIA </t>
  </si>
  <si>
    <t>52392248-1</t>
  </si>
  <si>
    <t xml:space="preserve">CAMAS PARA PERROS - MORRALES </t>
  </si>
  <si>
    <t xml:space="preserve">CARLOS JULIO MORALES </t>
  </si>
  <si>
    <t>CALLE 157 C NO 91 - 86</t>
  </si>
  <si>
    <t>SUBA</t>
  </si>
  <si>
    <t>79684756</t>
  </si>
  <si>
    <t xml:space="preserve">BOLSOS Y MORRALES </t>
  </si>
  <si>
    <t>VANESSA VALENCIA</t>
  </si>
  <si>
    <t>CARRERA 22 NO 53 - 15</t>
  </si>
  <si>
    <t>EL TREBOL</t>
  </si>
  <si>
    <t>1088254900</t>
  </si>
  <si>
    <t>JESUS PINZA</t>
  </si>
  <si>
    <t>CARRERA 11 NO 13 - 2</t>
  </si>
  <si>
    <t>IPIALES</t>
  </si>
  <si>
    <t>COMERCIAL SARAPIEL</t>
  </si>
  <si>
    <t>NELLY RODRIGUEZ</t>
  </si>
  <si>
    <t>CARRERA 10 A NO 1 C 16 SUR</t>
  </si>
  <si>
    <t>POLICARPA</t>
  </si>
  <si>
    <t>51641235</t>
  </si>
  <si>
    <t>MORRALES, CARGADORES Y CAMAS PARA MASCOTAS</t>
  </si>
  <si>
    <t>CRISTIAN JIMENEZ</t>
  </si>
  <si>
    <t>CARRERA 35 NO 11 -35</t>
  </si>
  <si>
    <t>CIUDAAD MONTES</t>
  </si>
  <si>
    <t>80762616</t>
  </si>
  <si>
    <t xml:space="preserve">RICARDO SOLARTE </t>
  </si>
  <si>
    <t xml:space="preserve">TRANVERSAL 5 C BIS B 52 80 </t>
  </si>
  <si>
    <t xml:space="preserve">PORTAL </t>
  </si>
  <si>
    <t>5276497</t>
  </si>
  <si>
    <t xml:space="preserve">BOLSO EN SINTETICO </t>
  </si>
  <si>
    <t>DAIRA JURADO</t>
  </si>
  <si>
    <t>27280070</t>
  </si>
  <si>
    <t>LUCIRY OLAYA VANEGAS</t>
  </si>
  <si>
    <t>CALLE 9 NO 1 G -60 NEIVA</t>
  </si>
  <si>
    <t>PELERIA Y HERRAJES CESAR</t>
  </si>
  <si>
    <t>107523782-1</t>
  </si>
  <si>
    <t>OTONIEL COLLAZOS</t>
  </si>
  <si>
    <t>DIAGONAL 69 NO 17 G 72 SUR</t>
  </si>
  <si>
    <t>83233965</t>
  </si>
  <si>
    <t>DEYANIRA GUTIERREZ</t>
  </si>
  <si>
    <t>CARRERA 87 K BIS NO 69 A 21 SUR</t>
  </si>
  <si>
    <t>BOSA</t>
  </si>
  <si>
    <t>52983655</t>
  </si>
  <si>
    <t>SOMBREROS</t>
  </si>
  <si>
    <t>YOMAIRA ANDREA OCHOA</t>
  </si>
  <si>
    <t>CALLE 49 NO 41  - 25</t>
  </si>
  <si>
    <t>32108144-4</t>
  </si>
  <si>
    <t>KEVIN REYES</t>
  </si>
  <si>
    <t>CALLE 35 SUR NO 69 C  - 21</t>
  </si>
  <si>
    <t>CREDI COLCHONES ELFLEX</t>
  </si>
  <si>
    <t>1012451744</t>
  </si>
  <si>
    <t>RAUL RAMIREZ</t>
  </si>
  <si>
    <t>CARRERA 34 D NO 38 - 72 SUR</t>
  </si>
  <si>
    <t>4269109</t>
  </si>
  <si>
    <t>DISTRIBUIDOR MINORISTA</t>
  </si>
  <si>
    <t>EVER CAICEDO</t>
  </si>
  <si>
    <t>CARRERA 9 NO 8 - 47</t>
  </si>
  <si>
    <t>CENTTRO</t>
  </si>
  <si>
    <t>EVEREST COL SAS</t>
  </si>
  <si>
    <t>CARLOS SALAZAR</t>
  </si>
  <si>
    <t>CALLE 9 NO 15 - 24</t>
  </si>
  <si>
    <t>20 JULIO- VILLA DEL ROSARIO</t>
  </si>
  <si>
    <t>TRIDENT SPORT</t>
  </si>
  <si>
    <t>88193497</t>
  </si>
  <si>
    <t xml:space="preserve">EDILBERTO PARRA </t>
  </si>
  <si>
    <t>CARRRERA 24 F ESTE NO 42 - 22</t>
  </si>
  <si>
    <t>EL ARROLLO</t>
  </si>
  <si>
    <t>5905582-8</t>
  </si>
  <si>
    <t xml:space="preserve">MORRALERO ESCOLAR </t>
  </si>
  <si>
    <t>CAROLINA PEÑA</t>
  </si>
  <si>
    <t>CARRERA 41 NO 2 - 50 PISO 3</t>
  </si>
  <si>
    <t xml:space="preserve">JAZMIN </t>
  </si>
  <si>
    <t xml:space="preserve">MAJA'Z DISEÑO ECO-AMIGABLE S.A.S </t>
  </si>
  <si>
    <t>900598759-2</t>
  </si>
  <si>
    <t>ARTICULOS PUBLICITARIOS</t>
  </si>
  <si>
    <t>OSCAR MANUEL RODRIGUEZ</t>
  </si>
  <si>
    <t>CARRERA 88 C NO 39 - 11 SUR</t>
  </si>
  <si>
    <t>79914387</t>
  </si>
  <si>
    <t>LOGIFUTURO</t>
  </si>
  <si>
    <t>900781417-2</t>
  </si>
  <si>
    <t xml:space="preserve">ELIZABETH URBANO </t>
  </si>
  <si>
    <t>DIAGONAL 52 D NO 24 - 60</t>
  </si>
  <si>
    <t xml:space="preserve">MORRALES DOTACION </t>
  </si>
  <si>
    <t>ANDRES VEGA</t>
  </si>
  <si>
    <t>CARRERA 15 NO 7 - 45</t>
  </si>
  <si>
    <t xml:space="preserve">PACHO </t>
  </si>
  <si>
    <t>USUARIOS SAS</t>
  </si>
  <si>
    <t>901110733-0</t>
  </si>
  <si>
    <t>CONY GUTIERREZ</t>
  </si>
  <si>
    <t>NA</t>
  </si>
  <si>
    <t xml:space="preserve">EDGAR MEYER </t>
  </si>
  <si>
    <t xml:space="preserve">CALLE 18 NO 12 20 ESTE </t>
  </si>
  <si>
    <t xml:space="preserve">LAS MERCEDEZ </t>
  </si>
  <si>
    <t>79413328</t>
  </si>
  <si>
    <t>HUMBERTO RESTREPO</t>
  </si>
  <si>
    <t>SAN JOSE</t>
  </si>
  <si>
    <t>70601126</t>
  </si>
  <si>
    <t xml:space="preserve">HECTOR ARNULFO CRUZ </t>
  </si>
  <si>
    <t xml:space="preserve">CALLE 3 NUMERO 5 44 </t>
  </si>
  <si>
    <t xml:space="preserve">CENTRO </t>
  </si>
  <si>
    <t>CAQUEZA</t>
  </si>
  <si>
    <t>11410730</t>
  </si>
  <si>
    <t xml:space="preserve">EXPERIMENTO </t>
  </si>
  <si>
    <t>SORAIDA ARISTIZABAL</t>
  </si>
  <si>
    <t>CALLE 60 A SUR NO 77 C  - 14</t>
  </si>
  <si>
    <t>SAN ISIDRO</t>
  </si>
  <si>
    <t>30225195</t>
  </si>
  <si>
    <t>JUAN CARLOS OQUENO</t>
  </si>
  <si>
    <t>CARRERA 71 D NO 2 - 15</t>
  </si>
  <si>
    <t>TECHO</t>
  </si>
  <si>
    <t>19452970</t>
  </si>
  <si>
    <t>REINALDO MOSQUERA</t>
  </si>
  <si>
    <t>CALLE 108 SUR NO 5 B - 25</t>
  </si>
  <si>
    <t>79857385</t>
  </si>
  <si>
    <t>ANDREA GARCIA</t>
  </si>
  <si>
    <t>CALLE 8 BIS NO 79-47</t>
  </si>
  <si>
    <t>VALENTTINO MODA CASUAL</t>
  </si>
  <si>
    <t>65808731-1</t>
  </si>
  <si>
    <t>DRILES DE HOMBRE</t>
  </si>
  <si>
    <t>WILLIAN VIRGUEZ</t>
  </si>
  <si>
    <t>CALLE 80 B SUR NO 15 - 30</t>
  </si>
  <si>
    <t>LIBERTADORES</t>
  </si>
  <si>
    <t>79637926</t>
  </si>
  <si>
    <t>LUIS GUZMAN</t>
  </si>
  <si>
    <t>ANDRES RAMIREZ</t>
  </si>
  <si>
    <t>CALLE 17 SUR NO 24 B 36</t>
  </si>
  <si>
    <t>COMERCIALIZADORA HERREROS</t>
  </si>
  <si>
    <t>900368599-4</t>
  </si>
  <si>
    <t xml:space="preserve">CALZADO </t>
  </si>
  <si>
    <t>MARIA DEL CARMEN ADAME</t>
  </si>
  <si>
    <t>CARRE 47 NO 128 A- 33</t>
  </si>
  <si>
    <t>41348429-1</t>
  </si>
  <si>
    <t>IMPLEMENTOS DE SEGURIDAD</t>
  </si>
  <si>
    <t>CARMENZA LOPEZ</t>
  </si>
  <si>
    <t>CARRERA 73 P NO 69 B 42 SUR</t>
  </si>
  <si>
    <t>27433987</t>
  </si>
  <si>
    <t>JOSE ANGEL HERNANDEZ</t>
  </si>
  <si>
    <t>CALLE 31 D NO 13 B 20 SUR</t>
  </si>
  <si>
    <t>5901077</t>
  </si>
  <si>
    <t>CINTURONES PARA PANTALON</t>
  </si>
  <si>
    <t>OSCAR MUÑOZ</t>
  </si>
  <si>
    <t xml:space="preserve">CARRERA 18 B NO 32 A 49 SUR </t>
  </si>
  <si>
    <t xml:space="preserve">JD EVOLUTION </t>
  </si>
  <si>
    <t>80903491-1</t>
  </si>
  <si>
    <t xml:space="preserve">CHAQUETAS SPORT </t>
  </si>
  <si>
    <t>ANDRES ACOSTA LOPEZ</t>
  </si>
  <si>
    <t>CARRERA 14 No 26 - 30 PISO 2</t>
  </si>
  <si>
    <t>PARQUE CAFETERO</t>
  </si>
  <si>
    <t>PIJAMAS PARA MOTOS</t>
  </si>
  <si>
    <t>JAVIER SANCHEZ VARGAS</t>
  </si>
  <si>
    <t>CARRERA 51 NO 41 - 25 sur</t>
  </si>
  <si>
    <t>CHAQUETA PARA DAMA</t>
  </si>
  <si>
    <t xml:space="preserve">RAUL CALDERON </t>
  </si>
  <si>
    <t>CALLE 143 A NUMERO 113 - 10</t>
  </si>
  <si>
    <t>JORGE LOPEZ</t>
  </si>
  <si>
    <t>CARRERA 5 L NO 48 J-20 SUR</t>
  </si>
  <si>
    <t>BOCHICA</t>
  </si>
  <si>
    <t>MORRALERO, CALZADO</t>
  </si>
  <si>
    <t>ELVIRA MESA</t>
  </si>
  <si>
    <t>CALLE 46 A SUR NO 12 B 76 ESTE</t>
  </si>
  <si>
    <t>ALTAMIRA</t>
  </si>
  <si>
    <t xml:space="preserve">MORRALES </t>
  </si>
  <si>
    <t xml:space="preserve">BELISARIO CADENAS </t>
  </si>
  <si>
    <t>CARRERA 13 NO 106 - 20</t>
  </si>
  <si>
    <t>NUBIA NUÑEZ</t>
  </si>
  <si>
    <t>RAUL ARSE LOZANO</t>
  </si>
  <si>
    <t>JULIAN PARRA</t>
  </si>
  <si>
    <t>CARRERA 18 A NO  51 B 69</t>
  </si>
  <si>
    <t>ESTUCHES PARA CONTROL</t>
  </si>
  <si>
    <t>GUSTAVO BOTERO</t>
  </si>
  <si>
    <t>CHAQUETAS DE CUERO</t>
  </si>
  <si>
    <t>HORACIO- PELETERIA EL LIDER</t>
  </si>
  <si>
    <t>CALLE 19 SUR NO 24 H -14</t>
  </si>
  <si>
    <t>RESTERPO</t>
  </si>
  <si>
    <t>ALONSO GARCIA</t>
  </si>
  <si>
    <t>AV 8 NO 10 - 72</t>
  </si>
  <si>
    <t>YOJHAN MOSQUERA</t>
  </si>
  <si>
    <t>CARRERA 71 B NO 55 - 15 SUR</t>
  </si>
  <si>
    <t>FORROS PARA INSTRUMENTOS MUSICALES</t>
  </si>
  <si>
    <t>OLINTO ARIZA</t>
  </si>
  <si>
    <t>CALLE 1 H 35 B - 24</t>
  </si>
  <si>
    <t>BOCHICA CENTAL</t>
  </si>
  <si>
    <t xml:space="preserve">RAMON VARGAS </t>
  </si>
  <si>
    <t>CALLE 31 A NO 24 B 31</t>
  </si>
  <si>
    <t>LIBERTADOR</t>
  </si>
  <si>
    <t>CARLOS ALFONSO GOMEZ</t>
  </si>
  <si>
    <t xml:space="preserve">MANZANA 1 CASA 24 </t>
  </si>
  <si>
    <t>JARDIN</t>
  </si>
  <si>
    <t xml:space="preserve">ESTUCHES PARA CELULAR </t>
  </si>
  <si>
    <t>OMAR SOLARTE</t>
  </si>
  <si>
    <t>CARRERA 40 D NO 0 - 34</t>
  </si>
  <si>
    <t>CIUDAD MONTES</t>
  </si>
  <si>
    <t>CARLOS ANDRES ORDOÑES</t>
  </si>
  <si>
    <t>CARRERA 24 C NO 17 - 71</t>
  </si>
  <si>
    <t>RUFA</t>
  </si>
  <si>
    <t>STEFANI ALVIRA</t>
  </si>
  <si>
    <t>CARRERA 6 E NO 90 A - 18 SUR</t>
  </si>
  <si>
    <t>ROSARIO ROMERO</t>
  </si>
  <si>
    <t>CALLE 5 NO 86 C - 08</t>
  </si>
  <si>
    <t>JAVIER BOLAÑOS</t>
  </si>
  <si>
    <t>DIAGONAL 13 A BIS 12 A 91</t>
  </si>
  <si>
    <t xml:space="preserve">CIUDAD JARDIN </t>
  </si>
  <si>
    <t xml:space="preserve">BOLSOS EN CUERO </t>
  </si>
  <si>
    <t xml:space="preserve">MARILUZ CARDENAS </t>
  </si>
  <si>
    <t xml:space="preserve">CALLE 127 C 71 - 77 </t>
  </si>
  <si>
    <t xml:space="preserve">BULEBAR </t>
  </si>
  <si>
    <t xml:space="preserve">SINTETICOS </t>
  </si>
  <si>
    <t xml:space="preserve">JORGE LEON </t>
  </si>
  <si>
    <t xml:space="preserve">CARRERA 8 A NO 8 A 56 SUR </t>
  </si>
  <si>
    <t xml:space="preserve">NARIÑO SUR </t>
  </si>
  <si>
    <t>BILLETERA</t>
  </si>
  <si>
    <t>AUDENAGO CASILIMAS / DIANA CAROLINA CAMACHO SANABRIA</t>
  </si>
  <si>
    <t>AV CARRERA 68 NO 28-28 SUR</t>
  </si>
  <si>
    <t>LOS ANGELES TEJAR</t>
  </si>
  <si>
    <t xml:space="preserve">MARLENY GARZON </t>
  </si>
  <si>
    <t xml:space="preserve">CARRERA 18 L 69 D 09 SUR </t>
  </si>
  <si>
    <t>JOSE GOMEZ</t>
  </si>
  <si>
    <t xml:space="preserve">CARERA 8 B NO4-37 </t>
  </si>
  <si>
    <t>JAVIER CARLOS AMA</t>
  </si>
  <si>
    <t>CARRERA 8 NO 8 SUR</t>
  </si>
  <si>
    <t>GUILLERO GOMEZ</t>
  </si>
  <si>
    <t>CIUDAD AABERNA</t>
  </si>
  <si>
    <t>DAVID SABOGAL</t>
  </si>
  <si>
    <t xml:space="preserve">CALLE 73 NO 78-44 </t>
  </si>
  <si>
    <t>TABORA</t>
  </si>
  <si>
    <t>ALEXANDER BALLESTEROS</t>
  </si>
  <si>
    <t>CALLE 26SUR NO 12 G- 18</t>
  </si>
  <si>
    <t>PAOLA SIERRA</t>
  </si>
  <si>
    <t>CALLE 73 NO 65 B  -18</t>
  </si>
  <si>
    <t xml:space="preserve">HEUCLIDES </t>
  </si>
  <si>
    <t>CHAQUETAS DE MOTO</t>
  </si>
  <si>
    <t>JANETH CEPEDA</t>
  </si>
  <si>
    <t>CALLE 62 NO 91-66</t>
  </si>
  <si>
    <t>TODO A 1000</t>
  </si>
  <si>
    <t>JORGE ALVARES</t>
  </si>
  <si>
    <t>CARRERA 13 A NO 20-21</t>
  </si>
  <si>
    <t>LA AURORA</t>
  </si>
  <si>
    <t>EDITH LOZANO</t>
  </si>
  <si>
    <t>ALEXANDER MUÑOS</t>
  </si>
  <si>
    <t>CALLE 66 SUR NO 65-56</t>
  </si>
  <si>
    <t>ISALA DEL,SOL</t>
  </si>
  <si>
    <t>BOLSOS SINTETICOS Y MORRALES</t>
  </si>
  <si>
    <t xml:space="preserve">MARTHA HERNANDEZ </t>
  </si>
  <si>
    <t>CARRERA 53 F NO  5 C 49</t>
  </si>
  <si>
    <t>PUENTE ARANDA</t>
  </si>
  <si>
    <t xml:space="preserve">LUIS ALEJANDRO BECERRA </t>
  </si>
  <si>
    <t xml:space="preserve">CARRERA 18 NO 61 A 11 SUR </t>
  </si>
  <si>
    <t xml:space="preserve">ALTOS DE JALISCO </t>
  </si>
  <si>
    <t xml:space="preserve">ORGANIZADOR DE CALZADO </t>
  </si>
  <si>
    <t xml:space="preserve">JOSE CASTRO </t>
  </si>
  <si>
    <t xml:space="preserve">CARRERA 4 B ESTE 29 - 24 </t>
  </si>
  <si>
    <t xml:space="preserve">SAN MATEO </t>
  </si>
  <si>
    <t xml:space="preserve">BILLETERA </t>
  </si>
  <si>
    <t xml:space="preserve">EDINSON BEDOYA </t>
  </si>
  <si>
    <t>DIAGONAL 68 A BIS SUR NUMERO 14 U 41</t>
  </si>
  <si>
    <t xml:space="preserve">AURORA </t>
  </si>
  <si>
    <t xml:space="preserve">BOLSOS DEPORTIVOS </t>
  </si>
  <si>
    <t>AMANDA REYES</t>
  </si>
  <si>
    <t>CARRERA 15 NO 16 - 45</t>
  </si>
  <si>
    <t>CARLOS PINILLA</t>
  </si>
  <si>
    <t>CALLE 52 A SUR NO 77 K 49</t>
  </si>
  <si>
    <t xml:space="preserve">CATALINA II </t>
  </si>
  <si>
    <t xml:space="preserve">FUNDAS PARA MUEBLES </t>
  </si>
  <si>
    <t xml:space="preserve">MARTHA LUCIA </t>
  </si>
  <si>
    <t xml:space="preserve">TRANVERSAL 70 NO 67 B 80 SUR </t>
  </si>
  <si>
    <t>MADELENA</t>
  </si>
  <si>
    <t xml:space="preserve">CHALECOS SALVAVIDAS </t>
  </si>
  <si>
    <t>HILDARDO ORTEGA</t>
  </si>
  <si>
    <t>CARRERA 24 C NO 18 - 35</t>
  </si>
  <si>
    <t>BOLSOS EN CÚERO</t>
  </si>
  <si>
    <t>JESUS ORLANDO GOMEZ</t>
  </si>
  <si>
    <t>CALLE 10 SUUR NO -52</t>
  </si>
  <si>
    <t>NARIÑO</t>
  </si>
  <si>
    <t>BOSOS OY ACCESORIOS EN CUERO</t>
  </si>
  <si>
    <t>EBIER IMBACHI</t>
  </si>
  <si>
    <t xml:space="preserve">CARRERA 5 NO 2-23 </t>
  </si>
  <si>
    <t>PORVENIR ISNOS</t>
  </si>
  <si>
    <t xml:space="preserve">ALEXANDER SALAMANCA </t>
  </si>
  <si>
    <t>CARRERA 72 A NO 74 A 59</t>
  </si>
  <si>
    <t xml:space="preserve">EL LUJAN </t>
  </si>
  <si>
    <t xml:space="preserve">ROPA HOSPITALARIA </t>
  </si>
  <si>
    <t>EDMUNDO ORDOÑEZ</t>
  </si>
  <si>
    <t>CARRERA 24 B NO 32 - 09 SUR</t>
  </si>
  <si>
    <t>LINA Y GERARDO</t>
  </si>
  <si>
    <t>CALLE 15 NO 7 - 63</t>
  </si>
  <si>
    <t>ALIRIO BRAVO</t>
  </si>
  <si>
    <t>CARRE A19 F NO 27 -33</t>
  </si>
  <si>
    <t>BOLSOS CUERO</t>
  </si>
  <si>
    <t>JORGE VALENCIA</t>
  </si>
  <si>
    <t>CALLE 1 B NO 30-56</t>
  </si>
  <si>
    <t>SANTA ISABELL</t>
  </si>
  <si>
    <t>DIANA CAROLINA CUERVO</t>
  </si>
  <si>
    <t>CALLE 58 NO 18 b -28</t>
  </si>
  <si>
    <t>HERLEY CUELLAR</t>
  </si>
  <si>
    <t>DIANA TURBAY</t>
  </si>
  <si>
    <t>MARIELA GOMEZ</t>
  </si>
  <si>
    <t>CARRERA 10 NOI 8 - 10</t>
  </si>
  <si>
    <t>BOLSOS EN SINTETICOS</t>
  </si>
  <si>
    <t xml:space="preserve">CARLOS JULIAN GOMEZ CERON </t>
  </si>
  <si>
    <t xml:space="preserve">CARRE 12 F NUMERO 25 12 SUR </t>
  </si>
  <si>
    <t xml:space="preserve">SAN JOSE </t>
  </si>
  <si>
    <t>JHON FREDY ARANGO</t>
  </si>
  <si>
    <t>CALLE 19 NO 96 H -83</t>
  </si>
  <si>
    <t>FONFIBON</t>
  </si>
  <si>
    <t>ELKIN VELASQUEZ</t>
  </si>
  <si>
    <t xml:space="preserve">CALLLE 36 B NO 33 -31 </t>
  </si>
  <si>
    <t>EL SALVADOR</t>
  </si>
  <si>
    <t>YADIRA DIAZ</t>
  </si>
  <si>
    <t>CARRERA 1 ESTE NO 43 - 50 SUR</t>
  </si>
  <si>
    <t xml:space="preserve">SAN MIGUEL </t>
  </si>
  <si>
    <t xml:space="preserve">CANGUROS </t>
  </si>
  <si>
    <t xml:space="preserve">JUAN CAMILO ROBERTO </t>
  </si>
  <si>
    <t xml:space="preserve">CALLE 59 A NUMERO 16 - 25 </t>
  </si>
  <si>
    <t xml:space="preserve">MARROQUINERIA </t>
  </si>
  <si>
    <t>MIGUEL ACEVEDO</t>
  </si>
  <si>
    <t>CARRERA 10 NO 11 A -12</t>
  </si>
  <si>
    <t>BARBOSA</t>
  </si>
  <si>
    <t>FABRICA DE ESPUMAS Y COLCHONETAS</t>
  </si>
  <si>
    <t>DARIO PALECHOR VARGAS</t>
  </si>
  <si>
    <t>CARRERA 18 NO 9 A - 89 CONJUNTO RECIDENCIAL VIDA NUEVA 1</t>
  </si>
  <si>
    <t xml:space="preserve">DANUBIO </t>
  </si>
  <si>
    <t xml:space="preserve">RAFAEL NUÑEZ </t>
  </si>
  <si>
    <t>CREACIONES RAFERTY</t>
  </si>
  <si>
    <t>LEONARDO RODRIGUEZ</t>
  </si>
  <si>
    <t>CARRERA 24 F NO 18 - 75 SUR</t>
  </si>
  <si>
    <t>FREDY DUQUE TORREZ</t>
  </si>
  <si>
    <t>CALLE 41 B SUR NO 52 - 09</t>
  </si>
  <si>
    <t>LUIS BASTIDAS</t>
  </si>
  <si>
    <t>CARRERA 82 B - 82 A 05</t>
  </si>
  <si>
    <t>ESPAÑOLA</t>
  </si>
  <si>
    <t>INSTRUMENTOS MUSICALES</t>
  </si>
  <si>
    <t>SOLEDAD</t>
  </si>
  <si>
    <t>MARIA EDITH ESCUDERO</t>
  </si>
  <si>
    <t xml:space="preserve">CARRERA 16 D NO 38 A - 52 SUR </t>
  </si>
  <si>
    <t>SAN ANTONIO VIA INDUMIL</t>
  </si>
  <si>
    <t>ALEXANDER MENDEZ</t>
  </si>
  <si>
    <t>CALLE 82 B NO 18 B - 33</t>
  </si>
  <si>
    <t>EL TESORO</t>
  </si>
  <si>
    <t>PRODUCTOS MILITARES.</t>
  </si>
  <si>
    <t>GUILLERMO NIETO</t>
  </si>
  <si>
    <t>CARRERA 24 F NO 18 - 36 SUR</t>
  </si>
  <si>
    <t>ELEMENTOS DEPORTIVOS</t>
  </si>
  <si>
    <t>ALEXANDER LOPEZ</t>
  </si>
  <si>
    <t>CALLE 52 F No 29 -91</t>
  </si>
  <si>
    <t>PROSTAR</t>
  </si>
  <si>
    <t>IMPERMEABLES</t>
  </si>
  <si>
    <t>HUGO SOLER</t>
  </si>
  <si>
    <t>MARTHA CHIQUITO</t>
  </si>
  <si>
    <t>CARRERA 3 NO 82- 401</t>
  </si>
  <si>
    <t xml:space="preserve">RODRIGO RACINES </t>
  </si>
  <si>
    <t>CALLE 57 BIS NO 72 C 17 SUR</t>
  </si>
  <si>
    <t xml:space="preserve">BOSA OLARTE </t>
  </si>
  <si>
    <t xml:space="preserve">ESTUCHES PARA INSTRUMENTOS MUSICALES </t>
  </si>
  <si>
    <t xml:space="preserve">JEFER ERNESTO UBAQUE DIAZ </t>
  </si>
  <si>
    <t>CALLE 22 NO  2 A 40</t>
  </si>
  <si>
    <t xml:space="preserve">PARAISO </t>
  </si>
  <si>
    <t xml:space="preserve">ADRIANA MONTOYA </t>
  </si>
  <si>
    <t xml:space="preserve">TRANVERSAL 1 NO 49 B 03 SUR </t>
  </si>
  <si>
    <t>LA MARQUEZA</t>
  </si>
  <si>
    <t>ADRIANA MONTOYA</t>
  </si>
  <si>
    <t>ADRIANA MONTOYA ESTUPIÑAN</t>
  </si>
  <si>
    <t>OSCAR DUQUE</t>
  </si>
  <si>
    <t>FORROS PARA FLORES</t>
  </si>
  <si>
    <t>MARITZA SUAREZ</t>
  </si>
  <si>
    <t>KENEDY</t>
  </si>
  <si>
    <t>KAREN GONZALEZ</t>
  </si>
  <si>
    <t>CIUDAD BOLIVAR</t>
  </si>
  <si>
    <t>EMPLEADA</t>
  </si>
  <si>
    <t>MIRIAM OLGUIN</t>
  </si>
  <si>
    <t>CARRERA 52 NO 79 - 37</t>
  </si>
  <si>
    <t>INSUMOS PARA TAPICERIA</t>
  </si>
  <si>
    <t>CARLOS PUERTA</t>
  </si>
  <si>
    <t>CARRERA 9 NO 18-37</t>
  </si>
  <si>
    <t>LEONEL PARRA</t>
  </si>
  <si>
    <t>CALLE 27 NO 2 A 84</t>
  </si>
  <si>
    <t>SANTA INES</t>
  </si>
  <si>
    <t>CARLOS ARTURO MATEUS</t>
  </si>
  <si>
    <t>CARRERA 2 N O 89 C - 79</t>
  </si>
  <si>
    <t>CHICO SUR</t>
  </si>
  <si>
    <t>ZULMA MARTINEZ</t>
  </si>
  <si>
    <t>CALLE 18 SUR NO 24 D - 46</t>
  </si>
  <si>
    <t>BOGOTA, D.C.</t>
  </si>
  <si>
    <t>REATAS Y CORDONES EL TREBOL</t>
  </si>
  <si>
    <t>ANIMALES</t>
  </si>
  <si>
    <t>FABIAN GODOY</t>
  </si>
  <si>
    <t>CALLE 70 A NO 115 C - 10</t>
  </si>
  <si>
    <t>ENGATIVA</t>
  </si>
  <si>
    <t>CARPAS FAGOSA</t>
  </si>
  <si>
    <t>LUIS ANTONIO MENESES</t>
  </si>
  <si>
    <t>CALLE 42 NO 87 F -15</t>
  </si>
  <si>
    <t>ESTUCHES PARA CELUAR</t>
  </si>
  <si>
    <t>ANDRES RODRIGUEZ</t>
  </si>
  <si>
    <t>N/ACALLE 51 SUR NBO 80 A  - 46</t>
  </si>
  <si>
    <t>CASA BLANCA</t>
  </si>
  <si>
    <t>80833738</t>
  </si>
  <si>
    <t>MORRAL</t>
  </si>
  <si>
    <t>MARCELA HERNANDEZ</t>
  </si>
  <si>
    <t>AVENIDA CARACAS  NO 17 - 47 LOCAL 109 110 ISLA Q</t>
  </si>
  <si>
    <t>BOSA NOVA</t>
  </si>
  <si>
    <t xml:space="preserve">CHALECOS </t>
  </si>
  <si>
    <t>JUAN CARLOS MARTINEZ</t>
  </si>
  <si>
    <t>CARRERA 19#3-19 SUR</t>
  </si>
  <si>
    <t>LA MOCHILA PUBLICIDAD SAS</t>
  </si>
  <si>
    <t>901122215-9</t>
  </si>
  <si>
    <t>BOLSOS MORRALES</t>
  </si>
  <si>
    <t>MORRAL DE LINEA</t>
  </si>
  <si>
    <t>JORGE CASALLAS</t>
  </si>
  <si>
    <t>CARRERA 56A#4-45</t>
  </si>
  <si>
    <t xml:space="preserve">CHAQUETAS </t>
  </si>
  <si>
    <t>ANCELMO ROJAS PAEZ</t>
  </si>
  <si>
    <t>CALLE 31B #24-11</t>
  </si>
  <si>
    <t>MORRALES CANGUROS GUAYERAS</t>
  </si>
  <si>
    <t>HENRIQUE SALAZAR</t>
  </si>
  <si>
    <t>AVENIDA DEL RIO CALLE 23 ESQUINA</t>
  </si>
  <si>
    <t>ESQUINA</t>
  </si>
  <si>
    <t>SANTA ROSA DE CABAL</t>
  </si>
  <si>
    <t>SUFORMA S.A.S</t>
  </si>
  <si>
    <t>816006411-1</t>
  </si>
  <si>
    <t>DOTACION</t>
  </si>
  <si>
    <t>MORRAL ECONOMICO</t>
  </si>
  <si>
    <t>LICITADORES MAYORISTAS CON EL ESTADO</t>
  </si>
  <si>
    <t xml:space="preserve">ILARIO ABAD NARANJO PEREZ </t>
  </si>
  <si>
    <t>CARRERA 83 B NO 27 A - 97</t>
  </si>
  <si>
    <t>BELEN LOS SANTOS</t>
  </si>
  <si>
    <t>NARANJO PEREZ HILARIO ABAD</t>
  </si>
  <si>
    <t>70161355 - 4</t>
  </si>
  <si>
    <t>ESCOLAR</t>
  </si>
  <si>
    <t xml:space="preserve"> LOCAL COMERCIAL DE GRAN SUPERFICIE</t>
  </si>
  <si>
    <t>ARACELY URBINA</t>
  </si>
  <si>
    <t>CARRERA 20 NO 39 10</t>
  </si>
  <si>
    <t xml:space="preserve">INSUMOS PARA TAPICERIA </t>
  </si>
  <si>
    <t xml:space="preserve">TAFETA </t>
  </si>
  <si>
    <t>LIBARDO RODRIGUEZ</t>
  </si>
  <si>
    <t xml:space="preserve">CARRERA 14 NO 31 C 10 SUR </t>
  </si>
  <si>
    <t>ALBA DILIA CASTELLANOS</t>
  </si>
  <si>
    <t xml:space="preserve">CALLE 64 D NO 74 A - 39 </t>
  </si>
  <si>
    <t xml:space="preserve">ELVER PARAMO </t>
  </si>
  <si>
    <t>CLL 82 B NUMERO 18 G 44</t>
  </si>
  <si>
    <t xml:space="preserve">ARABIA </t>
  </si>
  <si>
    <t>93348624</t>
  </si>
  <si>
    <t>ASSESORIOS</t>
  </si>
  <si>
    <t>ECOLOGIA</t>
  </si>
  <si>
    <t>BOLSO DE MANO</t>
  </si>
  <si>
    <t xml:space="preserve"> LOCAL COMERCIAL DE BOLSOS</t>
  </si>
  <si>
    <t>SANDRA NEUSA</t>
  </si>
  <si>
    <t>CARRERA 88C#39-11</t>
  </si>
  <si>
    <t>FERNANDO SAENZ</t>
  </si>
  <si>
    <t>DIAGONAL 59 ESTE #3B-42 SUR</t>
  </si>
  <si>
    <t>JUAN SEBASTIAN REYES</t>
  </si>
  <si>
    <t>CALLE 12 A NO 26 A 17</t>
  </si>
  <si>
    <t xml:space="preserve">SOFAS </t>
  </si>
  <si>
    <t>CARRERA 88C #39-11 SUR</t>
  </si>
  <si>
    <t>RICARDO SANABRIA</t>
  </si>
  <si>
    <t>CALLE 63 A NO 70 G - 39 SUR</t>
  </si>
  <si>
    <t>CHALECOS MOTOS</t>
  </si>
  <si>
    <t>YUBELY MARTINEZ</t>
  </si>
  <si>
    <t>CARERA 8 SUR NO 82 - 58</t>
  </si>
  <si>
    <t>FERNANDO CARDONA</t>
  </si>
  <si>
    <t>WILMER TORRES</t>
  </si>
  <si>
    <t>OSMAN VERA ELOING</t>
  </si>
  <si>
    <t>CALLE 3#8-90 ESQUINA</t>
  </si>
  <si>
    <t>VILLA DEL ROSARIO</t>
  </si>
  <si>
    <t>NELSON LOPEZ</t>
  </si>
  <si>
    <t>CARRERA C10#14-57 SUR</t>
  </si>
  <si>
    <t>CATALINA ORTIZ</t>
  </si>
  <si>
    <t>900181784-6</t>
  </si>
  <si>
    <t>CALLE 84 NO 21 -74</t>
  </si>
  <si>
    <t xml:space="preserve">POLO CLUB </t>
  </si>
  <si>
    <t>ORIGEN REATIVO SAS</t>
  </si>
  <si>
    <t>MORRALEROS</t>
  </si>
  <si>
    <t>MARIA TEREZA NIETO</t>
  </si>
  <si>
    <t>CALLE 6 SUR NO 24 C  26</t>
  </si>
  <si>
    <t>FRAGUITA</t>
  </si>
  <si>
    <t>MANUFACTURAS TER PIEL</t>
  </si>
  <si>
    <t>900927988-5</t>
  </si>
  <si>
    <t>SEBASTIAN RAMIREZ GOMEZ (MAGOO)</t>
  </si>
  <si>
    <t xml:space="preserve">CARRERA 52 NO 50 - 14 </t>
  </si>
  <si>
    <t>MAGOO</t>
  </si>
  <si>
    <t>WILSON ALVAREZ</t>
  </si>
  <si>
    <t>CARRERA 15 NO 78 - 33</t>
  </si>
  <si>
    <t>EL LAGO</t>
  </si>
  <si>
    <t>TOOLKIT SISTEM COMPUTER</t>
  </si>
  <si>
    <t>830140729-1</t>
  </si>
  <si>
    <t xml:space="preserve">ENROLLA CABLES PARA CARGADOR DE COMPUTADORES </t>
  </si>
  <si>
    <t>JAIME REYES GUEVARA</t>
  </si>
  <si>
    <t>CARRERA 42 B NO 64 - 32 SUR</t>
  </si>
  <si>
    <t>JOSE  USECHE</t>
  </si>
  <si>
    <t>CARRERA 53C BIS #5-10</t>
  </si>
  <si>
    <t>ALFONSO MARTINEZ C</t>
  </si>
  <si>
    <t>CARRERA 8 NO 1 - 43</t>
  </si>
  <si>
    <t>SANTA BARBARA</t>
  </si>
  <si>
    <t>CHAQUETAS PÁRA MOTOS</t>
  </si>
  <si>
    <t>MIGUEL RUIZ</t>
  </si>
  <si>
    <t>CARRERA 78 F NO 78 A - 34 SUR</t>
  </si>
  <si>
    <t>GRAMAS SAS</t>
  </si>
  <si>
    <t>JOSE LUIS SILVA</t>
  </si>
  <si>
    <t>ELSA CRISTINA URREGO</t>
  </si>
  <si>
    <t>CALLE 70 A NO 57 B - 34</t>
  </si>
  <si>
    <t>INDUSTRIAS ZAFIRO</t>
  </si>
  <si>
    <t xml:space="preserve">ANGELICA GRANADOS </t>
  </si>
  <si>
    <t>CALLE 106 NO 56 - 62</t>
  </si>
  <si>
    <t>PUENTE LARGO</t>
  </si>
  <si>
    <t>CI DANKA TRADE LTDA</t>
  </si>
  <si>
    <t>900030619-1</t>
  </si>
  <si>
    <t xml:space="preserve">MATERIAL PROMOCIONAL </t>
  </si>
  <si>
    <t>ALEJANDRO RONCANCIO</t>
  </si>
  <si>
    <t>FABIAN MUÑOZ</t>
  </si>
  <si>
    <t>CALLE 16 NO 25 - 17 SUR</t>
  </si>
  <si>
    <t>ZAFARY</t>
  </si>
  <si>
    <t>HUGO ROMO</t>
  </si>
  <si>
    <t>CARRERA 77 P BIS B NO 51 - 69</t>
  </si>
  <si>
    <t>CATALINA II</t>
  </si>
  <si>
    <t>ANDRES CARRILLO</t>
  </si>
  <si>
    <t>CARRERA  7 # 81-25</t>
  </si>
  <si>
    <t>ZAPATOS TEI SAS</t>
  </si>
  <si>
    <t>901053753-3</t>
  </si>
  <si>
    <t>VESTUARIO Y CALZADO</t>
  </si>
  <si>
    <t>HILOS CAMILO</t>
  </si>
  <si>
    <t>MIGUEL CHAPARRO</t>
  </si>
  <si>
    <t>CALLE 18 SUR 24C-22</t>
  </si>
  <si>
    <t>JHON ALEXANDER GOMEZ GARCIA</t>
  </si>
  <si>
    <t>CARRERA 13 NO 31 B 69 SUR 2 PISO</t>
  </si>
  <si>
    <t>DIJONCA</t>
  </si>
  <si>
    <t>PAÑALERAS</t>
  </si>
  <si>
    <t>GUSTAVO ZAMUDIO</t>
  </si>
  <si>
    <t>NAN</t>
  </si>
  <si>
    <t>ERNESTO RICO</t>
  </si>
  <si>
    <t>CAPRICE COLOMBIA LEATHER</t>
  </si>
  <si>
    <t>830138241-3</t>
  </si>
  <si>
    <t>MORRAL MARCA</t>
  </si>
  <si>
    <t xml:space="preserve"> LOCAL COMERCIAL DE PUBLICIDAD</t>
  </si>
  <si>
    <t>AZUCENA MARTINEZ</t>
  </si>
  <si>
    <t>CALLE 26 SUR NO 1 A 19 E</t>
  </si>
  <si>
    <t>MONTE BELLO</t>
  </si>
  <si>
    <t>WIRAS LTDA</t>
  </si>
  <si>
    <t>900167100-0</t>
  </si>
  <si>
    <t>CARLOS QUIROZ</t>
  </si>
  <si>
    <t>CALLE 12 SUR NO 50 E 20</t>
  </si>
  <si>
    <t>AGUACATALA</t>
  </si>
  <si>
    <t>MESACE SAS</t>
  </si>
  <si>
    <t>890900244-1</t>
  </si>
  <si>
    <t>REGIMEN COMUN</t>
  </si>
  <si>
    <t>JIDITH GONZALEZ QUINTERO</t>
  </si>
  <si>
    <t>CALLE 24 SUR NO 40 A - 53</t>
  </si>
  <si>
    <t>39649000</t>
  </si>
  <si>
    <t>HOGAR</t>
  </si>
  <si>
    <t>LOCAL COMERCIAL</t>
  </si>
  <si>
    <t>SEBASTIAN ARDILA</t>
  </si>
  <si>
    <t>CARRERA 20#6B-63</t>
  </si>
  <si>
    <t>ESTANSUELA</t>
  </si>
  <si>
    <t>PRENDAS</t>
  </si>
  <si>
    <t>BOTAS INDUSTRIAL</t>
  </si>
  <si>
    <t>ABEL PARAMO</t>
  </si>
  <si>
    <t>CARRERA B80 G NO 41 -20</t>
  </si>
  <si>
    <t>EL OLIVO</t>
  </si>
  <si>
    <t>PEDRO LEON TELLEZ</t>
  </si>
  <si>
    <t xml:space="preserve">CARRERA 10 NO 10 - 82 </t>
  </si>
  <si>
    <t>MALETAS TOTES</t>
  </si>
  <si>
    <t>FREDY PLAZAS</t>
  </si>
  <si>
    <t>AV CARRERA 70 NO 112 - 27</t>
  </si>
  <si>
    <t>BOGOTA</t>
  </si>
  <si>
    <t>MORATO</t>
  </si>
  <si>
    <t>79486385-3</t>
  </si>
  <si>
    <t>MORRAL, BOLSOS</t>
  </si>
  <si>
    <t>CRISTIAN VASQUEZ</t>
  </si>
  <si>
    <t xml:space="preserve">GRUPO H Y F </t>
  </si>
  <si>
    <t>CARLOS GALVIS</t>
  </si>
  <si>
    <t>CARRERA 13 NO 33-57 SUR</t>
  </si>
  <si>
    <t>GRANJAS DE SAN PABLO</t>
  </si>
  <si>
    <t>ROLANDO BERMUDEZ</t>
  </si>
  <si>
    <t>CALLE 41 NO 02- 15</t>
  </si>
  <si>
    <t>MORRAL Y BILLETERAS</t>
  </si>
  <si>
    <t xml:space="preserve">ALEJANDRA CASTAÑEDA </t>
  </si>
  <si>
    <t>CARRERA 1 G#48R-35C</t>
  </si>
  <si>
    <t>FRANCISCO TORRES</t>
  </si>
  <si>
    <t>CARRERA 6 NO 49 -21</t>
  </si>
  <si>
    <t>SANDRA ESPITIA</t>
  </si>
  <si>
    <t xml:space="preserve">MANZANA 2 CASA 9 VALPARAISO 2 ETAPA </t>
  </si>
  <si>
    <t>JORDAN</t>
  </si>
  <si>
    <t>FABIAN CUBILLOS</t>
  </si>
  <si>
    <t>COMERCIALIZADORA RELAX</t>
  </si>
  <si>
    <t>1015395526</t>
  </si>
  <si>
    <t>FIDELIA PINILLA GONZALES</t>
  </si>
  <si>
    <t>CARRERA 151C  # 139C-80</t>
  </si>
  <si>
    <t>SUBA GAITANA</t>
  </si>
  <si>
    <t xml:space="preserve">CARGADORES PARA MASCOTAS </t>
  </si>
  <si>
    <t>JOSE MALDONADO</t>
  </si>
  <si>
    <t>CALLE 26 A NO 19 C- 44</t>
  </si>
  <si>
    <t>JAIME GARCIA</t>
  </si>
  <si>
    <t>CALLE 70 C 78 D 48</t>
  </si>
  <si>
    <t>BOSA NARANJO</t>
  </si>
  <si>
    <t>ALVARO OVALLE</t>
  </si>
  <si>
    <t>CARRERA 93 NO 127 B - 14</t>
  </si>
  <si>
    <t>FUNDACION TRINEO</t>
  </si>
  <si>
    <t>1110494662</t>
  </si>
  <si>
    <t xml:space="preserve">ERNESTO AGUIRRE </t>
  </si>
  <si>
    <t xml:space="preserve">AV 1 MAYO #37 A 24 </t>
  </si>
  <si>
    <t xml:space="preserve">LOS SAUCES </t>
  </si>
  <si>
    <t>MUEBLES NICO</t>
  </si>
  <si>
    <t>18598322</t>
  </si>
  <si>
    <t xml:space="preserve">MUEBLES </t>
  </si>
  <si>
    <t>FRANCO GOMEZ</t>
  </si>
  <si>
    <t>DG 47 NO 51 D -36</t>
  </si>
  <si>
    <t>MARCOS SANTAMARIA</t>
  </si>
  <si>
    <t>CARRERA 78 NO 7-68</t>
  </si>
  <si>
    <t>JHON PAEZ</t>
  </si>
  <si>
    <t>CARRERA 25 NIO 67 - 14</t>
  </si>
  <si>
    <t>JEISON GIRALDO0</t>
  </si>
  <si>
    <t>CARRERA 1A #98-08</t>
  </si>
  <si>
    <t>ESPERANZA</t>
  </si>
  <si>
    <t>SEGUNDO CAIZA</t>
  </si>
  <si>
    <t>CALLE 7 NO 10 76-1</t>
  </si>
  <si>
    <t>CEBRAS BAGS</t>
  </si>
  <si>
    <t>900337708-8</t>
  </si>
  <si>
    <t>ALBERT RODRIGUEZ</t>
  </si>
  <si>
    <t>CARRERA 69 P No 71 - 60</t>
  </si>
  <si>
    <t>PROMOCIONALES BOGOTA S.A.S.</t>
  </si>
  <si>
    <t>901110475-5</t>
  </si>
  <si>
    <t>51803271</t>
  </si>
  <si>
    <t>Botiquines</t>
  </si>
  <si>
    <t>VLADIMIR PINTO</t>
  </si>
  <si>
    <t>CALLE 15 B NO 12-15</t>
  </si>
  <si>
    <t>PINTO BAGS</t>
  </si>
  <si>
    <t>YOJHAN MORENO</t>
  </si>
  <si>
    <t>CALLE 56 C SUR NO 52 A 39</t>
  </si>
  <si>
    <t>WILLIAM VELASCO</t>
  </si>
  <si>
    <t>CARRERA 12#11-15 LOCAL 105</t>
  </si>
  <si>
    <t>SURTIPIÑATAS JB</t>
  </si>
  <si>
    <t>80236440-2</t>
  </si>
  <si>
    <t>JOSE MONTENEGRO</t>
  </si>
  <si>
    <t>CALLE 6 NO 19 - 08</t>
  </si>
  <si>
    <t>ESTANZUELA</t>
  </si>
  <si>
    <t xml:space="preserve">LUJOS Y PORTA EQUIPAJES LA PLAYA </t>
  </si>
  <si>
    <t>79698701-0</t>
  </si>
  <si>
    <t xml:space="preserve">PORTA EQUIPAJES </t>
  </si>
  <si>
    <t xml:space="preserve">HUMBERTO MORALES </t>
  </si>
  <si>
    <t>CALLE 20 SUR NO 24 D 50</t>
  </si>
  <si>
    <t>ALCIRA ALBAÑIL</t>
  </si>
  <si>
    <t>51566234-1</t>
  </si>
  <si>
    <t>ADRIANA NAYIBE ROJAS</t>
  </si>
  <si>
    <t xml:space="preserve">CLLE 57 B BIS 91 D 21 SUR </t>
  </si>
  <si>
    <t xml:space="preserve">BOSA EL REGALO </t>
  </si>
  <si>
    <t xml:space="preserve">M Y H INGENIEROS ASOCIADOS S.A </t>
  </si>
  <si>
    <t xml:space="preserve">CALLE 125 NUMERO 53 17 </t>
  </si>
  <si>
    <t>CIUDAD BOLIBAR</t>
  </si>
  <si>
    <t>B0GOTA</t>
  </si>
  <si>
    <t>CONSTRUCCION</t>
  </si>
  <si>
    <t>JOSE LABRADOR</t>
  </si>
  <si>
    <t>CARRERA 103 B#140 B-54</t>
  </si>
  <si>
    <t>SUBA NARANJOS</t>
  </si>
  <si>
    <t>EXPO TEXTILES S.A.S</t>
  </si>
  <si>
    <t>900657904-3</t>
  </si>
  <si>
    <t>DISTRIBUCION DE TEXTILES</t>
  </si>
  <si>
    <t>HECTOR GOMEZ HIJO</t>
  </si>
  <si>
    <t>CALLE 67 SUR NO 63 76</t>
  </si>
  <si>
    <t>ISLA DEL SOL</t>
  </si>
  <si>
    <t>JOSE ALBERTO CHIBUQUE</t>
  </si>
  <si>
    <t>CARRERA 69 NO 65-70</t>
  </si>
  <si>
    <t>MERCATEX SAS</t>
  </si>
  <si>
    <t>900543727-0</t>
  </si>
  <si>
    <t>DOTACIONES EMPRESARIALES</t>
  </si>
  <si>
    <t>PATRICIA GARCIA</t>
  </si>
  <si>
    <t>OMAR ALDANA</t>
  </si>
  <si>
    <t>CARRERA 136A #143-49</t>
  </si>
  <si>
    <t>CREDITO UBALTERNO</t>
  </si>
  <si>
    <t>79281379-1</t>
  </si>
  <si>
    <t>SOFAS</t>
  </si>
  <si>
    <t>SERGIO ARIZA</t>
  </si>
  <si>
    <t xml:space="preserve">CRR 2 101 59 </t>
  </si>
  <si>
    <t>CARTAGENA</t>
  </si>
  <si>
    <t>1070958789</t>
  </si>
  <si>
    <t>BOLSAS</t>
  </si>
  <si>
    <t>RICARDO ROPERO ROMEO</t>
  </si>
  <si>
    <t>CARRERA 6 ESTE NO 22 B - 12</t>
  </si>
  <si>
    <t>SANTA HELENA</t>
  </si>
  <si>
    <t>ANTONY FERRY</t>
  </si>
  <si>
    <t>80220802</t>
  </si>
  <si>
    <t>FERNANDO ACERO</t>
  </si>
  <si>
    <t>CALLE 73#60-50</t>
  </si>
  <si>
    <t>EQUIPOS SISTEMAS Y PROTECCION SAS - EQUISIS SAS</t>
  </si>
  <si>
    <t>900705756-0</t>
  </si>
  <si>
    <t>ESTUCHES</t>
  </si>
  <si>
    <t>MILLER MOSQUERA</t>
  </si>
  <si>
    <t>CALLE 56 NO 26 B 03</t>
  </si>
  <si>
    <t>MILLER SPORT</t>
  </si>
  <si>
    <t>LUCI ABRIL</t>
  </si>
  <si>
    <t>MANOFACTURAS JACNA LTDA</t>
  </si>
  <si>
    <t>ROMAN MUÑOZ</t>
  </si>
  <si>
    <t>TAZ SPORT</t>
  </si>
  <si>
    <t>19192317-1</t>
  </si>
  <si>
    <t>CHAQUETAS</t>
  </si>
  <si>
    <t>ALBERTO CIFUENTES</t>
  </si>
  <si>
    <t>CALLE 18 SUR #24E -37</t>
  </si>
  <si>
    <t>DUBER</t>
  </si>
  <si>
    <t xml:space="preserve">CALLE 24 NO 19 72 </t>
  </si>
  <si>
    <t xml:space="preserve"> RESTREPO</t>
  </si>
  <si>
    <t>PELETERIA EL PAISA</t>
  </si>
  <si>
    <t>GIOVANNY OVIEDO</t>
  </si>
  <si>
    <t>DIAGONAL 64# 19A-19 SUR</t>
  </si>
  <si>
    <t>MANUFACTURAS DE CALZADO SHOES MAKER</t>
  </si>
  <si>
    <t>901126824-2</t>
  </si>
  <si>
    <t xml:space="preserve">CORDON </t>
  </si>
  <si>
    <t>GONZALO HOYOS</t>
  </si>
  <si>
    <t>CARRERA 87A #40-14-SUR</t>
  </si>
  <si>
    <t>ANA GRACIELA</t>
  </si>
  <si>
    <t>BENJAMIN ANACONA</t>
  </si>
  <si>
    <t>TRANSVERSAL 73 D NO 74 SUR 22</t>
  </si>
  <si>
    <t>ANGIE VELASQUEZ</t>
  </si>
  <si>
    <t>CALLE 18 SUR NO 24 F - 08</t>
  </si>
  <si>
    <t>BOLTON</t>
  </si>
  <si>
    <t>MOISES QUINAYAS</t>
  </si>
  <si>
    <t>MARIA RINCON</t>
  </si>
  <si>
    <t>CALLE 5 NO 18 A - 15</t>
  </si>
  <si>
    <t>JHONATAN VARGAS</t>
  </si>
  <si>
    <t>CELINA GARZON</t>
  </si>
  <si>
    <t>JOSE ARIAS</t>
  </si>
  <si>
    <t>ROSA BOLAÑOS</t>
  </si>
  <si>
    <t xml:space="preserve">AUGUSTO OBANDO </t>
  </si>
  <si>
    <t>NELSON SACRISTAN</t>
  </si>
  <si>
    <t>SANDRA CRUZ</t>
  </si>
  <si>
    <t>CALLE 33 SUR NO 80 F 70</t>
  </si>
  <si>
    <t xml:space="preserve">RTK MASCOTAS </t>
  </si>
  <si>
    <t>SNEIDER ORJUELA</t>
  </si>
  <si>
    <t>SOBRINO DE DON ALVARO ORJUELA</t>
  </si>
  <si>
    <t>LINA LEAL</t>
  </si>
  <si>
    <t>OSCAR OBANDO</t>
  </si>
  <si>
    <t xml:space="preserve">GERARDO PINZON </t>
  </si>
  <si>
    <t xml:space="preserve">CARRERA 79 G NO 40 - 66 SUR </t>
  </si>
  <si>
    <t>EL CARMELO</t>
  </si>
  <si>
    <t xml:space="preserve">CARTADOR </t>
  </si>
  <si>
    <t xml:space="preserve">DIEGO RINCON </t>
  </si>
  <si>
    <t>ADRIANA BOLAÑOS</t>
  </si>
  <si>
    <t>BENJAMIN CASTAÑEDA</t>
  </si>
  <si>
    <t>WILLIAM OCAMPO</t>
  </si>
  <si>
    <t>CONSUELO FERRUNCHO</t>
  </si>
  <si>
    <t>DARLY ESPITIA</t>
  </si>
  <si>
    <t>GIOVANY MENESES</t>
  </si>
  <si>
    <t>MILTON GALVIS</t>
  </si>
  <si>
    <t xml:space="preserve">ORION PELETERIA </t>
  </si>
  <si>
    <t>CALLE 18 SUR NO 24 C 11</t>
  </si>
  <si>
    <t>800161655-6</t>
  </si>
  <si>
    <t>JUAN SEBASTIAN ANGARITA</t>
  </si>
  <si>
    <t>LIBARDO RIAÑO</t>
  </si>
  <si>
    <t>ALFONSO BONILLA</t>
  </si>
  <si>
    <t>BOLSAS ECOLOGICA</t>
  </si>
  <si>
    <t xml:space="preserve">NERSY MURILLO </t>
  </si>
  <si>
    <t>MASCARILLAS GREGORY</t>
  </si>
  <si>
    <t>OLMEDO JURADO</t>
  </si>
  <si>
    <t>CARRERA 18 A NUMERO 3 42</t>
  </si>
  <si>
    <t>SILVIO BOLAÑOS</t>
  </si>
  <si>
    <t xml:space="preserve">LUZ NANCY LOPEZ </t>
  </si>
  <si>
    <t xml:space="preserve">AV 9 NO 9 75 </t>
  </si>
  <si>
    <t xml:space="preserve">LONAS CUCUTA </t>
  </si>
  <si>
    <t>63440479-0</t>
  </si>
  <si>
    <t>JOSE GARZON</t>
  </si>
  <si>
    <t>AVENIDA CALLE 78 NO 70 G -79</t>
  </si>
  <si>
    <t>IDEAS Y DISEÑOS JOMAR</t>
  </si>
  <si>
    <t>79053773-1</t>
  </si>
  <si>
    <t>SALAS COMEDORES</t>
  </si>
  <si>
    <t xml:space="preserve">ADRIANA ROJAS </t>
  </si>
  <si>
    <t xml:space="preserve">FERNANDO GARAVITO </t>
  </si>
  <si>
    <t xml:space="preserve">DANIELA CUENCA / ORLANDO CUENCA </t>
  </si>
  <si>
    <t>CARRERA 24 F NO 19 - 36</t>
  </si>
  <si>
    <t>SINTHEX</t>
  </si>
  <si>
    <t xml:space="preserve">LUZ STELA RODRIGUEZ / JUAN CARLOS CORTES </t>
  </si>
  <si>
    <t xml:space="preserve">JHON EDUARDO SILVA </t>
  </si>
  <si>
    <t>CARRERA 30 C NO 1 ESTE BIS - 52</t>
  </si>
  <si>
    <t xml:space="preserve">EL PEÑON </t>
  </si>
  <si>
    <t>HERNANDO ALVARADO</t>
  </si>
  <si>
    <t>NACIONES UNIDAS</t>
  </si>
  <si>
    <t xml:space="preserve">NELSON GRANDE </t>
  </si>
  <si>
    <t>JUAN ROJAS</t>
  </si>
  <si>
    <t>CUELLOS ORTOPEDICOS</t>
  </si>
  <si>
    <t>ADRIAN ARCOS</t>
  </si>
  <si>
    <t>JUAN CARLOS VARGAS</t>
  </si>
  <si>
    <t>JOHN BOHORQUEZ</t>
  </si>
  <si>
    <t>CALLE 2 B No 53F 24</t>
  </si>
  <si>
    <t>79539966-1</t>
  </si>
  <si>
    <t>ANTONIO RUIZ</t>
  </si>
  <si>
    <t>NESTOR CASTRO</t>
  </si>
  <si>
    <t>MARCELA OVIEO</t>
  </si>
  <si>
    <t>PAMELA GONZALEZ</t>
  </si>
  <si>
    <t>CALLE 72 NO 50 - 26</t>
  </si>
  <si>
    <t xml:space="preserve">12 DE OCTUBRE </t>
  </si>
  <si>
    <t>BITAGUA</t>
  </si>
  <si>
    <t>PARASOLES Y CARPAS</t>
  </si>
  <si>
    <t>MIRIAM TOVAR</t>
  </si>
  <si>
    <t xml:space="preserve">FABIAN GONZALES </t>
  </si>
  <si>
    <t>NORA RODRIGUEZ</t>
  </si>
  <si>
    <t xml:space="preserve">CARRERA 68 BIS NO 1 - 10 SUR </t>
  </si>
  <si>
    <t>EXTINTORES RG</t>
  </si>
  <si>
    <t>LINA GARZON / ALFONSO BONILLA</t>
  </si>
  <si>
    <t>CARRERA 24 C NO 17 - 11</t>
  </si>
  <si>
    <t>BOLSAS VIDA</t>
  </si>
  <si>
    <t>JORGE HERNANDEZ</t>
  </si>
  <si>
    <t>CARRERA 51 B NO 46 A 05</t>
  </si>
  <si>
    <t>CARMEN LOPEZ</t>
  </si>
  <si>
    <t>CALLE 28 SUR NO 29 C 08</t>
  </si>
  <si>
    <t>ECO-LOGICA.CO</t>
  </si>
  <si>
    <t>900455800-3</t>
  </si>
  <si>
    <t>ALIRIO BOLAÑOS</t>
  </si>
  <si>
    <t>MARTHA BELTRAN</t>
  </si>
  <si>
    <t>DIAGONAL 101 A# 2A-04</t>
  </si>
  <si>
    <t>TULAS BOLSAS</t>
  </si>
  <si>
    <t>TAFETA</t>
  </si>
  <si>
    <t>FABIO SAENZ</t>
  </si>
  <si>
    <t>CARRERA 17 NO 14-44 SUR</t>
  </si>
  <si>
    <t>JAIME GIL</t>
  </si>
  <si>
    <t>CARRERA 97 E NO 41 - 18</t>
  </si>
  <si>
    <t>EDISON RODRIGUEZ</t>
  </si>
  <si>
    <t>TV 5 L NO 46-39 SUR</t>
  </si>
  <si>
    <t>NUEVA PENSILVANIA</t>
  </si>
  <si>
    <t>ORLANDO YATE</t>
  </si>
  <si>
    <t>CALLE 75 D NO 74 C 16 SUR</t>
  </si>
  <si>
    <t>SANTA VIVIANA</t>
  </si>
  <si>
    <t>JEIMY FERNANDEZ</t>
  </si>
  <si>
    <t>TRANVERSAL 13G 345c-28 sur</t>
  </si>
  <si>
    <t>FERNANDO FERREIRA PATIÑO</t>
  </si>
  <si>
    <t>CARRERA 69 B # 37B-49 SUR</t>
  </si>
  <si>
    <t>1024499415-3</t>
  </si>
  <si>
    <t>GERMAN GUTIERREZ</t>
  </si>
  <si>
    <t>CARRERA 10 # 25-15 KENEDY IBAGUE</t>
  </si>
  <si>
    <t>JHON ALBERT GUTIERREZ</t>
  </si>
  <si>
    <t>CARRERA 51 B NO 41 A -57 SUR</t>
  </si>
  <si>
    <t>79760897</t>
  </si>
  <si>
    <t xml:space="preserve">LEONARDO MURILLO </t>
  </si>
  <si>
    <t xml:space="preserve">FONTIBON </t>
  </si>
  <si>
    <t>LUCIA PARRA</t>
  </si>
  <si>
    <t xml:space="preserve">CALLE 9 NUMERO 27 26 </t>
  </si>
  <si>
    <t>EXPOP</t>
  </si>
  <si>
    <t>901161037</t>
  </si>
  <si>
    <t>XIOMARA ARCOS</t>
  </si>
  <si>
    <t>CALLE 7 A NO 7-43 SUR</t>
  </si>
  <si>
    <t xml:space="preserve">ERNESTO SANCHEZ </t>
  </si>
  <si>
    <t xml:space="preserve">CARRERA 44 A 70 C 38 SUR </t>
  </si>
  <si>
    <t>COMERCIALIZADORA MAJAYER</t>
  </si>
  <si>
    <t>18388106</t>
  </si>
  <si>
    <t>EDGAR SANCHEZ</t>
  </si>
  <si>
    <t>CARRERA 12 BIS 22A -04 SUR</t>
  </si>
  <si>
    <t>FORROS PARA PORTATILES</t>
  </si>
  <si>
    <t>CODRA</t>
  </si>
  <si>
    <t>JAIRO CARRILLO</t>
  </si>
  <si>
    <t>CALLE 1 # 7-38</t>
  </si>
  <si>
    <t>LAS CRUCES</t>
  </si>
  <si>
    <t>JAVIER CAICEDO</t>
  </si>
  <si>
    <t>CARRERA 52 NO41 -04 SUR</t>
  </si>
  <si>
    <t>GISELA ALVAREZ VANEGAS</t>
  </si>
  <si>
    <t>CALZADO MILITAR</t>
  </si>
  <si>
    <t>MORRAL ESTAMPADA</t>
  </si>
  <si>
    <t>JUAN CARLOS SERRANO</t>
  </si>
  <si>
    <t>MOISES PARAMO</t>
  </si>
  <si>
    <t>CARRERA  73 # 69E -29</t>
  </si>
  <si>
    <t>EDWIN MAHECHA</t>
  </si>
  <si>
    <t xml:space="preserve">AR PIELES </t>
  </si>
  <si>
    <t>SAMUEL CAMACHO</t>
  </si>
  <si>
    <t>CALLE 54 A NO 72 - C 48</t>
  </si>
  <si>
    <t>BOLSOS, CAMAS PARA PERROS</t>
  </si>
  <si>
    <t>JASIBIS CUDRIS</t>
  </si>
  <si>
    <t>BRAYAN DAVID ZULUAGA</t>
  </si>
  <si>
    <t>CARRERA 52 NO 50-14 EDIFICIO SURAMERICA OF 901</t>
  </si>
  <si>
    <t>NUBIA ROA</t>
  </si>
  <si>
    <t>WILLSON MURCIA</t>
  </si>
  <si>
    <t>DIAGONAL 5 D NO 44-14</t>
  </si>
  <si>
    <t>ELMER OVIEDO</t>
  </si>
  <si>
    <t>CALLE 63 D NO 28-40</t>
  </si>
  <si>
    <t>7 AGOSTO</t>
  </si>
  <si>
    <t xml:space="preserve">LUZ MARINA ORDOÑEZ </t>
  </si>
  <si>
    <t>ALONSO CHINO</t>
  </si>
  <si>
    <t>JAVIER MORENO</t>
  </si>
  <si>
    <t>CARRERA 11 N O 15-58</t>
  </si>
  <si>
    <t xml:space="preserve">CHIA </t>
  </si>
  <si>
    <t>WILSON MAARTINEZ</t>
  </si>
  <si>
    <t>TV 68 NO 43-47</t>
  </si>
  <si>
    <t>SAN ANDRES DE LOS ALTOS</t>
  </si>
  <si>
    <t>JESUS ANTONIO MARTINEZ</t>
  </si>
  <si>
    <t>DIDIER ALEXANDER ORDOÑEZ</t>
  </si>
  <si>
    <t>DIAGONAL 13 BIS SUR# 24-19</t>
  </si>
  <si>
    <t>FERNANDO ROMERO</t>
  </si>
  <si>
    <t>CARRERA 12 F # 31A -21-SUR</t>
  </si>
  <si>
    <t>BOSQUES DE SAN CARLOS</t>
  </si>
  <si>
    <t>ALFONZO REYES</t>
  </si>
  <si>
    <t>CALLE 125#53-17</t>
  </si>
  <si>
    <t>CONSORCIO OBRAS SIBATE</t>
  </si>
  <si>
    <t>901016729-9</t>
  </si>
  <si>
    <t>CABLES</t>
  </si>
  <si>
    <t>VELCRO</t>
  </si>
  <si>
    <t>JUAN FERNANDO GOMEZ</t>
  </si>
  <si>
    <t>CALLE 6 C NO 81 B -24</t>
  </si>
  <si>
    <t>ELBER SIERRA CORTES</t>
  </si>
  <si>
    <t>80439975</t>
  </si>
  <si>
    <t>GTRANSVERSAL 24 I NO 16-59 SUR</t>
  </si>
  <si>
    <t>ARNOLD FAJARDO</t>
  </si>
  <si>
    <t>DG 22 SUR NO 20-44</t>
  </si>
  <si>
    <t>CHAQUETAS PARA MOTO</t>
  </si>
  <si>
    <t>JEISSON MONTOYA</t>
  </si>
  <si>
    <t xml:space="preserve">LUZ SUAREZ </t>
  </si>
  <si>
    <t>DIAGONAL 78 BIS NO 52 37</t>
  </si>
  <si>
    <t>12 OCTUBRE</t>
  </si>
  <si>
    <t>MARCO ANTONIO ALFONSO</t>
  </si>
  <si>
    <t xml:space="preserve">DIAGONAL 47 A 17 A 70 SUR </t>
  </si>
  <si>
    <t xml:space="preserve">SANTA LUCIA </t>
  </si>
  <si>
    <t>ALEJANDRA RODRIGUEZ</t>
  </si>
  <si>
    <t>CARRERA 17#52-93 SUR</t>
  </si>
  <si>
    <t>COLOMBIAN CAPS</t>
  </si>
  <si>
    <t>CACHUCHAS</t>
  </si>
  <si>
    <t>800 NEGRA</t>
  </si>
  <si>
    <t>HERNANDO GUZMAN</t>
  </si>
  <si>
    <t>CALLE 18 SUR # 24H-05</t>
  </si>
  <si>
    <t>CASADO HG</t>
  </si>
  <si>
    <t>19053910-4</t>
  </si>
  <si>
    <t>CAMBRE</t>
  </si>
  <si>
    <t>DANIEL EDUARDO YEPES</t>
  </si>
  <si>
    <t>CALLE 13 #36 C - 61</t>
  </si>
  <si>
    <t>CIUDAD VERDE</t>
  </si>
  <si>
    <t>GUAYERA</t>
  </si>
  <si>
    <t>CARLOS REYES</t>
  </si>
  <si>
    <t>CALLE 30 # 26B -65 SUR</t>
  </si>
  <si>
    <t>CEENTENARIO</t>
  </si>
  <si>
    <t>H 800</t>
  </si>
  <si>
    <t>LEONEL GALLEGO</t>
  </si>
  <si>
    <t>CALLE 41 D NO 78 N SUR</t>
  </si>
  <si>
    <t>LEONARDO CUASPUD</t>
  </si>
  <si>
    <t>CARRERA 70C # 2-28</t>
  </si>
  <si>
    <t>CENTRO AMERICAS</t>
  </si>
  <si>
    <t>BLUE POINT SAS</t>
  </si>
  <si>
    <t>900789672-0</t>
  </si>
  <si>
    <t>ANDRES QUIJANO</t>
  </si>
  <si>
    <t>CALLE 70 NO 4-60</t>
  </si>
  <si>
    <t>ROSALES</t>
  </si>
  <si>
    <t>AG STUDIOS COLOMBIA SAS</t>
  </si>
  <si>
    <t>900719123-1</t>
  </si>
  <si>
    <t>PRODUCTORA DE CINE Y TELEVISION</t>
  </si>
  <si>
    <t>CAMUFLAJE DE ANDAMIOS</t>
  </si>
  <si>
    <t>HENRY DELGADO (ARTEX)</t>
  </si>
  <si>
    <t>CALLE 18 SUR NO 24 B -42</t>
  </si>
  <si>
    <t>ARTEX</t>
  </si>
  <si>
    <t>YULIANA ANDREA NOHAVA</t>
  </si>
  <si>
    <t>DIEGO FERNANDO PINEDA</t>
  </si>
  <si>
    <t>MANZANA 1 CASA 24 JARDIN SANTANDER</t>
  </si>
  <si>
    <t>JARDIN SANTANDER</t>
  </si>
  <si>
    <t>ESTUCHE DE CELULAR</t>
  </si>
  <si>
    <t>ELICEO CUCAYTA CRUZ</t>
  </si>
  <si>
    <t>CALLE 38B SUR # 68G-58</t>
  </si>
  <si>
    <t>JUAN CARLOS QUEZADA TRUJILLO</t>
  </si>
  <si>
    <t>CARRERA 10 #18-09</t>
  </si>
  <si>
    <t>CENTRO ADMINISTRATIVO</t>
  </si>
  <si>
    <t>TULA</t>
  </si>
  <si>
    <t>TULA CON CORDON</t>
  </si>
  <si>
    <t>RUBEN MUÑOZ</t>
  </si>
  <si>
    <t>DG 46 NO 13 L -05</t>
  </si>
  <si>
    <t>EDUARDO GONZALEZ OTALORA</t>
  </si>
  <si>
    <t>AVENIDA 1 MAYO No 24 D -57</t>
  </si>
  <si>
    <t>PROCESOS COMERCIALES INDUSTRIALES DE COLOMBIA PCI DE  COLOMBIA LTDA</t>
  </si>
  <si>
    <t>800045496-5</t>
  </si>
  <si>
    <t>CONFECCIONES</t>
  </si>
  <si>
    <t>ALEXANDRA PARRA</t>
  </si>
  <si>
    <t>CARRERA 15 # 15-95</t>
  </si>
  <si>
    <t>CESAR VERA</t>
  </si>
  <si>
    <t>AV 9 # 10-21LOCAL 14 EL LLANO</t>
  </si>
  <si>
    <t>REATAS Y LONAS DE COLOMBIA</t>
  </si>
  <si>
    <t>88130552-1</t>
  </si>
  <si>
    <t>DIANA PIZA AGUILAR</t>
  </si>
  <si>
    <t>CALLE 130 C BIS NO 99-93</t>
  </si>
  <si>
    <t>SUBA AURES</t>
  </si>
  <si>
    <t>52999928-6</t>
  </si>
  <si>
    <t>PRODUCTOS DE BELLEZA</t>
  </si>
  <si>
    <t>WILMER HUMBERTO CARABALI/PERALTEX</t>
  </si>
  <si>
    <t>PERALTEX</t>
  </si>
  <si>
    <t>LIGIA NAVARRO</t>
  </si>
  <si>
    <t>CALLE 63 D NO 71 A -45_x000D_
CARRERA 71 C NO 63 A -42</t>
  </si>
  <si>
    <t>LA CABAÑA- LA RELIQUIA</t>
  </si>
  <si>
    <t>JOE OSORIO</t>
  </si>
  <si>
    <t>678678JYUJK</t>
  </si>
  <si>
    <t>ABRAHAM LINCOLN</t>
  </si>
  <si>
    <t>DFGVWERG</t>
  </si>
  <si>
    <t>34534</t>
  </si>
  <si>
    <t>ORANGEL PEÑARANDA</t>
  </si>
  <si>
    <t>CARRERA 65 B# 61-91 SUR</t>
  </si>
  <si>
    <t>DISEÑOS Y CONFECCIONES F 16</t>
  </si>
  <si>
    <t>19402233-4</t>
  </si>
  <si>
    <t>CAROLINA RAMIREZ DUQUE</t>
  </si>
  <si>
    <t>CALLE 35 SUR NO 8-36</t>
  </si>
  <si>
    <t xml:space="preserve">TULAS </t>
  </si>
  <si>
    <t>GUSTAVO VINASCO</t>
  </si>
  <si>
    <t>CALLE 183 "11-55 BLOQUE 6 APTO 202</t>
  </si>
  <si>
    <t>SAN ANTONIO NORTE</t>
  </si>
  <si>
    <t>JUAN CARLOS MAECHA</t>
  </si>
  <si>
    <t>CALLE 73 B BIS NO 14 W -40</t>
  </si>
  <si>
    <t>LEIDY JOHANA PALACIO/ CARLOS CASTAÑEDA</t>
  </si>
  <si>
    <t>KILOMETRO 8 VIA LA ROMELIA EL POLLO BODEGA CALIPLASTICOS EMPRESA DE CASTAÑEDA</t>
  </si>
  <si>
    <t>LA ESPERANZA</t>
  </si>
  <si>
    <t>DOSQUEBRADAS</t>
  </si>
  <si>
    <t>BOLSAS ECOLOGICAS Y ROPA IMPERMEABLE</t>
  </si>
  <si>
    <t>HENRY CIFUENTES</t>
  </si>
  <si>
    <t>CARRERA 19 A # 22</t>
  </si>
  <si>
    <t>IMDICOL LTDA</t>
  </si>
  <si>
    <t>860403380-4</t>
  </si>
  <si>
    <t>EMIRO MUÑOZ</t>
  </si>
  <si>
    <t>CALLE 67 #63-21- SUR</t>
  </si>
  <si>
    <t>ROMMEL NOVA</t>
  </si>
  <si>
    <t>CARRERA 99 NO 66 A -32</t>
  </si>
  <si>
    <t>ALAMOS NORTE</t>
  </si>
  <si>
    <t>GOLDEN INFLABLES</t>
  </si>
  <si>
    <t>41406973-4</t>
  </si>
  <si>
    <t>SERGIO MUÑOZ</t>
  </si>
  <si>
    <t>CALLE 67 NO 63 21</t>
  </si>
  <si>
    <t>LIANELA MARTINEZ</t>
  </si>
  <si>
    <t>CR 6 NU 16 A 53 LOCAL 1</t>
  </si>
  <si>
    <t>CENTRRO</t>
  </si>
  <si>
    <t xml:space="preserve">ALMACEN Y REMONTADORA EL MORRAL </t>
  </si>
  <si>
    <t>GERSSON LAISECA</t>
  </si>
  <si>
    <t>MANZANA D CASA 9 IBAGUE</t>
  </si>
  <si>
    <t>NANCY PATRICIA USECHE</t>
  </si>
  <si>
    <t>DIAGONAL 17 C # 24 I-57</t>
  </si>
  <si>
    <t>GICARI GROUP SAS</t>
  </si>
  <si>
    <t>900862701-8</t>
  </si>
  <si>
    <t>ROIMER HERNANDEZ</t>
  </si>
  <si>
    <t>CALLE 59 NO 13 - 94</t>
  </si>
  <si>
    <t>JOSE BARRERA</t>
  </si>
  <si>
    <t>CARRERA 70 # 1-69</t>
  </si>
  <si>
    <t>NANCY CUBILLOS</t>
  </si>
  <si>
    <t>CALLE 7 SUR # 10A-22</t>
  </si>
  <si>
    <t>JAIRO ALBERTO GARZON</t>
  </si>
  <si>
    <t>CARRERA 1A NO 74 B -57 SUR</t>
  </si>
  <si>
    <t>PEGASSO</t>
  </si>
  <si>
    <t>JUAN CARLOS BLANCO OCHOA</t>
  </si>
  <si>
    <t>CARRERA 52C #33-28 ALQUERIA</t>
  </si>
  <si>
    <t>MUÑECOS LUNNY</t>
  </si>
  <si>
    <t>79532102-3</t>
  </si>
  <si>
    <t>ACCESORIO BABUCHAS MUÑECOS</t>
  </si>
  <si>
    <t>LAURA GUERRA</t>
  </si>
  <si>
    <t>CARRERA 26 A NO 01-19</t>
  </si>
  <si>
    <t>AMOBLADO PARA AUTOS</t>
  </si>
  <si>
    <t>MICHAEL NIZRI</t>
  </si>
  <si>
    <t>MN309MNMARKETING AND TRADE LTD</t>
  </si>
  <si>
    <t>ALEX RESTREPO CUENCAS</t>
  </si>
  <si>
    <t>CARRERA 22 NO 24-51</t>
  </si>
  <si>
    <t>TULUA HERRAJES</t>
  </si>
  <si>
    <t>MAURICIO AGUILLON</t>
  </si>
  <si>
    <t>CALLE 40 SUR NO 99 C 23</t>
  </si>
  <si>
    <t>ANGELICA BASTO</t>
  </si>
  <si>
    <t>DG 100 A NO 4-08</t>
  </si>
  <si>
    <t>LA ESMERANDA</t>
  </si>
  <si>
    <t xml:space="preserve">GIOVANNY NOGUERA </t>
  </si>
  <si>
    <t>PASTO MANZANA A CASA 12 NIZA 2</t>
  </si>
  <si>
    <t>DANIEL JULIAO</t>
  </si>
  <si>
    <t>CARRERA 143 #132A -46</t>
  </si>
  <si>
    <t>SUBA COMPARTIR</t>
  </si>
  <si>
    <t>CARLOS PINEDA</t>
  </si>
  <si>
    <t>CARRERA 24 G NO 18 30 SUR</t>
  </si>
  <si>
    <t>GRUPO EMPRESARIAL PINEDA</t>
  </si>
  <si>
    <t>901043207-0</t>
  </si>
  <si>
    <t>LOLA GUTIERREZ</t>
  </si>
  <si>
    <t>CALLE 64 A NO 111 C06</t>
  </si>
  <si>
    <t>VILLA GLADYS</t>
  </si>
  <si>
    <t>GINA MILENA AMORTEGUI CUELLAR</t>
  </si>
  <si>
    <t>CARRERA 10 D NO23 SUR -16</t>
  </si>
  <si>
    <t>MANUFACTURAS GABAL</t>
  </si>
  <si>
    <t>SANDRA GUERRERO</t>
  </si>
  <si>
    <t>TV 25 NO 29-42</t>
  </si>
  <si>
    <t>PRADOS DE ORIENTE</t>
  </si>
  <si>
    <t xml:space="preserve">OSCAR GOMEZ </t>
  </si>
  <si>
    <t xml:space="preserve">CALLE 139 NUMERO 94 90 </t>
  </si>
  <si>
    <t>TRES DC</t>
  </si>
  <si>
    <t>PAULA ANDRES TREJOS</t>
  </si>
  <si>
    <t>CALLE 66 # 108-17</t>
  </si>
  <si>
    <t>OSCAR ALCANTARA GONZALES</t>
  </si>
  <si>
    <t>AVENIDA CARRERA 30# 27A -45 SUR</t>
  </si>
  <si>
    <t>LORENA ROJAS</t>
  </si>
  <si>
    <t>CALLE 1280B # 121C -24</t>
  </si>
  <si>
    <t>JAVIER CANO</t>
  </si>
  <si>
    <t>KILOMETRO 22 AUT MEDELLIN BODEGA 57</t>
  </si>
  <si>
    <t>PRAGO</t>
  </si>
  <si>
    <t>900641557-5</t>
  </si>
  <si>
    <t>PROTECTORES ESTRUCTURAS METALICAS</t>
  </si>
  <si>
    <t>LUIS CABAS</t>
  </si>
  <si>
    <t>CARRERA 28 # 11-65</t>
  </si>
  <si>
    <t>MATICES COMUNICACION VISUAL SAS</t>
  </si>
  <si>
    <t>900547519-3</t>
  </si>
  <si>
    <t>GUSTAVO PORRAS</t>
  </si>
  <si>
    <t>PUEBLO QUIPILE VIA VILLETA_x000D_
(COGER VIA LA SIERRA SECTOR TABACAL.</t>
  </si>
  <si>
    <t>NORA MENDEZ</t>
  </si>
  <si>
    <t xml:space="preserve">TINTAL </t>
  </si>
  <si>
    <t>JUAN DAVID ALZATE</t>
  </si>
  <si>
    <t>CALLE 65 SUR NO 70 C 05</t>
  </si>
  <si>
    <t>YOIBER MARTOZ</t>
  </si>
  <si>
    <t>CARRERA 24 F NO 19 -72</t>
  </si>
  <si>
    <t>ROBINSON ROJAS</t>
  </si>
  <si>
    <t>CALLE 72 BIS SUR # 5 A-27</t>
  </si>
  <si>
    <t>GRANADA</t>
  </si>
  <si>
    <t>ALBEIRO ORTEGA</t>
  </si>
  <si>
    <t>YARI PAREJO</t>
  </si>
  <si>
    <t>CARRERA 33 NO 17-14</t>
  </si>
  <si>
    <t>KAMEL DOTACIONE SAS</t>
  </si>
  <si>
    <t>RUFINO ARIAS (ARICUEROS)</t>
  </si>
  <si>
    <t>ARICUEROS</t>
  </si>
  <si>
    <t>PELETERIA CUEROS</t>
  </si>
  <si>
    <t>JUAN PABLO ACUÑA</t>
  </si>
  <si>
    <t>CALLE 22 C # 18A-59</t>
  </si>
  <si>
    <t>SAN PER MENDOZA</t>
  </si>
  <si>
    <t>MORRAL PARA MOTO</t>
  </si>
  <si>
    <t>ALEXANDER CARDONA</t>
  </si>
  <si>
    <t>DISTINSUCALZ</t>
  </si>
  <si>
    <t>JUAN DE JESUS SANTANA</t>
  </si>
  <si>
    <t>CALLE 81 A NO 44 A 70 SUR</t>
  </si>
  <si>
    <t>CHAQUETAS Y CHALECOS</t>
  </si>
  <si>
    <t>JHON FRANCO</t>
  </si>
  <si>
    <t>CALLE 14 NO 10-27</t>
  </si>
  <si>
    <t>CENTRO BOGOTA</t>
  </si>
  <si>
    <t>ESPUARTE MIX</t>
  </si>
  <si>
    <t>LORENA HERNANDEZ</t>
  </si>
  <si>
    <t xml:space="preserve">CALLE 17 NO 39-81 </t>
  </si>
  <si>
    <t>VANESA GOMEZ</t>
  </si>
  <si>
    <t>CARRERA 4 ESTE # 90D-81 SUR</t>
  </si>
  <si>
    <t>JOSE VICENTE AREVALO NOGUERA</t>
  </si>
  <si>
    <t>CALLE 31 A NO 68 C -70 SUR</t>
  </si>
  <si>
    <t>FLORALIA</t>
  </si>
  <si>
    <t>BIOCOMPLEMENT SAS</t>
  </si>
  <si>
    <t>900351191-9</t>
  </si>
  <si>
    <t>HENRY VELASCO</t>
  </si>
  <si>
    <t>CARRERA 13 C NO 31 F 26 SUR</t>
  </si>
  <si>
    <t>TEREZA DELGADO</t>
  </si>
  <si>
    <t>DG 13 BIS NO 24-19</t>
  </si>
  <si>
    <t>MARCO ZULUETA</t>
  </si>
  <si>
    <t>CARRERA 72 BIS NO 73-68</t>
  </si>
  <si>
    <t>CENTRO INTERNACIONBAL DE INVERSIONES SAS</t>
  </si>
  <si>
    <t>900055370-1</t>
  </si>
  <si>
    <t>sentrodeimagen@live.com</t>
  </si>
  <si>
    <t>ANGELICA LAVERDE</t>
  </si>
  <si>
    <t>1013613306-3</t>
  </si>
  <si>
    <t>PELETERIA Y FABRICA DE MORRAL</t>
  </si>
  <si>
    <t>MARIA EUGENIA SERNA</t>
  </si>
  <si>
    <t>CRR 68 H 75 33</t>
  </si>
  <si>
    <t>JHON VILLAREAL</t>
  </si>
  <si>
    <t>VALLE DE SAN JOSE</t>
  </si>
  <si>
    <t xml:space="preserve">CRISTIAN  JOHANA </t>
  </si>
  <si>
    <t xml:space="preserve">ELMAYORISTA </t>
  </si>
  <si>
    <t xml:space="preserve">YOLIMESA </t>
  </si>
  <si>
    <t xml:space="preserve">CRR 74 ANUMERO40 A42 SUR </t>
  </si>
  <si>
    <t>TIMIZA</t>
  </si>
  <si>
    <t>OSCAR RESTREPO</t>
  </si>
  <si>
    <t>CARRERA 89 NO 70 A -21 SUR</t>
  </si>
  <si>
    <t>BOSA PALESTINA</t>
  </si>
  <si>
    <t>BOGC</t>
  </si>
  <si>
    <t>CARMEN HELENA CARVAJAL</t>
  </si>
  <si>
    <t>CALLE 26 NO 42 A 32 TERCER PISO</t>
  </si>
  <si>
    <t>BATAS QUIRURJICAS</t>
  </si>
  <si>
    <t>JUAN GARZON</t>
  </si>
  <si>
    <t>CARREA 2 #72-26 SUR</t>
  </si>
  <si>
    <t>AURORA</t>
  </si>
  <si>
    <t>ALFOMBRA</t>
  </si>
  <si>
    <t>ALVARO GONZALEZ</t>
  </si>
  <si>
    <t>CALLE 45 NO 13-41 LOCAL 7</t>
  </si>
  <si>
    <t>PALERMO</t>
  </si>
  <si>
    <t>NOMADA CAMPING LTDA</t>
  </si>
  <si>
    <t>830031518-7</t>
  </si>
  <si>
    <t>LEIDI OVIEDO</t>
  </si>
  <si>
    <t>TRANS 11 F SUR # 6-15</t>
  </si>
  <si>
    <t>JHON FREDY SETINA</t>
  </si>
  <si>
    <t>CALLE 22 # 4 A-01</t>
  </si>
  <si>
    <t>BOLSOS MILITARES</t>
  </si>
  <si>
    <t>YEIMI CARDENAS</t>
  </si>
  <si>
    <t>CARRERA 68L NO 37D 03 SUR _x000D_
CARVAJAL (3006009099)</t>
  </si>
  <si>
    <t>WILSON MONOGA</t>
  </si>
  <si>
    <t>CALLE 13 SUR #24H-16</t>
  </si>
  <si>
    <t>LA CAMPINA</t>
  </si>
  <si>
    <t>WILMOCOL SAS</t>
  </si>
  <si>
    <t>900930749-2</t>
  </si>
  <si>
    <t>BOLSOS ESTUCHES</t>
  </si>
  <si>
    <t>CLEMENTE GUTIERREZ</t>
  </si>
  <si>
    <t>INAMSILICO SAS</t>
  </si>
  <si>
    <t>DIAGONAL 33 BIS A NO 14-62</t>
  </si>
  <si>
    <t>900119778-9</t>
  </si>
  <si>
    <t>ANDRES DEVIA</t>
  </si>
  <si>
    <t>JUAN MORALES</t>
  </si>
  <si>
    <t>CALLE 88 SUR NO 8 -86 ESTE</t>
  </si>
  <si>
    <t>LOS PINOS</t>
  </si>
  <si>
    <t>JHON FREDY GUTIERREZ</t>
  </si>
  <si>
    <t>CALLE 19 No 20 - 75</t>
  </si>
  <si>
    <t>ARANJUEZ</t>
  </si>
  <si>
    <t>SURTIBOLSOS</t>
  </si>
  <si>
    <t>ESPERANZA LUQUE FONSECA</t>
  </si>
  <si>
    <t>CARRERA 69 F NO 5 A -15</t>
  </si>
  <si>
    <t>NUEVA MARCELLA</t>
  </si>
  <si>
    <t>51625943</t>
  </si>
  <si>
    <t>NATURAL</t>
  </si>
  <si>
    <t>JHON SUBA</t>
  </si>
  <si>
    <t xml:space="preserve">CALLE 129 A # 93 A 51 </t>
  </si>
  <si>
    <t xml:space="preserve">SUBA RINCON </t>
  </si>
  <si>
    <t xml:space="preserve">PLASTICOS Y VINILOS JM </t>
  </si>
  <si>
    <t>80178979-0</t>
  </si>
  <si>
    <t>SITIOS DE COMERCIO</t>
  </si>
  <si>
    <t>MARIA RODRIGUEZ</t>
  </si>
  <si>
    <t xml:space="preserve">VIVIANA CORREDOR </t>
  </si>
  <si>
    <t>CALLE 32 SUR NU 24 A 15</t>
  </si>
  <si>
    <t>MURILLO TORO</t>
  </si>
  <si>
    <t>46681960-4</t>
  </si>
  <si>
    <t>RONALD DIAZ</t>
  </si>
  <si>
    <t>CARRERA 24 F NO20-10</t>
  </si>
  <si>
    <t>79747166-8</t>
  </si>
  <si>
    <t>BOLSOS ZAPATOS</t>
  </si>
  <si>
    <t>BELLANID MENDEZ</t>
  </si>
  <si>
    <t>65715592-4</t>
  </si>
  <si>
    <t>CARRERA 91 C NUMERO 2-90</t>
  </si>
  <si>
    <t>ROSALBA RIVERA</t>
  </si>
  <si>
    <t>CALLE 9 NO 9-36</t>
  </si>
  <si>
    <t>MANUFACTURAS MILITARES EBERETS</t>
  </si>
  <si>
    <t>JOSE SABA</t>
  </si>
  <si>
    <t>CALLE 23 A SUR NO 12 83</t>
  </si>
  <si>
    <t>SAN JSE</t>
  </si>
  <si>
    <t>FAJAS</t>
  </si>
  <si>
    <t>JENIFER PEDROZA</t>
  </si>
  <si>
    <t>CARRERA 25 NO 66-62</t>
  </si>
  <si>
    <t>ROBEIRO HURTADO</t>
  </si>
  <si>
    <t>CALLE 41 B SUR NUMERO 31 8 ESTE</t>
  </si>
  <si>
    <t>SAN MARTIN</t>
  </si>
  <si>
    <t>JUAN CASTRO</t>
  </si>
  <si>
    <t>AV 68 NUMERO 10 A 76</t>
  </si>
  <si>
    <t>SALAZAR GOMEZ</t>
  </si>
  <si>
    <t>JORGE GOMEZ</t>
  </si>
  <si>
    <t>TRANSVERSAL 24 I NO 15-32 SUR</t>
  </si>
  <si>
    <t>PROTECAL LTDA</t>
  </si>
  <si>
    <t>900106094-3</t>
  </si>
  <si>
    <t>JACKSON ARLEY MISE RODRIGUEZ</t>
  </si>
  <si>
    <t>CALLE 5N # 11-05</t>
  </si>
  <si>
    <t>ANTONIO NARIÑO</t>
  </si>
  <si>
    <t>SINTETICO</t>
  </si>
  <si>
    <t>GLORIA YEPEZ</t>
  </si>
  <si>
    <t>CALLE 6 #24-18</t>
  </si>
  <si>
    <t>BOGOTA DC</t>
  </si>
  <si>
    <t xml:space="preserve">MORRAL </t>
  </si>
  <si>
    <t>LUIS HENRIQUE OROZCO</t>
  </si>
  <si>
    <t>DIAGONAL 51 C NUMERO 54 A 36 SUR</t>
  </si>
  <si>
    <t>MARCELA BOLAÑOS</t>
  </si>
  <si>
    <t>FAUSTINO NOVOA</t>
  </si>
  <si>
    <t xml:space="preserve">CALLE 58 BIS SUR NUMERO 44 04 </t>
  </si>
  <si>
    <t>LORENA LUIS GIRON</t>
  </si>
  <si>
    <t>CARRERA 22 No 24-14</t>
  </si>
  <si>
    <t>TULUA VALLE</t>
  </si>
  <si>
    <t>OSCAR ESCOBAR</t>
  </si>
  <si>
    <t>900325085-6</t>
  </si>
  <si>
    <t>KL 8 VIA LA ROMELIA EL POLLO</t>
  </si>
  <si>
    <t>ANEXA A LA EMPRESA CALIPLASTICOS</t>
  </si>
  <si>
    <t xml:space="preserve">                                                                                                                                                                                                                             </t>
  </si>
  <si>
    <t>HUMBERTO SACHEZ</t>
  </si>
  <si>
    <t>CALLE 54 A NO 88 I - 63</t>
  </si>
  <si>
    <t>BOSA BRASIL 1 SECTOR</t>
  </si>
  <si>
    <t>JAVIER SANTOS</t>
  </si>
  <si>
    <t>CALLE 105 NO 30-09 PISO 2 DIAMANTE 1</t>
  </si>
  <si>
    <t>ISRAEL LINARES</t>
  </si>
  <si>
    <t>CAR 4 D BIS NO 56-18 SUR</t>
  </si>
  <si>
    <t>DANUBIO SUR</t>
  </si>
  <si>
    <t>JOSE EMILIO DELGADO</t>
  </si>
  <si>
    <t>CALLE 75 B NUMERO 8 D 52</t>
  </si>
  <si>
    <t>79760905-8</t>
  </si>
  <si>
    <t xml:space="preserve">CALLE 52 NUMERO 52 52 SUR </t>
  </si>
  <si>
    <t>OSCAR MENDIENTA</t>
  </si>
  <si>
    <t>CALLE 48 Z SUR # 5A-44</t>
  </si>
  <si>
    <t>LUZ MARINA SEGURA</t>
  </si>
  <si>
    <t>CALLE 1 A BIS No 35 - 85</t>
  </si>
  <si>
    <t>LIGA MILITAR</t>
  </si>
  <si>
    <t>40759887-1</t>
  </si>
  <si>
    <t>JESUS YOVANY ORDOÑES</t>
  </si>
  <si>
    <t>MZ A CASA 4</t>
  </si>
  <si>
    <t>JESUS SAMUDIO</t>
  </si>
  <si>
    <t>CALLE 67 # 63-51</t>
  </si>
  <si>
    <t>BOGOTA D,C,</t>
  </si>
  <si>
    <t>JESU8S SAMUDIO</t>
  </si>
  <si>
    <t>BLANCA FLOR DIAS</t>
  </si>
  <si>
    <t>CARRERA 78 F NO 42 B 26</t>
  </si>
  <si>
    <t>MONTURAS PARA CABALLOS</t>
  </si>
  <si>
    <t>TATIANA CARTAGENA</t>
  </si>
  <si>
    <t xml:space="preserve">MZ F CASA 4 </t>
  </si>
  <si>
    <t>BERNARDO SIMBAQUEBA</t>
  </si>
  <si>
    <t>CALLE 30 # 24B -23</t>
  </si>
  <si>
    <t>JAIME GOMEZ</t>
  </si>
  <si>
    <t>CRA 19 P NO 11-33</t>
  </si>
  <si>
    <t>JIOVANNY VEGA</t>
  </si>
  <si>
    <t>CARRERA 12 NO 5 B 12</t>
  </si>
  <si>
    <t>CHAQUETA OARA MOTO</t>
  </si>
  <si>
    <t>JAIME MORALES</t>
  </si>
  <si>
    <t>ALEXARDER HURTADO</t>
  </si>
  <si>
    <t>CARRERA 12 H BIS A NUMERO 27 B 04 SUR</t>
  </si>
  <si>
    <t>CHALECOS</t>
  </si>
  <si>
    <t>PANITEX SAS</t>
  </si>
  <si>
    <t>900291997-1</t>
  </si>
  <si>
    <t>CALLE 128A # 57B-69</t>
  </si>
  <si>
    <t>LEOVIGILDO ORTIZ</t>
  </si>
  <si>
    <t>CALLE 52 NO 11-58</t>
  </si>
  <si>
    <t>JUAN CARLOS HERRERA</t>
  </si>
  <si>
    <t>CARRERA 68 B # 1-81 SUR</t>
  </si>
  <si>
    <t>FLOR4ESTA SUR</t>
  </si>
  <si>
    <t>80791985-3</t>
  </si>
  <si>
    <t>MALETAS</t>
  </si>
  <si>
    <t>LEIDY MARTINEZ</t>
  </si>
  <si>
    <t>SANTARDER</t>
  </si>
  <si>
    <t>ANCIZAR MENESES</t>
  </si>
  <si>
    <t>CRERA 65 B #62-20 SUR</t>
  </si>
  <si>
    <t>VICENTE AREVALO</t>
  </si>
  <si>
    <t>CALLE 31A #68C-70 SUR</t>
  </si>
  <si>
    <t>BARRIO FLORARIA</t>
  </si>
  <si>
    <t>LAURENTINO ORTIZ</t>
  </si>
  <si>
    <t>CARRERA 76B # 61C-62 SU7R</t>
  </si>
  <si>
    <t>MARINA CABALLERO</t>
  </si>
  <si>
    <t>YEIMI RAMOS</t>
  </si>
  <si>
    <t>TRANSVERSAL 74#83A-23</t>
  </si>
  <si>
    <t>MORISCOS</t>
  </si>
  <si>
    <t>RAMON ARIAS</t>
  </si>
  <si>
    <t xml:space="preserve">CARRE 11 B #43 30 </t>
  </si>
  <si>
    <t>CALARCA</t>
  </si>
  <si>
    <t>RAMOS ARIAS</t>
  </si>
  <si>
    <t>JAIRO PULIDO</t>
  </si>
  <si>
    <t>CARRERA 9 NO 9-45</t>
  </si>
  <si>
    <t>CARLOS HERNADEZ</t>
  </si>
  <si>
    <t>OMAR GUTIERREZ</t>
  </si>
  <si>
    <t>CALLE 36 J NO 119 B -65</t>
  </si>
  <si>
    <t>SANDALIAS DESECHABLES</t>
  </si>
  <si>
    <t xml:space="preserve">MARTHA CONTRERAS </t>
  </si>
  <si>
    <t xml:space="preserve">CALLE 18 SUR NUMERO 24 F 21 </t>
  </si>
  <si>
    <t xml:space="preserve">DANIEL RIOS </t>
  </si>
  <si>
    <t>DANIEL RIOS</t>
  </si>
  <si>
    <t>LEIDY JOHANA PALACIO</t>
  </si>
  <si>
    <t>BOLSAS Y ROPA IMPERMEABLE</t>
  </si>
  <si>
    <t>AGENDARTE SAS</t>
  </si>
  <si>
    <t>CALLE 71#69K-13</t>
  </si>
  <si>
    <t>LA ESTRADA</t>
  </si>
  <si>
    <t>900378428-6</t>
  </si>
  <si>
    <t>CARPETAS</t>
  </si>
  <si>
    <t>GILBERTO URREGO</t>
  </si>
  <si>
    <t>TV 198 NO 69 A -34 SUR</t>
  </si>
  <si>
    <t>JUAN PABLO</t>
  </si>
  <si>
    <t>MORRALETRO</t>
  </si>
  <si>
    <t>CAMILO ROJAS</t>
  </si>
  <si>
    <t>SUIZOS CONTEMPORANEOS</t>
  </si>
  <si>
    <t>830112111-1</t>
  </si>
  <si>
    <t>CRISTINA BOLAÑOS</t>
  </si>
  <si>
    <t>CALLE 17 NO 10 A -46</t>
  </si>
  <si>
    <t>KEVIN SALGADO</t>
  </si>
  <si>
    <t>CARRERA 111#140A11</t>
  </si>
  <si>
    <t>BOGOTA D .C</t>
  </si>
  <si>
    <t>CERONS</t>
  </si>
  <si>
    <t>ALEJANDRO RAMIREZ</t>
  </si>
  <si>
    <t>900725269-0</t>
  </si>
  <si>
    <t xml:space="preserve">CALLE 3 SUR N. 19 46 </t>
  </si>
  <si>
    <t>ELE DE COLOMBIA SAS</t>
  </si>
  <si>
    <t>JOGER LEONARDO GAITAN</t>
  </si>
  <si>
    <t>BOGOTA D. C</t>
  </si>
  <si>
    <t>BRAYAN RIAÑO</t>
  </si>
  <si>
    <t>CARRERA 29B BIS 31a-70</t>
  </si>
  <si>
    <t>ANDREA ARCINIEGAS</t>
  </si>
  <si>
    <t>CALLE 34 SUR NO 52 79</t>
  </si>
  <si>
    <t>ALKACA</t>
  </si>
  <si>
    <t>INFLABES</t>
  </si>
  <si>
    <t>OLMED MENDEZ</t>
  </si>
  <si>
    <t>EDUIN LUNA</t>
  </si>
  <si>
    <t>CARRERA24DN17DIC</t>
  </si>
  <si>
    <t>BOGOTAD.C</t>
  </si>
  <si>
    <t>JUAN SANTANA</t>
  </si>
  <si>
    <t xml:space="preserve">AURA MARIA SANTOS </t>
  </si>
  <si>
    <t>CALLE 74ASURN7288</t>
  </si>
  <si>
    <t>PERDOMOI</t>
  </si>
  <si>
    <t>BOGOTADC</t>
  </si>
  <si>
    <t>MAGNOLIA SILVA</t>
  </si>
  <si>
    <t xml:space="preserve">TRANVERSAL 50NUMERO 69 B 27 SUR </t>
  </si>
  <si>
    <t>FREDY ALVAREZ PARRAGA</t>
  </si>
  <si>
    <t>900141041-1</t>
  </si>
  <si>
    <t>CARRERA 24#16-31</t>
  </si>
  <si>
    <t>BUSINESS SPORT GROUP</t>
  </si>
  <si>
    <t>TULAS Y BOLSAS EN CAMBRE</t>
  </si>
  <si>
    <t>GRACIELA OSPINA</t>
  </si>
  <si>
    <t>DIAGONAL 13 BIS SUR NO 24 B 40</t>
  </si>
  <si>
    <t xml:space="preserve">BOGOTA DC </t>
  </si>
  <si>
    <t>JULIAN CARVAJAL</t>
  </si>
  <si>
    <t xml:space="preserve">COLCHONES </t>
  </si>
  <si>
    <t>UNION TEMPORAL MOVILIDAD CALI2018</t>
  </si>
  <si>
    <t>901222712-7</t>
  </si>
  <si>
    <t>CARRERA40A</t>
  </si>
  <si>
    <t>EMILIO  ARDILA</t>
  </si>
  <si>
    <t>AVENIDA PRIMERA DE MAYO N71F 09</t>
  </si>
  <si>
    <t>PRIMERA DE MAYO</t>
  </si>
  <si>
    <t>IMPRECION DIGITAL</t>
  </si>
  <si>
    <t>ASDRUBAL ORTIZ</t>
  </si>
  <si>
    <t>CARRERA 13#17-32</t>
  </si>
  <si>
    <t>FLORENCIA</t>
  </si>
  <si>
    <t>TALABARTERIA DE CABALLO</t>
  </si>
  <si>
    <t>SILLAS P0ARA CABALLOS</t>
  </si>
  <si>
    <t>FREDY HURTADO</t>
  </si>
  <si>
    <t>CALLE 15 SUR NUMERO 24 58</t>
  </si>
  <si>
    <t>FH FREELANCE PUBLICIDAD</t>
  </si>
  <si>
    <t>80513461</t>
  </si>
  <si>
    <t>LAURA CARDENAS</t>
  </si>
  <si>
    <t>CALLE 163 A N. 8 -08</t>
  </si>
  <si>
    <t>MANUFACTURA BOCK</t>
  </si>
  <si>
    <t>JHON SALDOBAL</t>
  </si>
  <si>
    <t>YEFFERSON ORLANDO TAPIERO CAPERA</t>
  </si>
  <si>
    <t>FELIPE LEONARDO BARGAS</t>
  </si>
  <si>
    <t>CALLE 64B N103A 72</t>
  </si>
  <si>
    <t>EL MAR</t>
  </si>
  <si>
    <t>CAMILO VANEGAS</t>
  </si>
  <si>
    <t>CALLE 48 A SUR # 88C-10</t>
  </si>
  <si>
    <t>MARGARITAS OCCIDENTAL</t>
  </si>
  <si>
    <t>OSCAR ZAMUDIO</t>
  </si>
  <si>
    <t>MESITAS</t>
  </si>
  <si>
    <t>EDIXON VENAVIES</t>
  </si>
  <si>
    <t>CARERA 23 G N. 35 -67</t>
  </si>
  <si>
    <t xml:space="preserve">NANCY ROJAS </t>
  </si>
  <si>
    <t>CARIGUAMA</t>
  </si>
  <si>
    <t>ANDRES SARMENTO</t>
  </si>
  <si>
    <t>BOGATA</t>
  </si>
  <si>
    <t>JANETH ROJAS PINZON</t>
  </si>
  <si>
    <t>CARRERA 30#41A-64</t>
  </si>
  <si>
    <t>LA GRAMA</t>
  </si>
  <si>
    <t>VILLAVICENCIO META</t>
  </si>
  <si>
    <t>60362592-1</t>
  </si>
  <si>
    <t>ASSESORIOS MILITARES</t>
  </si>
  <si>
    <t>PRENDAS MILITAR</t>
  </si>
  <si>
    <t>LUCIO FELIPE CORTEZ</t>
  </si>
  <si>
    <t xml:space="preserve">CARRERA 68 NU 65 60 </t>
  </si>
  <si>
    <t xml:space="preserve">NORBERTO YELA </t>
  </si>
  <si>
    <t>CALLE 40 G SUR 80 H 13</t>
  </si>
  <si>
    <t>AMPARO</t>
  </si>
  <si>
    <t>CESAR VECERA</t>
  </si>
  <si>
    <t>CALLE 6 N18 65</t>
  </si>
  <si>
    <t>ASTANZUELA</t>
  </si>
  <si>
    <t xml:space="preserve">MARTHA LILIANA BUALVAS </t>
  </si>
  <si>
    <t xml:space="preserve">CALLE 71 A 107 A 10 </t>
  </si>
  <si>
    <t>ORLANDO DELGADO</t>
  </si>
  <si>
    <t>CALLE 17NA10 46</t>
  </si>
  <si>
    <t>CIUDA GARBIEN</t>
  </si>
  <si>
    <t xml:space="preserve">NESTOR CARDOZO TORRA </t>
  </si>
  <si>
    <t xml:space="preserve">CALLE 60 # 37 W 27 </t>
  </si>
  <si>
    <t>ESTORAQUES</t>
  </si>
  <si>
    <t>COSTURA INDUSTRIAL NC</t>
  </si>
  <si>
    <t>12614054-7</t>
  </si>
  <si>
    <t>ANULFO TRUJILLOO</t>
  </si>
  <si>
    <t>CARRE19A N1616 SUR</t>
  </si>
  <si>
    <t>LORENA FRANCO</t>
  </si>
  <si>
    <t>JHON JAIRO PINEDA</t>
  </si>
  <si>
    <t>DIAGONAL 40# 37-19</t>
  </si>
  <si>
    <t>HECTOR MUÑOS</t>
  </si>
  <si>
    <t>CALLE 22K N 104 91</t>
  </si>
  <si>
    <t>FOTINBON</t>
  </si>
  <si>
    <t>WILLIAM QUIMBAYA</t>
  </si>
  <si>
    <t>CARRERA 9 NO 21 A 88 SUR</t>
  </si>
  <si>
    <t>CREACIONES NAILLIW</t>
  </si>
  <si>
    <t>19394670-4</t>
  </si>
  <si>
    <t>JHONATAN FONTEKA</t>
  </si>
  <si>
    <t>CARRE25 N17B 17SUR</t>
  </si>
  <si>
    <t>CAMILO GAONA</t>
  </si>
  <si>
    <t>CALLE111 70 08</t>
  </si>
  <si>
    <t>SANTA ROSA</t>
  </si>
  <si>
    <t>WILSON BERMUDEZ</t>
  </si>
  <si>
    <t>DIAGONAL 40 SUR  34 D 63</t>
  </si>
  <si>
    <t>PEDRO GOMEZ V.</t>
  </si>
  <si>
    <t>CALLE 67 NO 63 -74</t>
  </si>
  <si>
    <t>JOSE JOAQUIN VARGAS</t>
  </si>
  <si>
    <t>PRODUCTORA MULTIPAK</t>
  </si>
  <si>
    <t>900049262-1</t>
  </si>
  <si>
    <t>MORRAL Y PUBLICIDAD</t>
  </si>
  <si>
    <t>DIEGO GUTIERREZ</t>
  </si>
  <si>
    <t xml:space="preserve">CARRERA 33 N. 34 -33 A SUR </t>
  </si>
  <si>
    <t>MANUEL GOMEZ</t>
  </si>
  <si>
    <t>CARRERA 97 20 B 76</t>
  </si>
  <si>
    <t>ANGUIE DIAZ</t>
  </si>
  <si>
    <t>CARERRA 7 N. 6 - 16 SUR  BLOQUE 13 APR 203</t>
  </si>
  <si>
    <t>SANDRA GARZON</t>
  </si>
  <si>
    <t>CALLE 19 A SUR 24 C 30</t>
  </si>
  <si>
    <t>NAPOLES PELETERIA</t>
  </si>
  <si>
    <t>DIANA MARCELA VERGARA</t>
  </si>
  <si>
    <t>CARRERA 80C N 10 15</t>
  </si>
  <si>
    <t>LAGO CASTILLA</t>
  </si>
  <si>
    <t>YUDELY CASTRO</t>
  </si>
  <si>
    <t>CARRERA 90 C NO 6 A 31 CASA 2-24</t>
  </si>
  <si>
    <t>TINTAL.</t>
  </si>
  <si>
    <t>DISTRIBUCIONES DYM LTDA</t>
  </si>
  <si>
    <t>900367077-7</t>
  </si>
  <si>
    <t>JACOB PARAMO</t>
  </si>
  <si>
    <t>CALLE 71 SUR N. 26 D 11</t>
  </si>
  <si>
    <t>BELLA VISTA</t>
  </si>
  <si>
    <t>MOISES SANTRICH</t>
  </si>
  <si>
    <t>CALLE 31 N. 40-37</t>
  </si>
  <si>
    <t>JOSE CORREA RUIZ</t>
  </si>
  <si>
    <t>CALLE 52 N. 13 D 16 SUR</t>
  </si>
  <si>
    <t>ALFONSO MAHECHA</t>
  </si>
  <si>
    <t xml:space="preserve">DIAGONAL 18 SUR N 30-68 </t>
  </si>
  <si>
    <t xml:space="preserve">VICTOR INSUASTI </t>
  </si>
  <si>
    <t>LA HORMIGA</t>
  </si>
  <si>
    <t>PUTUMAYO</t>
  </si>
  <si>
    <t xml:space="preserve">DANIEL RICO </t>
  </si>
  <si>
    <t>CENTRO COMERCIAL CARRERA LOCAL  106</t>
  </si>
  <si>
    <t>JHON CRUZ</t>
  </si>
  <si>
    <t xml:space="preserve">AVENIDA JIMENEZ N. 12 -74 CENTRO COMERCIAL POPULAR </t>
  </si>
  <si>
    <t>JOHN JAIRO RODRIGUEZ</t>
  </si>
  <si>
    <t xml:space="preserve">CALLE 42 B N. 90 A 76 SUR </t>
  </si>
  <si>
    <t>HECTOR ORTIZ</t>
  </si>
  <si>
    <t>CALLE 55 #14-38</t>
  </si>
  <si>
    <t>EL REPOSO</t>
  </si>
  <si>
    <t>FLORIDA BLANCA</t>
  </si>
  <si>
    <t>ANDRES MORENO</t>
  </si>
  <si>
    <t>PUFH</t>
  </si>
  <si>
    <t>FERNEY PATIÑO</t>
  </si>
  <si>
    <t>DIAGONAL 52 A SUR N. 31 - 27</t>
  </si>
  <si>
    <t>EL CARMEN FONTIBON</t>
  </si>
  <si>
    <t xml:space="preserve">HERMINDO ALBIS </t>
  </si>
  <si>
    <t xml:space="preserve">SIERRA MORENA </t>
  </si>
  <si>
    <t>CARLOS AUGUSTO MONTOYA</t>
  </si>
  <si>
    <t>ELIAS CAISA</t>
  </si>
  <si>
    <t>CALLE16 SUR 10-92</t>
  </si>
  <si>
    <t>EDWARD SANCHEZ</t>
  </si>
  <si>
    <t>CARRERA 12 N. 37- 09</t>
  </si>
  <si>
    <t>MANUELA BELTRAN</t>
  </si>
  <si>
    <t>ENRIQUE SOLER</t>
  </si>
  <si>
    <t>CALLE 180 NO 12 A 16</t>
  </si>
  <si>
    <t>ANDA LUCIA</t>
  </si>
  <si>
    <t>JEINER RODRIGUEZ</t>
  </si>
  <si>
    <t>CALLE 65 SUR 62 88</t>
  </si>
  <si>
    <t xml:space="preserve">ISLA DEL SOL </t>
  </si>
  <si>
    <t>CARLOS SANCHEZ</t>
  </si>
  <si>
    <t>MANZANA 18 CASA 16 SEGUNDA ETAPA</t>
  </si>
  <si>
    <t>SIMON BOLIVAR</t>
  </si>
  <si>
    <t>EDGAR MARINO</t>
  </si>
  <si>
    <t xml:space="preserve">CALLE 53 #50-00 ESTE </t>
  </si>
  <si>
    <t xml:space="preserve">SOACHA </t>
  </si>
  <si>
    <t>JULIETH TATIANA PINZON RAMIREZ</t>
  </si>
  <si>
    <t>CARRERA  79 G#40-66SUR</t>
  </si>
  <si>
    <t>JOHN ARIAS ZULUAGA</t>
  </si>
  <si>
    <t>CARRERA 34 A N 36 39</t>
  </si>
  <si>
    <t>ARMY SAS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</si>
  <si>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</si>
  <si>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</si>
  <si>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</si>
  <si>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</si>
  <si>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</si>
  <si>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</si>
  <si>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</si>
  <si>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</si>
  <si>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</si>
  <si>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</si>
  <si>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</si>
  <si>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</si>
  <si>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</si>
  <si>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</si>
  <si>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</si>
  <si>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</si>
  <si>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</si>
  <si>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</si>
  <si>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</si>
  <si>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</si>
  <si>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</si>
  <si>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</si>
  <si>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</si>
  <si>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</si>
  <si>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</si>
  <si>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</si>
  <si>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</si>
  <si>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</si>
  <si>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</si>
  <si>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</si>
  <si>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</si>
  <si>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</si>
  <si>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</si>
  <si>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</si>
  <si>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</si>
  <si>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</si>
  <si>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</si>
  <si>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</si>
  <si>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</si>
  <si>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</si>
  <si>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</si>
  <si>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</si>
  <si>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</si>
  <si>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</si>
  <si>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</si>
  <si>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</si>
  <si>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</si>
  <si>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</si>
  <si>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</si>
  <si>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</si>
  <si>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</si>
  <si>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</si>
  <si>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</si>
  <si>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</si>
  <si>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</si>
  <si>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</si>
  <si>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</si>
  <si>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</si>
  <si>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</si>
  <si>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</si>
  <si>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</si>
  <si>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</si>
  <si>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</si>
  <si>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</si>
  <si>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</si>
  <si>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</si>
  <si>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</si>
  <si>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</si>
  <si>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</si>
  <si>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</si>
  <si>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</si>
  <si>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</si>
  <si>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</si>
  <si>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</si>
  <si>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</si>
  <si>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</si>
  <si>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</si>
  <si>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</si>
  <si>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</si>
  <si>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</si>
  <si>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</si>
  <si>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</si>
  <si>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</si>
  <si>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</si>
  <si>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</si>
  <si>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</si>
  <si>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</si>
  <si>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</si>
  <si>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</si>
  <si>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</si>
  <si>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</si>
  <si>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</si>
  <si>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</si>
  <si>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</si>
  <si>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</si>
  <si>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</si>
  <si>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</si>
  <si>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</si>
  <si>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</si>
  <si>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</si>
  <si>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</si>
  <si>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</si>
  <si>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</si>
  <si>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</si>
  <si>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</si>
  <si>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</si>
  <si>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</si>
  <si>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</si>
  <si>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</si>
  <si>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</si>
  <si>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</si>
  <si>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</si>
  <si>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</si>
  <si>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</si>
  <si>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</si>
  <si>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</si>
  <si>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</si>
  <si>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</si>
  <si>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</si>
  <si>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</si>
  <si>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</si>
  <si>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</si>
  <si>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</si>
  <si>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</si>
  <si>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</si>
  <si>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</si>
  <si>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</si>
  <si>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</si>
  <si>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</si>
  <si>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</si>
  <si>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</si>
  <si>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</si>
  <si>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</si>
  <si>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</si>
  <si>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</si>
  <si>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</si>
  <si>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</si>
  <si>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</si>
  <si>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</si>
  <si>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</si>
  <si>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</si>
  <si>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</si>
  <si>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</si>
  <si>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</si>
  <si>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</si>
  <si>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</si>
  <si>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</si>
  <si>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</si>
  <si>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</si>
  <si>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</si>
  <si>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</si>
  <si>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</si>
  <si>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</si>
  <si>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</si>
  <si>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</si>
  <si>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</si>
  <si>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</si>
  <si>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</si>
  <si>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</si>
  <si>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</si>
  <si>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</si>
  <si>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</si>
  <si>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</si>
  <si>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</si>
  <si>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</si>
  <si>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</si>
  <si>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</si>
  <si>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</si>
  <si>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</si>
  <si>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</si>
  <si>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</si>
  <si>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</si>
  <si>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</si>
  <si>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</si>
  <si>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</si>
  <si>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</si>
  <si>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</si>
  <si>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</si>
  <si>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</si>
  <si>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</si>
  <si>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</si>
  <si>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</si>
  <si>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</si>
  <si>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</si>
  <si>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</si>
  <si>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</si>
  <si>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</si>
  <si>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</si>
  <si>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</si>
  <si>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</si>
  <si>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</si>
  <si>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</si>
  <si>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</si>
  <si>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</si>
  <si>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</si>
  <si>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</si>
  <si>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</si>
  <si>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</si>
  <si>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</si>
  <si>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</si>
  <si>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</si>
  <si>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</si>
  <si>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</si>
  <si>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</si>
  <si>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</si>
  <si>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</si>
  <si>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</si>
  <si>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</si>
  <si>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</si>
  <si>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</si>
  <si>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</si>
  <si>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</si>
  <si>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</si>
  <si>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</si>
  <si>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</si>
  <si>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</si>
  <si>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</si>
  <si>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</si>
  <si>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</si>
  <si>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</si>
  <si>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</si>
  <si>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</si>
  <si>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</si>
  <si>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</si>
  <si>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</si>
  <si>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</si>
  <si>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</si>
  <si>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</si>
  <si>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</si>
  <si>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</si>
  <si>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</si>
  <si>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</si>
  <si>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</si>
  <si>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</si>
  <si>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</si>
  <si>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</si>
  <si>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</si>
  <si>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</si>
  <si>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</si>
  <si>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</si>
  <si>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</si>
  <si>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</si>
  <si>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</si>
  <si>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</si>
  <si>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</si>
  <si>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</si>
  <si>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</si>
  <si>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</si>
  <si>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</si>
  <si>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</si>
  <si>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</si>
  <si>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</si>
  <si>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</si>
  <si>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</si>
  <si>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</si>
  <si>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</si>
  <si>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</si>
  <si>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</si>
  <si>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</si>
  <si>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</si>
  <si>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</si>
  <si>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</si>
  <si>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</si>
  <si>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</si>
  <si>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</si>
  <si>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</si>
  <si>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</si>
  <si>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</si>
  <si>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</si>
  <si>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</si>
  <si>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</si>
  <si>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</si>
  <si>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</si>
  <si>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</si>
  <si>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</si>
  <si>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</si>
  <si>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</si>
  <si>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</si>
  <si>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</si>
  <si>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</si>
  <si>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</si>
  <si>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</si>
  <si>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</si>
  <si>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</si>
  <si>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</si>
  <si>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</si>
  <si>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</si>
  <si>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</si>
  <si>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</si>
  <si>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</si>
  <si>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</si>
  <si>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</si>
  <si>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</si>
  <si>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</si>
  <si>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</si>
  <si>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</si>
  <si>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</si>
  <si>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</si>
  <si>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</si>
  <si>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</si>
  <si>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</si>
  <si>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</si>
  <si>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</si>
  <si>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</si>
  <si>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</si>
  <si>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</si>
  <si>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</si>
  <si>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</si>
  <si>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</si>
  <si>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</si>
  <si>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</si>
  <si>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</si>
  <si>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</si>
  <si>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</si>
  <si>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</si>
  <si>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</si>
  <si>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</si>
  <si>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</si>
  <si>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</si>
  <si>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</si>
  <si>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</si>
  <si>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</si>
  <si>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</si>
  <si>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</si>
  <si>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</si>
  <si>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</si>
  <si>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</si>
  <si>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</si>
  <si>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</si>
  <si>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</si>
  <si>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</si>
  <si>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</si>
  <si>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</si>
  <si>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</si>
  <si>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/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</si>
  <si>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</si>
  <si>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</si>
  <si>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</si>
  <si>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</si>
  <si>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</si>
  <si>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</si>
  <si>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</si>
  <si>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</si>
  <si>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</si>
  <si>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</si>
  <si>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</si>
  <si>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</si>
  <si>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</si>
  <si>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</si>
  <si>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</si>
  <si>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</si>
  <si>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</si>
  <si>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CALLE 19 SUR No 24 C - 18</t>
  </si>
  <si>
    <t>CALLE 18 SUR No 22 - 54</t>
  </si>
  <si>
    <t>CALLE 29 D No 55 - 159 Zona Industrial Belen</t>
  </si>
  <si>
    <t>CARRERA 35 B No 10 -94 SUR</t>
  </si>
  <si>
    <t>CALLE 71  I SUR No 27 - J 23</t>
  </si>
  <si>
    <t>CALLE 22C No 11 36</t>
  </si>
  <si>
    <t>CARRERA 35 No 36 48 SUR INT.23</t>
  </si>
  <si>
    <t>CALLE 18  SUR No 24 -48</t>
  </si>
  <si>
    <t>CALLE 6 B No 69 C - 25</t>
  </si>
  <si>
    <t>CALLE 80 KM 1,5 VIA SIERRA</t>
  </si>
  <si>
    <t>CARRERA 13 No 13-38  LOCAL 152</t>
  </si>
  <si>
    <t xml:space="preserve"> CARRERA 16 No 71 A - 54 / CALLE 26 SUR No 48 - 186</t>
  </si>
  <si>
    <t>DIAGONAL 17 C SUR  No 25 - 12</t>
  </si>
  <si>
    <t>CALLE 18 SUR No 24D  14</t>
  </si>
  <si>
    <t>CALLE 20 SUR No 24 F -30</t>
  </si>
  <si>
    <t>CALLE 18  SUR No 24  F 12</t>
  </si>
  <si>
    <t>CARRERA 116 A No 66 -16</t>
  </si>
  <si>
    <t>CARRERA 24 B No 17 A 78 SUR</t>
  </si>
  <si>
    <t>CALLE 18 SUR No 24 D 34</t>
  </si>
  <si>
    <t>CARRERA 24B No 18-06 SUR</t>
  </si>
  <si>
    <t>AVENIDA CARRERA 97 No 24 C - 75 BODEGA 33</t>
  </si>
  <si>
    <t>CARRERA 42 A BIS No 13-25</t>
  </si>
  <si>
    <t xml:space="preserve">CALLE 46 No 1-61 CALI /  CALLE 106 No 57 - 23 OFICINA 501 EDF SQUARE BOGOTA
</t>
  </si>
  <si>
    <t>CARRERA 42 No 10 A 30</t>
  </si>
  <si>
    <t>CARRERA 24 C No 17- 34 SUR</t>
  </si>
  <si>
    <t>CARRERA 24  B BIS No 17 A 71 SUR</t>
  </si>
  <si>
    <t>CR 24 B No 17A 37 SUR</t>
  </si>
  <si>
    <t>CALLE 27 A SUR  No 12 H 48</t>
  </si>
  <si>
    <t>CALLE 10 No 20-35 LOCAL 1035</t>
  </si>
  <si>
    <t>CARRERA 13 No 17-71</t>
  </si>
  <si>
    <t>CALLE 18 BIS No 42 20</t>
  </si>
  <si>
    <t>CARRERA 72 M No 37 B 92 SUR BODEGA</t>
  </si>
  <si>
    <t>CARRERA 24 H No 19-58</t>
  </si>
  <si>
    <t>CALLE 13 No 12 - 52 LOCAL 11-77 CENTRO COMERCIAL POPULAR 2 PISO</t>
  </si>
  <si>
    <t>CARRERA 24 C No 2 -59 SUR</t>
  </si>
  <si>
    <t>CARRERA 60 No 12 18</t>
  </si>
  <si>
    <t>CARRERA 9 No 15 -35</t>
  </si>
  <si>
    <t>CARRERA 3  ESTE  No  90-32 SUR</t>
  </si>
  <si>
    <t>CALLE 18 No 69 61</t>
  </si>
  <si>
    <t>CARRERA 39 A No 2-16</t>
  </si>
  <si>
    <t>CARRERA 57 No 45 A 52 SUR</t>
  </si>
  <si>
    <t>TRANSVERSAL 24 I No 17 59 - SUR</t>
  </si>
  <si>
    <t>CALLE 26 No 41 205</t>
  </si>
  <si>
    <t>CR 24F No 19 26 SUR</t>
  </si>
  <si>
    <t>CARRERA 24 C No 18 - 23 SUR</t>
  </si>
  <si>
    <t>CALLE 43 No 52 E 12</t>
  </si>
  <si>
    <t>CALLE 58 No 17 -10</t>
  </si>
  <si>
    <t>CALLE 100 No 32 -120</t>
  </si>
  <si>
    <t>802011128-0</t>
  </si>
  <si>
    <t>REATAS DE COLOMBIA</t>
  </si>
  <si>
    <t>LIMBOTEX S.A.S</t>
  </si>
  <si>
    <t>830117247-7</t>
  </si>
  <si>
    <t>900947715-7</t>
  </si>
  <si>
    <t>FABRIERATAS LTDA</t>
  </si>
  <si>
    <t>90106164-4</t>
  </si>
  <si>
    <t>FABRILAR LTDA.</t>
  </si>
  <si>
    <t>80096882-2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</si>
  <si>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</si>
  <si>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</si>
  <si>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</si>
  <si>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</si>
  <si>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</si>
  <si>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</si>
  <si>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</si>
  <si>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</si>
  <si>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</si>
  <si>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</si>
  <si>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</si>
  <si>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</si>
  <si>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</si>
  <si>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</si>
  <si>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</si>
  <si>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</si>
  <si>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</si>
  <si>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</si>
  <si>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</si>
  <si>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</si>
  <si>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</si>
  <si>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</si>
  <si>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</si>
  <si>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</si>
  <si>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</si>
  <si>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</si>
  <si>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</si>
  <si>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</si>
  <si>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</si>
  <si>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</si>
  <si>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</si>
  <si>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</si>
  <si>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</si>
  <si>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</si>
  <si>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</si>
  <si>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</si>
  <si>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</si>
  <si>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</si>
  <si>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</si>
  <si>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</si>
  <si>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</si>
  <si>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</si>
  <si>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</si>
  <si>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</si>
  <si>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</si>
  <si>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</si>
  <si>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</si>
  <si>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</si>
  <si>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</si>
  <si>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</si>
  <si>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</si>
  <si>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</si>
  <si>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</si>
  <si>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</si>
  <si>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</si>
  <si>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</si>
  <si>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</si>
  <si>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</si>
  <si>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</si>
  <si>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</si>
  <si>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</si>
  <si>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</si>
  <si>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</si>
  <si>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</si>
  <si>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</si>
  <si>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id_cliente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</si>
  <si>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</si>
  <si>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</si>
  <si>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</si>
  <si>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</si>
  <si>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</si>
  <si>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</si>
  <si>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</si>
  <si>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</si>
  <si>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</si>
  <si>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</si>
  <si>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nom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</si>
  <si>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</si>
  <si>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</si>
  <si>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</si>
  <si>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</si>
  <si>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</si>
  <si>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</si>
  <si>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</si>
  <si>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</si>
  <si>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</si>
  <si>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dfghdfgh</t>
  </si>
  <si>
    <t>dfg</t>
  </si>
  <si>
    <t>dgfdfsg</t>
  </si>
  <si>
    <t>DFGSDG</t>
  </si>
  <si>
    <t>rgsdf</t>
  </si>
  <si>
    <t>dfsdf</t>
  </si>
  <si>
    <t>dfgds</t>
  </si>
  <si>
    <t>ubicación</t>
  </si>
  <si>
    <t>flete</t>
  </si>
  <si>
    <t>tipo_contribuyente</t>
  </si>
  <si>
    <t>total_fletes</t>
  </si>
  <si>
    <t>retefuente</t>
  </si>
  <si>
    <t>reteica</t>
  </si>
  <si>
    <t>interes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</si>
</sst>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0" borderId="0" xfId="0" applyFont="1" applyBorder="1"/>
    <xf numFmtId="0" fontId="0" fillId="2" borderId="0" xfId="0" applyFill="1"/>
    <xf numFmtId="0" fontId="0" fillId="0" borderId="0" xfId="0" applyNumberFormat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</cellXfs>
  <cellStyles count="2">
    <cellStyle name="Moneda [0]" xfId="1" builtinId="7"/>
    <cellStyle name="Normal" xfId="0" builtinId="0"/>
  </cellStyles>
  <dxfs count="34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3"/>
      <tableStyleElement type="headerRow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blClientes" displayName="tblClientes" ref="A1:P1108" totalsRowShown="0">
  <autoFilter ref="A1:P1108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1108" totalsRowShown="0">
  <autoFilter ref="A1:H1108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28">
      <calculatedColumnFormula>VLOOKUP(tblContactoCliente[[#This Row],[id_cliente]],tblClientes[[#All],[id]:[nombre_contacto]],4,0)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blProveedores" displayName="tblProveedores" ref="A1:G59" totalsRowShown="0">
  <autoFilter ref="A1:G59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27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18" name="tblContactoProveedor" displayName="tblContactoProveedor" ref="A1:G59" totalsRowShown="0" dataDxfId="26" tableBorderDxfId="25">
  <autoFilter ref="A1:G59"/>
  <tableColumns count="7">
    <tableColumn id="1" name="id" dataDxfId="24"/>
    <tableColumn id="2" name="id_proveedor" dataDxfId="23"/>
    <tableColumn id="3" name="telefono" dataDxfId="22"/>
    <tableColumn id="4" name="direccion" dataDxfId="21"/>
    <tableColumn id="7" name="correo" dataDxfId="20"/>
    <tableColumn id="5" name="barrio" dataDxfId="19"/>
    <tableColumn id="6" name="ciudad" dataDxfId="18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2" name="tblProductos" displayName="tblProductos" ref="A1:Q3243" totalsRowShown="0" dataDxfId="17">
  <autoFilter ref="A1:Q3243"/>
  <tableColumns count="17">
    <tableColumn id="1" name="id" dataDxfId="16"/>
    <tableColumn id="2" name="id_proveedor" dataDxfId="15"/>
    <tableColumn id="4" name="producto" dataDxfId="14"/>
    <tableColumn id="5" name="color" dataDxfId="13"/>
    <tableColumn id="6" name="medida" dataDxfId="12"/>
    <tableColumn id="7" name="cantidad" dataDxfId="11"/>
    <tableColumn id="8" name="presentacion" dataDxfId="10"/>
    <tableColumn id="9" name="costo" dataDxfId="9"/>
    <tableColumn id="10" name="utilidad" dataDxfId="8"/>
    <tableColumn id="11" name="venta" dataDxfId="7">
      <calculatedColumnFormula>ROUNDUP(H2*(1+I2),0)</calculatedColumnFormula>
    </tableColumn>
    <tableColumn id="12" name="iva" dataDxfId="6"/>
    <tableColumn id="13" name="venta_iva" dataDxfId="5">
      <calculatedColumnFormula>ROUNDUP(J2*(1+K2),0)</calculatedColumnFormula>
    </tableColumn>
    <tableColumn id="14" name="categoria" dataDxfId="4"/>
    <tableColumn id="15" name="disponible" dataDxfId="3"/>
    <tableColumn id="16" name="stock" dataDxfId="2"/>
    <tableColumn id="17" name="pedir" dataDxfId="1"/>
    <tableColumn id="3" name="prov" dataDxfId="0">
      <calculatedColumnFormula>VLOOKUP(tblProductos[[#This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6" name="tblEmpleados" displayName="tblEmpleados" ref="A1:D2" totalsRowShown="0">
  <autoFilter ref="A1:D2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6" name="tblTransportadores" displayName="tblTransportadores" ref="A1:H2" totalsRowShown="0">
  <autoFilter ref="A1:H2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6:H36"/>
  <sheetViews>
    <sheetView workbookViewId="0">
      <selection activeCell="K31" sqref="K31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</cols>
  <sheetData>
    <row r="6" spans="2:8" ht="15.75" x14ac:dyDescent="0.25">
      <c r="B6" s="20" t="s">
        <v>4330</v>
      </c>
      <c r="C6" s="20" t="s">
        <v>4324</v>
      </c>
      <c r="D6" s="20" t="s">
        <v>4325</v>
      </c>
      <c r="E6" s="20" t="s">
        <v>4326</v>
      </c>
      <c r="F6" s="20" t="s">
        <v>4329</v>
      </c>
      <c r="G6" s="20" t="s">
        <v>4327</v>
      </c>
      <c r="H6" s="20" t="s">
        <v>4328</v>
      </c>
    </row>
    <row r="7" spans="2:8" x14ac:dyDescent="0.25">
      <c r="B7">
        <v>1</v>
      </c>
      <c r="C7" t="s">
        <v>3150</v>
      </c>
      <c r="D7" t="s">
        <v>3841</v>
      </c>
      <c r="E7" s="17">
        <v>2</v>
      </c>
      <c r="F7" s="19">
        <f>G7*10%</f>
        <v>417.70000000000005</v>
      </c>
      <c r="G7" s="18">
        <v>4177</v>
      </c>
      <c r="H7" s="18">
        <f>E7*G7</f>
        <v>8354</v>
      </c>
    </row>
    <row r="8" spans="2:8" x14ac:dyDescent="0.25">
      <c r="B8">
        <v>2</v>
      </c>
      <c r="C8" t="s">
        <v>3844</v>
      </c>
      <c r="D8" t="s">
        <v>3841</v>
      </c>
      <c r="E8" s="17">
        <v>1</v>
      </c>
      <c r="F8" s="19">
        <f t="shared" ref="F8:F36" si="0">G8*10%</f>
        <v>659.7</v>
      </c>
      <c r="G8" s="18">
        <v>6597</v>
      </c>
      <c r="H8" s="18">
        <f>E8*G8</f>
        <v>6597</v>
      </c>
    </row>
    <row r="9" spans="2:8" x14ac:dyDescent="0.25">
      <c r="B9">
        <v>3</v>
      </c>
      <c r="C9" t="s">
        <v>3845</v>
      </c>
      <c r="D9" t="s">
        <v>3841</v>
      </c>
      <c r="E9" s="17">
        <v>5</v>
      </c>
      <c r="F9" s="19">
        <f t="shared" si="0"/>
        <v>661.90000000000009</v>
      </c>
      <c r="G9" s="16">
        <v>6619</v>
      </c>
      <c r="H9" s="18">
        <f t="shared" ref="H9:H36" si="1">E9*G9</f>
        <v>33095</v>
      </c>
    </row>
    <row r="10" spans="2:8" x14ac:dyDescent="0.25">
      <c r="B10">
        <v>4</v>
      </c>
      <c r="C10" t="s">
        <v>3846</v>
      </c>
      <c r="D10" t="s">
        <v>3841</v>
      </c>
      <c r="E10" s="17">
        <v>8</v>
      </c>
      <c r="F10" s="19">
        <f t="shared" si="0"/>
        <v>119.9</v>
      </c>
      <c r="G10" s="16">
        <v>1199</v>
      </c>
      <c r="H10" s="18">
        <f t="shared" si="1"/>
        <v>9592</v>
      </c>
    </row>
    <row r="11" spans="2:8" x14ac:dyDescent="0.25">
      <c r="B11">
        <v>5</v>
      </c>
      <c r="C11" t="s">
        <v>3847</v>
      </c>
      <c r="D11" t="s">
        <v>3841</v>
      </c>
      <c r="E11" s="17">
        <v>7</v>
      </c>
      <c r="F11" s="19">
        <f t="shared" si="0"/>
        <v>103.10000000000001</v>
      </c>
      <c r="G11" s="16">
        <v>1031</v>
      </c>
      <c r="H11" s="18">
        <f t="shared" si="1"/>
        <v>7217</v>
      </c>
    </row>
    <row r="12" spans="2:8" x14ac:dyDescent="0.25">
      <c r="B12">
        <v>6</v>
      </c>
      <c r="C12" t="s">
        <v>3849</v>
      </c>
      <c r="D12" t="s">
        <v>3841</v>
      </c>
      <c r="E12" s="17">
        <v>2</v>
      </c>
      <c r="F12" s="19">
        <f t="shared" si="0"/>
        <v>19.5</v>
      </c>
      <c r="G12" s="16">
        <v>195</v>
      </c>
      <c r="H12" s="18">
        <f t="shared" si="1"/>
        <v>390</v>
      </c>
    </row>
    <row r="13" spans="2:8" x14ac:dyDescent="0.25">
      <c r="B13">
        <v>7</v>
      </c>
      <c r="C13" t="s">
        <v>3851</v>
      </c>
      <c r="D13" t="s">
        <v>3841</v>
      </c>
      <c r="E13" s="17">
        <v>4</v>
      </c>
      <c r="F13" s="19">
        <f t="shared" si="0"/>
        <v>74.7</v>
      </c>
      <c r="G13" s="16">
        <v>747</v>
      </c>
      <c r="H13" s="18">
        <f t="shared" si="1"/>
        <v>2988</v>
      </c>
    </row>
    <row r="14" spans="2:8" x14ac:dyDescent="0.25">
      <c r="B14">
        <v>8</v>
      </c>
      <c r="C14" t="s">
        <v>3847</v>
      </c>
      <c r="D14" t="s">
        <v>3841</v>
      </c>
      <c r="E14" s="17">
        <v>2</v>
      </c>
      <c r="F14" s="19">
        <f t="shared" si="0"/>
        <v>89.600000000000009</v>
      </c>
      <c r="G14" s="16">
        <v>896</v>
      </c>
      <c r="H14" s="18">
        <f t="shared" si="1"/>
        <v>1792</v>
      </c>
    </row>
    <row r="15" spans="2:8" x14ac:dyDescent="0.25">
      <c r="B15">
        <v>9</v>
      </c>
      <c r="C15" t="s">
        <v>3853</v>
      </c>
      <c r="D15" t="s">
        <v>3841</v>
      </c>
      <c r="E15" s="17">
        <v>1</v>
      </c>
      <c r="F15" s="19">
        <f t="shared" si="0"/>
        <v>104.5</v>
      </c>
      <c r="G15" s="16">
        <v>1045</v>
      </c>
      <c r="H15" s="18">
        <f t="shared" si="1"/>
        <v>1045</v>
      </c>
    </row>
    <row r="16" spans="2:8" x14ac:dyDescent="0.25">
      <c r="B16">
        <v>10</v>
      </c>
      <c r="C16" t="s">
        <v>3855</v>
      </c>
      <c r="D16" t="s">
        <v>3841</v>
      </c>
      <c r="E16" s="17">
        <v>5</v>
      </c>
      <c r="F16" s="19">
        <f t="shared" si="0"/>
        <v>119.5</v>
      </c>
      <c r="G16" s="16">
        <v>1195</v>
      </c>
      <c r="H16" s="18">
        <f t="shared" si="1"/>
        <v>5975</v>
      </c>
    </row>
    <row r="17" spans="2:8" x14ac:dyDescent="0.25">
      <c r="B17">
        <v>11</v>
      </c>
      <c r="C17" t="s">
        <v>3857</v>
      </c>
      <c r="D17" t="s">
        <v>3841</v>
      </c>
      <c r="E17" s="17">
        <v>8</v>
      </c>
      <c r="F17" s="19">
        <f t="shared" si="0"/>
        <v>134.4</v>
      </c>
      <c r="G17" s="16">
        <v>1344</v>
      </c>
      <c r="H17" s="18">
        <f t="shared" si="1"/>
        <v>10752</v>
      </c>
    </row>
    <row r="18" spans="2:8" x14ac:dyDescent="0.25">
      <c r="B18">
        <v>12</v>
      </c>
      <c r="C18" t="s">
        <v>3859</v>
      </c>
      <c r="D18" t="s">
        <v>3841</v>
      </c>
      <c r="E18" s="17">
        <v>7</v>
      </c>
      <c r="F18" s="19">
        <f t="shared" si="0"/>
        <v>149.30000000000001</v>
      </c>
      <c r="G18" s="16">
        <v>1493</v>
      </c>
      <c r="H18" s="18">
        <f t="shared" si="1"/>
        <v>10451</v>
      </c>
    </row>
    <row r="19" spans="2:8" x14ac:dyDescent="0.25">
      <c r="B19">
        <v>13</v>
      </c>
      <c r="C19" t="s">
        <v>3861</v>
      </c>
      <c r="D19" t="s">
        <v>3841</v>
      </c>
      <c r="E19" s="17">
        <v>2</v>
      </c>
      <c r="F19" s="19">
        <f t="shared" si="0"/>
        <v>164.3</v>
      </c>
      <c r="G19" s="16">
        <v>1643</v>
      </c>
      <c r="H19" s="18">
        <f t="shared" si="1"/>
        <v>3286</v>
      </c>
    </row>
    <row r="20" spans="2:8" x14ac:dyDescent="0.25">
      <c r="B20">
        <v>14</v>
      </c>
      <c r="C20" t="s">
        <v>3863</v>
      </c>
      <c r="D20" t="s">
        <v>3841</v>
      </c>
      <c r="E20" s="17">
        <v>4</v>
      </c>
      <c r="F20" s="19">
        <f t="shared" si="0"/>
        <v>59.800000000000004</v>
      </c>
      <c r="G20" s="16">
        <v>598</v>
      </c>
      <c r="H20" s="18">
        <f t="shared" si="1"/>
        <v>2392</v>
      </c>
    </row>
    <row r="21" spans="2:8" x14ac:dyDescent="0.25">
      <c r="B21">
        <v>15</v>
      </c>
      <c r="C21" t="s">
        <v>3851</v>
      </c>
      <c r="D21" t="s">
        <v>3841</v>
      </c>
      <c r="E21" s="17">
        <v>2</v>
      </c>
      <c r="F21" s="19">
        <f t="shared" si="0"/>
        <v>74.7</v>
      </c>
      <c r="G21" s="16">
        <v>747</v>
      </c>
      <c r="H21" s="18">
        <f t="shared" si="1"/>
        <v>1494</v>
      </c>
    </row>
    <row r="22" spans="2:8" x14ac:dyDescent="0.25">
      <c r="B22">
        <v>16</v>
      </c>
      <c r="C22" t="s">
        <v>3847</v>
      </c>
      <c r="D22" t="s">
        <v>3841</v>
      </c>
      <c r="E22" s="17">
        <v>1</v>
      </c>
      <c r="F22" s="19">
        <f t="shared" si="0"/>
        <v>89.600000000000009</v>
      </c>
      <c r="G22" s="16">
        <v>896</v>
      </c>
      <c r="H22" s="18">
        <f t="shared" si="1"/>
        <v>896</v>
      </c>
    </row>
    <row r="23" spans="2:8" x14ac:dyDescent="0.25">
      <c r="B23">
        <v>17</v>
      </c>
      <c r="C23" t="s">
        <v>3857</v>
      </c>
      <c r="D23" t="s">
        <v>3841</v>
      </c>
      <c r="E23" s="17">
        <v>5</v>
      </c>
      <c r="F23" s="19">
        <f t="shared" si="0"/>
        <v>134.4</v>
      </c>
      <c r="G23" s="16">
        <v>1344</v>
      </c>
      <c r="H23" s="18">
        <f t="shared" si="1"/>
        <v>6720</v>
      </c>
    </row>
    <row r="24" spans="2:8" x14ac:dyDescent="0.25">
      <c r="B24">
        <v>18</v>
      </c>
      <c r="C24" t="s">
        <v>3859</v>
      </c>
      <c r="D24" t="s">
        <v>3841</v>
      </c>
      <c r="E24" s="17">
        <v>8</v>
      </c>
      <c r="F24" s="19">
        <f t="shared" si="0"/>
        <v>149.30000000000001</v>
      </c>
      <c r="G24" s="16">
        <v>1493</v>
      </c>
      <c r="H24" s="18">
        <f t="shared" si="1"/>
        <v>11944</v>
      </c>
    </row>
    <row r="25" spans="2:8" x14ac:dyDescent="0.25">
      <c r="B25">
        <v>19</v>
      </c>
      <c r="C25" t="s">
        <v>3861</v>
      </c>
      <c r="D25" t="s">
        <v>3841</v>
      </c>
      <c r="E25" s="17">
        <v>7</v>
      </c>
      <c r="F25" s="19">
        <f t="shared" si="0"/>
        <v>164.3</v>
      </c>
      <c r="G25" s="16">
        <v>1643</v>
      </c>
      <c r="H25" s="18">
        <f t="shared" si="1"/>
        <v>11501</v>
      </c>
    </row>
    <row r="26" spans="2:8" x14ac:dyDescent="0.25">
      <c r="B26">
        <v>20</v>
      </c>
      <c r="C26" t="s">
        <v>3853</v>
      </c>
      <c r="D26" t="s">
        <v>3841</v>
      </c>
      <c r="E26" s="17">
        <v>2</v>
      </c>
      <c r="F26" s="19">
        <f t="shared" si="0"/>
        <v>104.5</v>
      </c>
      <c r="G26" s="16">
        <v>1045</v>
      </c>
      <c r="H26" s="18">
        <f t="shared" si="1"/>
        <v>2090</v>
      </c>
    </row>
    <row r="27" spans="2:8" x14ac:dyDescent="0.25">
      <c r="B27">
        <v>21</v>
      </c>
      <c r="C27" t="s">
        <v>3855</v>
      </c>
      <c r="D27" t="s">
        <v>3841</v>
      </c>
      <c r="E27" s="17">
        <v>4</v>
      </c>
      <c r="F27" s="19">
        <f t="shared" si="0"/>
        <v>119.5</v>
      </c>
      <c r="G27" s="16">
        <v>1195</v>
      </c>
      <c r="H27" s="18">
        <f t="shared" si="1"/>
        <v>4780</v>
      </c>
    </row>
    <row r="28" spans="2:8" x14ac:dyDescent="0.25">
      <c r="B28">
        <v>22</v>
      </c>
      <c r="C28" t="s">
        <v>3865</v>
      </c>
      <c r="D28" t="s">
        <v>3841</v>
      </c>
      <c r="E28" s="17">
        <v>7</v>
      </c>
      <c r="F28" s="19">
        <f t="shared" si="0"/>
        <v>1736</v>
      </c>
      <c r="G28" s="16">
        <v>17360</v>
      </c>
      <c r="H28" s="18">
        <f t="shared" si="1"/>
        <v>121520</v>
      </c>
    </row>
    <row r="29" spans="2:8" x14ac:dyDescent="0.25">
      <c r="B29">
        <v>23</v>
      </c>
      <c r="C29" t="s">
        <v>3869</v>
      </c>
      <c r="D29" t="s">
        <v>3841</v>
      </c>
      <c r="E29" s="17">
        <v>2</v>
      </c>
      <c r="F29" s="19">
        <f t="shared" si="0"/>
        <v>1736</v>
      </c>
      <c r="G29" s="16">
        <v>17360</v>
      </c>
      <c r="H29" s="18">
        <f t="shared" si="1"/>
        <v>34720</v>
      </c>
    </row>
    <row r="30" spans="2:8" x14ac:dyDescent="0.25">
      <c r="B30">
        <v>24</v>
      </c>
      <c r="C30" t="s">
        <v>3871</v>
      </c>
      <c r="D30" t="s">
        <v>3841</v>
      </c>
      <c r="E30" s="17">
        <v>4</v>
      </c>
      <c r="F30" s="19">
        <f t="shared" si="0"/>
        <v>5.3000000000000007</v>
      </c>
      <c r="G30" s="16">
        <v>53</v>
      </c>
      <c r="H30" s="18">
        <f t="shared" si="1"/>
        <v>212</v>
      </c>
    </row>
    <row r="31" spans="2:8" x14ac:dyDescent="0.25">
      <c r="B31">
        <v>25</v>
      </c>
      <c r="C31" t="s">
        <v>4152</v>
      </c>
      <c r="D31" t="s">
        <v>4009</v>
      </c>
      <c r="E31" s="17">
        <v>7</v>
      </c>
      <c r="F31" s="19">
        <f t="shared" si="0"/>
        <v>792.1</v>
      </c>
      <c r="G31" s="16">
        <v>7921</v>
      </c>
      <c r="H31" s="18">
        <f t="shared" si="1"/>
        <v>55447</v>
      </c>
    </row>
    <row r="32" spans="2:8" x14ac:dyDescent="0.25">
      <c r="B32">
        <v>26</v>
      </c>
      <c r="C32" t="s">
        <v>4152</v>
      </c>
      <c r="D32" t="s">
        <v>3919</v>
      </c>
      <c r="E32" s="17">
        <v>2</v>
      </c>
      <c r="F32" s="19">
        <f t="shared" si="0"/>
        <v>792.1</v>
      </c>
      <c r="G32" s="16">
        <v>7921</v>
      </c>
      <c r="H32" s="18">
        <f t="shared" si="1"/>
        <v>15842</v>
      </c>
    </row>
    <row r="33" spans="2:8" x14ac:dyDescent="0.25">
      <c r="B33">
        <v>27</v>
      </c>
      <c r="C33" t="s">
        <v>4152</v>
      </c>
      <c r="D33" t="s">
        <v>4015</v>
      </c>
      <c r="E33" s="17">
        <v>4</v>
      </c>
      <c r="F33" s="19">
        <f t="shared" si="0"/>
        <v>792.1</v>
      </c>
      <c r="G33" s="16">
        <v>7921</v>
      </c>
      <c r="H33" s="18">
        <f t="shared" si="1"/>
        <v>31684</v>
      </c>
    </row>
    <row r="34" spans="2:8" x14ac:dyDescent="0.25">
      <c r="B34">
        <v>28</v>
      </c>
      <c r="C34" t="s">
        <v>4152</v>
      </c>
      <c r="D34" t="s">
        <v>4013</v>
      </c>
      <c r="E34" s="17">
        <v>7</v>
      </c>
      <c r="F34" s="19">
        <f t="shared" si="0"/>
        <v>792.1</v>
      </c>
      <c r="G34" s="16">
        <v>7921</v>
      </c>
      <c r="H34" s="18">
        <f t="shared" si="1"/>
        <v>55447</v>
      </c>
    </row>
    <row r="35" spans="2:8" x14ac:dyDescent="0.25">
      <c r="B35">
        <v>29</v>
      </c>
      <c r="C35" t="s">
        <v>4152</v>
      </c>
      <c r="D35" t="s">
        <v>4007</v>
      </c>
      <c r="E35" s="17">
        <v>2</v>
      </c>
      <c r="F35" s="19">
        <f t="shared" si="0"/>
        <v>792.1</v>
      </c>
      <c r="G35" s="16">
        <v>7921</v>
      </c>
      <c r="H35" s="18">
        <f t="shared" si="1"/>
        <v>15842</v>
      </c>
    </row>
    <row r="36" spans="2:8" x14ac:dyDescent="0.25">
      <c r="B36">
        <v>30</v>
      </c>
      <c r="C36" t="s">
        <v>4153</v>
      </c>
      <c r="D36" t="s">
        <v>3976</v>
      </c>
      <c r="E36" s="17">
        <v>4</v>
      </c>
      <c r="F36" s="19">
        <f t="shared" si="0"/>
        <v>25</v>
      </c>
      <c r="G36" s="16">
        <v>250</v>
      </c>
      <c r="H36" s="18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1108"/>
  <sheetViews>
    <sheetView showGridLines="0" tabSelected="1" topLeftCell="C1" zoomScale="75" zoomScaleNormal="75" workbookViewId="0">
      <pane ySplit="1" topLeftCell="A2" activePane="bottomLeft" state="frozen"/>
      <selection pane="bottomLeft" activeCell="I40" sqref="I40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4173</v>
      </c>
      <c r="B1" t="s">
        <v>4311</v>
      </c>
      <c r="C1" t="s">
        <v>4174</v>
      </c>
      <c r="D1" t="s">
        <v>4296</v>
      </c>
      <c r="E1" t="s">
        <v>4178</v>
      </c>
      <c r="F1" t="s">
        <v>4177</v>
      </c>
      <c r="G1" t="s">
        <v>4179</v>
      </c>
      <c r="H1" t="s">
        <v>4162</v>
      </c>
      <c r="I1" t="s">
        <v>4180</v>
      </c>
      <c r="J1" t="s">
        <v>4166</v>
      </c>
      <c r="K1" t="s">
        <v>4181</v>
      </c>
      <c r="L1" t="s">
        <v>4313</v>
      </c>
      <c r="M1" t="s">
        <v>4314</v>
      </c>
      <c r="N1" t="s">
        <v>4315</v>
      </c>
      <c r="O1" t="s">
        <v>4163</v>
      </c>
      <c r="P1" t="s">
        <v>4342</v>
      </c>
    </row>
    <row r="2" spans="1:16" x14ac:dyDescent="0.25">
      <c r="A2">
        <v>1</v>
      </c>
      <c r="D2" t="s">
        <v>144</v>
      </c>
      <c r="E2" t="s">
        <v>147</v>
      </c>
      <c r="F2" t="s">
        <v>1</v>
      </c>
      <c r="H2" t="s">
        <v>148</v>
      </c>
      <c r="L2">
        <v>1000000</v>
      </c>
      <c r="M2">
        <v>50000</v>
      </c>
      <c r="N2">
        <v>200000</v>
      </c>
      <c r="O2" t="s">
        <v>4332</v>
      </c>
    </row>
    <row r="3" spans="1:16" x14ac:dyDescent="0.25">
      <c r="A3">
        <v>2</v>
      </c>
      <c r="D3" t="s">
        <v>149</v>
      </c>
      <c r="E3" t="s">
        <v>153</v>
      </c>
      <c r="F3" t="s">
        <v>152</v>
      </c>
      <c r="H3" t="s">
        <v>148</v>
      </c>
    </row>
    <row r="4" spans="1:16" x14ac:dyDescent="0.25">
      <c r="A4">
        <v>3</v>
      </c>
      <c r="D4" t="s">
        <v>154</v>
      </c>
      <c r="E4" t="s">
        <v>157</v>
      </c>
      <c r="F4" t="s">
        <v>154</v>
      </c>
      <c r="H4" t="s">
        <v>158</v>
      </c>
    </row>
    <row r="5" spans="1:16" x14ac:dyDescent="0.25">
      <c r="A5">
        <v>4</v>
      </c>
      <c r="D5" t="s">
        <v>159</v>
      </c>
      <c r="E5">
        <v>40305254</v>
      </c>
      <c r="F5" t="s">
        <v>1</v>
      </c>
      <c r="H5" t="s">
        <v>148</v>
      </c>
    </row>
    <row r="6" spans="1:16" x14ac:dyDescent="0.25">
      <c r="A6">
        <v>5</v>
      </c>
      <c r="D6" t="s">
        <v>162</v>
      </c>
      <c r="E6" t="s">
        <v>166</v>
      </c>
      <c r="F6" t="s">
        <v>1</v>
      </c>
      <c r="H6" t="s">
        <v>148</v>
      </c>
    </row>
    <row r="7" spans="1:16" x14ac:dyDescent="0.25">
      <c r="A7">
        <v>6</v>
      </c>
      <c r="D7" t="s">
        <v>167</v>
      </c>
      <c r="E7" t="s">
        <v>171</v>
      </c>
      <c r="F7" t="s">
        <v>170</v>
      </c>
      <c r="H7" t="s">
        <v>89</v>
      </c>
    </row>
    <row r="8" spans="1:16" x14ac:dyDescent="0.25">
      <c r="A8">
        <v>7</v>
      </c>
      <c r="D8" t="s">
        <v>172</v>
      </c>
      <c r="E8">
        <v>0</v>
      </c>
      <c r="F8" t="s">
        <v>1</v>
      </c>
      <c r="H8" t="s">
        <v>148</v>
      </c>
    </row>
    <row r="9" spans="1:16" x14ac:dyDescent="0.25">
      <c r="A9">
        <v>8</v>
      </c>
      <c r="D9" t="s">
        <v>175</v>
      </c>
      <c r="E9" t="s">
        <v>179</v>
      </c>
      <c r="F9" t="s">
        <v>178</v>
      </c>
      <c r="H9" t="s">
        <v>180</v>
      </c>
    </row>
    <row r="10" spans="1:16" x14ac:dyDescent="0.25">
      <c r="A10">
        <v>9</v>
      </c>
      <c r="D10" t="s">
        <v>181</v>
      </c>
      <c r="E10" t="s">
        <v>147</v>
      </c>
      <c r="F10" t="s">
        <v>1</v>
      </c>
      <c r="G10" t="s">
        <v>4172</v>
      </c>
      <c r="H10" t="s">
        <v>184</v>
      </c>
      <c r="K10" t="s">
        <v>4172</v>
      </c>
    </row>
    <row r="11" spans="1:16" x14ac:dyDescent="0.25">
      <c r="A11">
        <v>10</v>
      </c>
      <c r="D11" t="s">
        <v>185</v>
      </c>
      <c r="E11" t="s">
        <v>147</v>
      </c>
      <c r="F11" t="s">
        <v>188</v>
      </c>
      <c r="H11" t="s">
        <v>148</v>
      </c>
    </row>
    <row r="12" spans="1:16" x14ac:dyDescent="0.25">
      <c r="A12">
        <v>11</v>
      </c>
      <c r="D12" t="s">
        <v>189</v>
      </c>
      <c r="E12" t="s">
        <v>192</v>
      </c>
      <c r="F12" t="s">
        <v>191</v>
      </c>
      <c r="H12" t="s">
        <v>158</v>
      </c>
    </row>
    <row r="13" spans="1:16" x14ac:dyDescent="0.25">
      <c r="A13">
        <v>12</v>
      </c>
      <c r="D13" t="s">
        <v>193</v>
      </c>
      <c r="E13" t="s">
        <v>197</v>
      </c>
      <c r="F13" t="s">
        <v>196</v>
      </c>
      <c r="H13" t="s">
        <v>198</v>
      </c>
    </row>
    <row r="14" spans="1:16" x14ac:dyDescent="0.25">
      <c r="A14">
        <v>13</v>
      </c>
      <c r="D14" t="s">
        <v>199</v>
      </c>
      <c r="E14" t="s">
        <v>202</v>
      </c>
      <c r="F14" t="s">
        <v>201</v>
      </c>
      <c r="H14" t="s">
        <v>89</v>
      </c>
    </row>
    <row r="15" spans="1:16" x14ac:dyDescent="0.25">
      <c r="A15">
        <v>14</v>
      </c>
      <c r="D15" t="s">
        <v>203</v>
      </c>
      <c r="E15" t="s">
        <v>207</v>
      </c>
      <c r="F15" t="s">
        <v>206</v>
      </c>
      <c r="H15" t="s">
        <v>148</v>
      </c>
    </row>
    <row r="16" spans="1:16" x14ac:dyDescent="0.25">
      <c r="A16">
        <v>15</v>
      </c>
      <c r="D16" t="s">
        <v>208</v>
      </c>
      <c r="E16">
        <v>0</v>
      </c>
      <c r="F16" t="s">
        <v>209</v>
      </c>
      <c r="H16" t="s">
        <v>89</v>
      </c>
    </row>
    <row r="17" spans="1:8" x14ac:dyDescent="0.25">
      <c r="A17">
        <v>16</v>
      </c>
      <c r="D17" t="s">
        <v>210</v>
      </c>
      <c r="E17" t="s">
        <v>214</v>
      </c>
      <c r="F17" t="s">
        <v>213</v>
      </c>
      <c r="H17" t="s">
        <v>180</v>
      </c>
    </row>
    <row r="18" spans="1:8" x14ac:dyDescent="0.25">
      <c r="A18">
        <v>17</v>
      </c>
      <c r="D18" t="s">
        <v>215</v>
      </c>
      <c r="E18">
        <v>0</v>
      </c>
      <c r="F18" t="s">
        <v>1</v>
      </c>
      <c r="H18" t="s">
        <v>89</v>
      </c>
    </row>
    <row r="19" spans="1:8" x14ac:dyDescent="0.25">
      <c r="A19">
        <v>18</v>
      </c>
      <c r="D19" t="s">
        <v>218</v>
      </c>
      <c r="E19" t="s">
        <v>221</v>
      </c>
      <c r="F19" t="s">
        <v>220</v>
      </c>
      <c r="H19" t="s">
        <v>89</v>
      </c>
    </row>
    <row r="20" spans="1:8" x14ac:dyDescent="0.25">
      <c r="A20">
        <v>19</v>
      </c>
      <c r="D20" t="s">
        <v>222</v>
      </c>
      <c r="E20" t="s">
        <v>226</v>
      </c>
      <c r="F20" t="s">
        <v>225</v>
      </c>
      <c r="H20" t="s">
        <v>148</v>
      </c>
    </row>
    <row r="21" spans="1:8" x14ac:dyDescent="0.25">
      <c r="A21">
        <v>20</v>
      </c>
      <c r="D21" t="s">
        <v>227</v>
      </c>
      <c r="E21">
        <v>0</v>
      </c>
      <c r="F21" t="s">
        <v>1</v>
      </c>
      <c r="H21" t="s">
        <v>180</v>
      </c>
    </row>
    <row r="22" spans="1:8" x14ac:dyDescent="0.25">
      <c r="A22">
        <v>21</v>
      </c>
      <c r="D22" t="s">
        <v>229</v>
      </c>
      <c r="E22">
        <v>0</v>
      </c>
      <c r="F22" t="s">
        <v>231</v>
      </c>
      <c r="H22" t="s">
        <v>89</v>
      </c>
    </row>
    <row r="23" spans="1:8" x14ac:dyDescent="0.25">
      <c r="A23">
        <v>22</v>
      </c>
      <c r="D23" t="s">
        <v>232</v>
      </c>
      <c r="E23">
        <v>0</v>
      </c>
      <c r="F23" t="s">
        <v>235</v>
      </c>
      <c r="H23" t="s">
        <v>236</v>
      </c>
    </row>
    <row r="24" spans="1:8" x14ac:dyDescent="0.25">
      <c r="A24">
        <v>23</v>
      </c>
      <c r="D24" t="s">
        <v>237</v>
      </c>
      <c r="E24">
        <v>0</v>
      </c>
      <c r="F24" t="s">
        <v>1</v>
      </c>
      <c r="H24" t="s">
        <v>142</v>
      </c>
    </row>
    <row r="25" spans="1:8" x14ac:dyDescent="0.25">
      <c r="A25">
        <v>24</v>
      </c>
      <c r="D25" t="s">
        <v>241</v>
      </c>
      <c r="E25" t="s">
        <v>147</v>
      </c>
      <c r="F25" t="s">
        <v>244</v>
      </c>
      <c r="H25" t="s">
        <v>180</v>
      </c>
    </row>
    <row r="26" spans="1:8" x14ac:dyDescent="0.25">
      <c r="A26">
        <v>25</v>
      </c>
      <c r="D26" t="s">
        <v>245</v>
      </c>
      <c r="E26" t="s">
        <v>249</v>
      </c>
      <c r="F26" t="s">
        <v>248</v>
      </c>
      <c r="H26" t="s">
        <v>250</v>
      </c>
    </row>
    <row r="27" spans="1:8" x14ac:dyDescent="0.25">
      <c r="A27">
        <v>26</v>
      </c>
      <c r="D27" t="s">
        <v>251</v>
      </c>
      <c r="E27" t="s">
        <v>255</v>
      </c>
      <c r="F27" t="s">
        <v>254</v>
      </c>
      <c r="H27" t="s">
        <v>256</v>
      </c>
    </row>
    <row r="28" spans="1:8" x14ac:dyDescent="0.25">
      <c r="A28">
        <v>27</v>
      </c>
      <c r="D28" t="s">
        <v>257</v>
      </c>
      <c r="E28" t="s">
        <v>260</v>
      </c>
      <c r="F28" t="s">
        <v>1</v>
      </c>
      <c r="H28" t="s">
        <v>261</v>
      </c>
    </row>
    <row r="29" spans="1:8" x14ac:dyDescent="0.25">
      <c r="A29">
        <v>28</v>
      </c>
      <c r="D29" t="s">
        <v>262</v>
      </c>
      <c r="E29" t="s">
        <v>266</v>
      </c>
      <c r="F29" t="s">
        <v>265</v>
      </c>
      <c r="H29" t="s">
        <v>180</v>
      </c>
    </row>
    <row r="30" spans="1:8" x14ac:dyDescent="0.25">
      <c r="A30">
        <v>29</v>
      </c>
      <c r="D30" t="s">
        <v>267</v>
      </c>
      <c r="E30" t="s">
        <v>271</v>
      </c>
      <c r="F30" t="s">
        <v>270</v>
      </c>
      <c r="H30" t="s">
        <v>148</v>
      </c>
    </row>
    <row r="31" spans="1:8" x14ac:dyDescent="0.25">
      <c r="A31">
        <v>30</v>
      </c>
      <c r="D31" t="s">
        <v>272</v>
      </c>
      <c r="E31" t="s">
        <v>276</v>
      </c>
      <c r="F31" t="s">
        <v>275</v>
      </c>
      <c r="H31" t="s">
        <v>148</v>
      </c>
    </row>
    <row r="32" spans="1:8" x14ac:dyDescent="0.25">
      <c r="A32">
        <v>31</v>
      </c>
      <c r="D32" t="s">
        <v>277</v>
      </c>
      <c r="E32" t="s">
        <v>281</v>
      </c>
      <c r="F32" t="s">
        <v>280</v>
      </c>
      <c r="H32" t="s">
        <v>148</v>
      </c>
    </row>
    <row r="33" spans="1:11" x14ac:dyDescent="0.25">
      <c r="A33">
        <v>32</v>
      </c>
      <c r="D33" t="s">
        <v>282</v>
      </c>
      <c r="E33" t="s">
        <v>147</v>
      </c>
      <c r="F33" t="s">
        <v>1</v>
      </c>
      <c r="H33" t="s">
        <v>148</v>
      </c>
    </row>
    <row r="34" spans="1:11" x14ac:dyDescent="0.25">
      <c r="A34">
        <v>33</v>
      </c>
      <c r="D34" t="s">
        <v>285</v>
      </c>
      <c r="E34" t="s">
        <v>289</v>
      </c>
      <c r="F34" t="s">
        <v>288</v>
      </c>
      <c r="G34" t="s">
        <v>4172</v>
      </c>
      <c r="H34" t="s">
        <v>148</v>
      </c>
      <c r="K34" t="s">
        <v>4172</v>
      </c>
    </row>
    <row r="35" spans="1:11" x14ac:dyDescent="0.25">
      <c r="A35">
        <v>34</v>
      </c>
      <c r="D35" t="s">
        <v>290</v>
      </c>
      <c r="E35">
        <v>0</v>
      </c>
      <c r="F35" t="s">
        <v>293</v>
      </c>
      <c r="H35" t="s">
        <v>180</v>
      </c>
    </row>
    <row r="36" spans="1:11" x14ac:dyDescent="0.25">
      <c r="A36">
        <v>35</v>
      </c>
      <c r="D36" t="s">
        <v>294</v>
      </c>
      <c r="E36" t="s">
        <v>298</v>
      </c>
      <c r="F36" t="s">
        <v>297</v>
      </c>
      <c r="H36" t="s">
        <v>180</v>
      </c>
    </row>
    <row r="37" spans="1:11" x14ac:dyDescent="0.25">
      <c r="A37">
        <v>36</v>
      </c>
      <c r="D37" t="s">
        <v>299</v>
      </c>
      <c r="E37">
        <v>1098691243</v>
      </c>
      <c r="F37" t="s">
        <v>1</v>
      </c>
      <c r="H37" t="s">
        <v>148</v>
      </c>
    </row>
    <row r="38" spans="1:11" x14ac:dyDescent="0.25">
      <c r="A38">
        <v>37</v>
      </c>
      <c r="D38" t="s">
        <v>302</v>
      </c>
      <c r="E38" t="s">
        <v>305</v>
      </c>
      <c r="F38" t="s">
        <v>304</v>
      </c>
      <c r="H38" t="s">
        <v>89</v>
      </c>
    </row>
    <row r="39" spans="1:11" x14ac:dyDescent="0.25">
      <c r="A39">
        <v>38</v>
      </c>
      <c r="D39" t="s">
        <v>306</v>
      </c>
      <c r="E39" t="s">
        <v>310</v>
      </c>
      <c r="F39" t="s">
        <v>309</v>
      </c>
      <c r="H39" t="s">
        <v>311</v>
      </c>
    </row>
    <row r="40" spans="1:11" x14ac:dyDescent="0.25">
      <c r="A40">
        <v>39</v>
      </c>
      <c r="D40" t="s">
        <v>312</v>
      </c>
      <c r="E40">
        <v>0</v>
      </c>
      <c r="F40" t="s">
        <v>1</v>
      </c>
      <c r="H40" t="s">
        <v>1</v>
      </c>
    </row>
    <row r="41" spans="1:11" x14ac:dyDescent="0.25">
      <c r="A41">
        <v>40</v>
      </c>
      <c r="D41" t="s">
        <v>313</v>
      </c>
      <c r="E41">
        <v>0</v>
      </c>
      <c r="F41" t="s">
        <v>316</v>
      </c>
      <c r="H41" t="s">
        <v>148</v>
      </c>
    </row>
    <row r="42" spans="1:11" x14ac:dyDescent="0.25">
      <c r="A42">
        <v>41</v>
      </c>
      <c r="D42" t="s">
        <v>317</v>
      </c>
      <c r="E42">
        <v>0</v>
      </c>
      <c r="F42" t="s">
        <v>319</v>
      </c>
      <c r="H42" t="s">
        <v>148</v>
      </c>
    </row>
    <row r="43" spans="1:11" x14ac:dyDescent="0.25">
      <c r="A43">
        <v>42</v>
      </c>
      <c r="D43" t="s">
        <v>320</v>
      </c>
      <c r="E43">
        <v>0</v>
      </c>
      <c r="F43" t="s">
        <v>1</v>
      </c>
      <c r="H43" t="s">
        <v>148</v>
      </c>
    </row>
    <row r="44" spans="1:11" x14ac:dyDescent="0.25">
      <c r="A44">
        <v>43</v>
      </c>
      <c r="D44" t="s">
        <v>322</v>
      </c>
      <c r="E44" t="s">
        <v>326</v>
      </c>
      <c r="F44" t="s">
        <v>325</v>
      </c>
      <c r="H44" t="s">
        <v>148</v>
      </c>
    </row>
    <row r="45" spans="1:11" x14ac:dyDescent="0.25">
      <c r="A45">
        <v>44</v>
      </c>
      <c r="D45" t="s">
        <v>327</v>
      </c>
      <c r="E45">
        <v>0</v>
      </c>
      <c r="F45" t="s">
        <v>1</v>
      </c>
      <c r="H45" t="s">
        <v>1</v>
      </c>
    </row>
    <row r="46" spans="1:11" x14ac:dyDescent="0.25">
      <c r="A46">
        <v>45</v>
      </c>
      <c r="D46" t="s">
        <v>329</v>
      </c>
      <c r="E46" t="s">
        <v>147</v>
      </c>
      <c r="F46" t="s">
        <v>1</v>
      </c>
      <c r="G46" t="s">
        <v>4172</v>
      </c>
      <c r="H46" t="s">
        <v>148</v>
      </c>
      <c r="K46" t="s">
        <v>4172</v>
      </c>
    </row>
    <row r="47" spans="1:11" x14ac:dyDescent="0.25">
      <c r="A47">
        <v>46</v>
      </c>
      <c r="D47" t="s">
        <v>332</v>
      </c>
      <c r="E47">
        <v>7927470</v>
      </c>
      <c r="F47" t="s">
        <v>1</v>
      </c>
      <c r="H47" t="s">
        <v>335</v>
      </c>
    </row>
    <row r="48" spans="1:11" x14ac:dyDescent="0.25">
      <c r="A48">
        <v>47</v>
      </c>
      <c r="D48" t="s">
        <v>336</v>
      </c>
      <c r="E48">
        <v>72918090</v>
      </c>
      <c r="F48" t="s">
        <v>339</v>
      </c>
      <c r="H48" t="s">
        <v>180</v>
      </c>
    </row>
    <row r="49" spans="1:11" x14ac:dyDescent="0.25">
      <c r="A49">
        <v>48</v>
      </c>
      <c r="D49" t="s">
        <v>340</v>
      </c>
      <c r="E49" t="s">
        <v>345</v>
      </c>
      <c r="F49" t="s">
        <v>344</v>
      </c>
      <c r="H49" t="s">
        <v>180</v>
      </c>
    </row>
    <row r="50" spans="1:11" x14ac:dyDescent="0.25">
      <c r="A50">
        <v>49</v>
      </c>
      <c r="D50" t="s">
        <v>346</v>
      </c>
      <c r="E50">
        <v>0</v>
      </c>
      <c r="F50" t="s">
        <v>1</v>
      </c>
      <c r="H50" t="s">
        <v>349</v>
      </c>
    </row>
    <row r="51" spans="1:11" x14ac:dyDescent="0.25">
      <c r="A51">
        <v>50</v>
      </c>
      <c r="D51" t="s">
        <v>350</v>
      </c>
      <c r="E51" t="s">
        <v>354</v>
      </c>
      <c r="F51" t="s">
        <v>353</v>
      </c>
      <c r="H51" t="s">
        <v>180</v>
      </c>
    </row>
    <row r="52" spans="1:11" x14ac:dyDescent="0.25">
      <c r="A52">
        <v>51</v>
      </c>
      <c r="D52" t="s">
        <v>355</v>
      </c>
      <c r="E52" t="s">
        <v>359</v>
      </c>
      <c r="F52" t="s">
        <v>358</v>
      </c>
      <c r="H52" t="s">
        <v>180</v>
      </c>
    </row>
    <row r="53" spans="1:11" x14ac:dyDescent="0.25">
      <c r="A53">
        <v>52</v>
      </c>
      <c r="D53" t="s">
        <v>360</v>
      </c>
      <c r="E53">
        <v>0</v>
      </c>
      <c r="F53" t="s">
        <v>363</v>
      </c>
      <c r="H53" t="s">
        <v>180</v>
      </c>
    </row>
    <row r="54" spans="1:11" x14ac:dyDescent="0.25">
      <c r="A54">
        <v>53</v>
      </c>
      <c r="D54" t="s">
        <v>364</v>
      </c>
      <c r="E54">
        <v>0</v>
      </c>
      <c r="F54" t="s">
        <v>1</v>
      </c>
      <c r="H54" t="s">
        <v>180</v>
      </c>
    </row>
    <row r="55" spans="1:11" x14ac:dyDescent="0.25">
      <c r="A55">
        <v>54</v>
      </c>
      <c r="D55" t="s">
        <v>367</v>
      </c>
      <c r="E55">
        <v>0</v>
      </c>
      <c r="F55" t="s">
        <v>1</v>
      </c>
      <c r="H55" t="s">
        <v>148</v>
      </c>
    </row>
    <row r="56" spans="1:11" x14ac:dyDescent="0.25">
      <c r="A56">
        <v>55</v>
      </c>
      <c r="D56" t="s">
        <v>370</v>
      </c>
      <c r="E56" t="s">
        <v>373</v>
      </c>
      <c r="F56" t="s">
        <v>1</v>
      </c>
      <c r="G56" t="s">
        <v>4172</v>
      </c>
      <c r="H56" t="s">
        <v>89</v>
      </c>
      <c r="K56" t="s">
        <v>4172</v>
      </c>
    </row>
    <row r="57" spans="1:11" x14ac:dyDescent="0.25">
      <c r="A57">
        <v>56</v>
      </c>
      <c r="D57" t="s">
        <v>374</v>
      </c>
      <c r="E57" t="s">
        <v>377</v>
      </c>
      <c r="F57" t="s">
        <v>374</v>
      </c>
      <c r="H57" t="s">
        <v>148</v>
      </c>
    </row>
    <row r="58" spans="1:11" x14ac:dyDescent="0.25">
      <c r="A58">
        <v>57</v>
      </c>
      <c r="D58" t="s">
        <v>378</v>
      </c>
      <c r="E58" t="s">
        <v>380</v>
      </c>
      <c r="F58" t="s">
        <v>1</v>
      </c>
      <c r="H58" t="s">
        <v>89</v>
      </c>
    </row>
    <row r="59" spans="1:11" x14ac:dyDescent="0.25">
      <c r="A59">
        <v>58</v>
      </c>
      <c r="D59" t="s">
        <v>381</v>
      </c>
      <c r="E59" t="s">
        <v>384</v>
      </c>
      <c r="F59" t="s">
        <v>383</v>
      </c>
      <c r="H59" t="s">
        <v>148</v>
      </c>
    </row>
    <row r="60" spans="1:11" x14ac:dyDescent="0.25">
      <c r="A60">
        <v>59</v>
      </c>
      <c r="D60" t="s">
        <v>385</v>
      </c>
      <c r="E60" t="s">
        <v>388</v>
      </c>
      <c r="F60" t="s">
        <v>385</v>
      </c>
      <c r="H60" t="s">
        <v>1</v>
      </c>
    </row>
    <row r="61" spans="1:11" x14ac:dyDescent="0.25">
      <c r="A61">
        <v>60</v>
      </c>
      <c r="D61" t="s">
        <v>389</v>
      </c>
      <c r="E61" t="s">
        <v>147</v>
      </c>
      <c r="F61" t="s">
        <v>1</v>
      </c>
      <c r="H61" t="s">
        <v>180</v>
      </c>
    </row>
    <row r="62" spans="1:11" x14ac:dyDescent="0.25">
      <c r="A62">
        <v>61</v>
      </c>
      <c r="D62" t="s">
        <v>392</v>
      </c>
      <c r="E62">
        <v>0</v>
      </c>
      <c r="F62" t="s">
        <v>1</v>
      </c>
      <c r="H62" t="s">
        <v>148</v>
      </c>
    </row>
    <row r="63" spans="1:11" x14ac:dyDescent="0.25">
      <c r="A63">
        <v>62</v>
      </c>
      <c r="D63" t="s">
        <v>394</v>
      </c>
      <c r="E63" t="s">
        <v>68</v>
      </c>
      <c r="F63" t="s">
        <v>397</v>
      </c>
      <c r="H63" t="s">
        <v>148</v>
      </c>
    </row>
    <row r="64" spans="1:11" x14ac:dyDescent="0.25">
      <c r="A64">
        <v>63</v>
      </c>
      <c r="D64" t="s">
        <v>398</v>
      </c>
      <c r="E64" t="s">
        <v>402</v>
      </c>
      <c r="F64" t="s">
        <v>401</v>
      </c>
      <c r="H64" t="s">
        <v>148</v>
      </c>
    </row>
    <row r="65" spans="1:11" x14ac:dyDescent="0.25">
      <c r="A65">
        <v>64</v>
      </c>
      <c r="D65" t="s">
        <v>403</v>
      </c>
      <c r="E65" t="s">
        <v>407</v>
      </c>
      <c r="F65" t="s">
        <v>406</v>
      </c>
      <c r="H65" t="s">
        <v>148</v>
      </c>
    </row>
    <row r="66" spans="1:11" x14ac:dyDescent="0.25">
      <c r="A66">
        <v>65</v>
      </c>
      <c r="D66" t="s">
        <v>408</v>
      </c>
      <c r="E66" t="s">
        <v>147</v>
      </c>
      <c r="F66" t="s">
        <v>1</v>
      </c>
      <c r="H66" t="s">
        <v>148</v>
      </c>
    </row>
    <row r="67" spans="1:11" x14ac:dyDescent="0.25">
      <c r="A67">
        <v>66</v>
      </c>
      <c r="D67" t="s">
        <v>411</v>
      </c>
      <c r="E67">
        <v>0</v>
      </c>
      <c r="F67" t="s">
        <v>1</v>
      </c>
      <c r="H67" t="s">
        <v>180</v>
      </c>
    </row>
    <row r="68" spans="1:11" x14ac:dyDescent="0.25">
      <c r="A68">
        <v>67</v>
      </c>
      <c r="D68" t="s">
        <v>414</v>
      </c>
      <c r="E68" t="s">
        <v>418</v>
      </c>
      <c r="F68" t="s">
        <v>417</v>
      </c>
      <c r="H68" t="s">
        <v>158</v>
      </c>
    </row>
    <row r="69" spans="1:11" x14ac:dyDescent="0.25">
      <c r="A69">
        <v>68</v>
      </c>
      <c r="D69" t="s">
        <v>419</v>
      </c>
      <c r="E69" t="s">
        <v>424</v>
      </c>
      <c r="F69" t="s">
        <v>423</v>
      </c>
      <c r="H69" t="s">
        <v>425</v>
      </c>
    </row>
    <row r="70" spans="1:11" x14ac:dyDescent="0.25">
      <c r="A70">
        <v>69</v>
      </c>
      <c r="D70" t="s">
        <v>426</v>
      </c>
      <c r="E70">
        <v>0</v>
      </c>
      <c r="F70" t="s">
        <v>1</v>
      </c>
      <c r="H70" t="s">
        <v>148</v>
      </c>
    </row>
    <row r="71" spans="1:11" x14ac:dyDescent="0.25">
      <c r="A71">
        <v>70</v>
      </c>
      <c r="D71" t="s">
        <v>430</v>
      </c>
      <c r="E71" t="s">
        <v>433</v>
      </c>
      <c r="F71" t="s">
        <v>432</v>
      </c>
      <c r="H71" t="s">
        <v>148</v>
      </c>
    </row>
    <row r="72" spans="1:11" x14ac:dyDescent="0.25">
      <c r="A72">
        <v>71</v>
      </c>
      <c r="D72" t="s">
        <v>434</v>
      </c>
      <c r="E72">
        <v>0</v>
      </c>
      <c r="F72" t="s">
        <v>1</v>
      </c>
      <c r="H72" t="s">
        <v>437</v>
      </c>
    </row>
    <row r="73" spans="1:11" x14ac:dyDescent="0.25">
      <c r="A73">
        <v>72</v>
      </c>
      <c r="D73" t="s">
        <v>438</v>
      </c>
      <c r="E73" t="s">
        <v>441</v>
      </c>
      <c r="F73" t="s">
        <v>440</v>
      </c>
      <c r="H73" t="s">
        <v>89</v>
      </c>
    </row>
    <row r="74" spans="1:11" x14ac:dyDescent="0.25">
      <c r="A74">
        <v>73</v>
      </c>
      <c r="D74" t="s">
        <v>442</v>
      </c>
      <c r="E74" t="s">
        <v>147</v>
      </c>
      <c r="F74" t="s">
        <v>1</v>
      </c>
      <c r="H74" t="s">
        <v>445</v>
      </c>
    </row>
    <row r="75" spans="1:11" x14ac:dyDescent="0.25">
      <c r="A75">
        <v>74</v>
      </c>
      <c r="D75" t="s">
        <v>446</v>
      </c>
      <c r="E75">
        <v>0</v>
      </c>
      <c r="F75" t="s">
        <v>1</v>
      </c>
      <c r="H75" t="s">
        <v>449</v>
      </c>
    </row>
    <row r="76" spans="1:11" x14ac:dyDescent="0.25">
      <c r="A76">
        <v>75</v>
      </c>
      <c r="D76" t="s">
        <v>450</v>
      </c>
      <c r="E76" t="s">
        <v>453</v>
      </c>
      <c r="F76" t="s">
        <v>452</v>
      </c>
      <c r="H76" t="s">
        <v>180</v>
      </c>
    </row>
    <row r="77" spans="1:11" x14ac:dyDescent="0.25">
      <c r="A77">
        <v>76</v>
      </c>
      <c r="D77" t="s">
        <v>454</v>
      </c>
      <c r="E77">
        <v>19131389</v>
      </c>
      <c r="F77" t="s">
        <v>457</v>
      </c>
      <c r="H77" t="s">
        <v>89</v>
      </c>
    </row>
    <row r="78" spans="1:11" x14ac:dyDescent="0.25">
      <c r="A78">
        <v>77</v>
      </c>
      <c r="D78" t="s">
        <v>458</v>
      </c>
      <c r="E78">
        <v>0</v>
      </c>
      <c r="F78" t="s">
        <v>460</v>
      </c>
      <c r="H78" t="s">
        <v>89</v>
      </c>
    </row>
    <row r="79" spans="1:11" x14ac:dyDescent="0.25">
      <c r="A79">
        <v>78</v>
      </c>
      <c r="D79" t="s">
        <v>461</v>
      </c>
      <c r="E79">
        <v>0</v>
      </c>
      <c r="F79" t="s">
        <v>1</v>
      </c>
      <c r="H79" t="s">
        <v>464</v>
      </c>
    </row>
    <row r="80" spans="1:11" x14ac:dyDescent="0.25">
      <c r="A80">
        <v>79</v>
      </c>
      <c r="D80" t="s">
        <v>465</v>
      </c>
      <c r="E80" t="s">
        <v>469</v>
      </c>
      <c r="F80" t="s">
        <v>468</v>
      </c>
      <c r="G80" t="s">
        <v>4172</v>
      </c>
      <c r="H80" t="s">
        <v>89</v>
      </c>
      <c r="K80" t="s">
        <v>4172</v>
      </c>
    </row>
    <row r="81" spans="1:11" x14ac:dyDescent="0.25">
      <c r="A81">
        <v>80</v>
      </c>
      <c r="D81" t="s">
        <v>470</v>
      </c>
      <c r="E81" t="s">
        <v>474</v>
      </c>
      <c r="F81" t="s">
        <v>473</v>
      </c>
      <c r="H81" t="s">
        <v>148</v>
      </c>
    </row>
    <row r="82" spans="1:11" x14ac:dyDescent="0.25">
      <c r="A82">
        <v>81</v>
      </c>
      <c r="D82" t="s">
        <v>475</v>
      </c>
      <c r="E82" t="s">
        <v>453</v>
      </c>
      <c r="F82" t="s">
        <v>1</v>
      </c>
      <c r="G82" t="s">
        <v>4172</v>
      </c>
      <c r="H82" t="s">
        <v>180</v>
      </c>
      <c r="K82" t="s">
        <v>4172</v>
      </c>
    </row>
    <row r="83" spans="1:11" x14ac:dyDescent="0.25">
      <c r="A83">
        <v>82</v>
      </c>
      <c r="D83" t="s">
        <v>477</v>
      </c>
      <c r="E83">
        <v>1013595404</v>
      </c>
      <c r="F83" t="s">
        <v>1</v>
      </c>
      <c r="H83" t="s">
        <v>180</v>
      </c>
    </row>
    <row r="84" spans="1:11" x14ac:dyDescent="0.25">
      <c r="A84">
        <v>83</v>
      </c>
      <c r="D84" t="s">
        <v>480</v>
      </c>
      <c r="E84">
        <v>0</v>
      </c>
      <c r="F84" t="s">
        <v>1</v>
      </c>
      <c r="H84" t="s">
        <v>180</v>
      </c>
    </row>
    <row r="85" spans="1:11" x14ac:dyDescent="0.25">
      <c r="A85">
        <v>84</v>
      </c>
      <c r="D85" t="s">
        <v>483</v>
      </c>
      <c r="E85">
        <v>0</v>
      </c>
      <c r="F85" t="s">
        <v>1</v>
      </c>
      <c r="H85" t="s">
        <v>148</v>
      </c>
    </row>
    <row r="86" spans="1:11" x14ac:dyDescent="0.25">
      <c r="A86">
        <v>85</v>
      </c>
      <c r="D86" t="s">
        <v>486</v>
      </c>
      <c r="E86">
        <v>0</v>
      </c>
      <c r="F86" t="s">
        <v>488</v>
      </c>
      <c r="H86" t="s">
        <v>256</v>
      </c>
    </row>
    <row r="87" spans="1:11" x14ac:dyDescent="0.25">
      <c r="A87">
        <v>86</v>
      </c>
      <c r="D87" t="s">
        <v>489</v>
      </c>
      <c r="E87" t="s">
        <v>493</v>
      </c>
      <c r="F87" t="s">
        <v>492</v>
      </c>
      <c r="G87" t="s">
        <v>4172</v>
      </c>
      <c r="H87" t="s">
        <v>184</v>
      </c>
      <c r="K87" t="s">
        <v>4172</v>
      </c>
    </row>
    <row r="88" spans="1:11" x14ac:dyDescent="0.25">
      <c r="A88">
        <v>87</v>
      </c>
      <c r="D88" t="s">
        <v>494</v>
      </c>
      <c r="E88" t="s">
        <v>498</v>
      </c>
      <c r="F88" t="s">
        <v>497</v>
      </c>
      <c r="H88" t="s">
        <v>180</v>
      </c>
    </row>
    <row r="89" spans="1:11" x14ac:dyDescent="0.25">
      <c r="A89">
        <v>88</v>
      </c>
      <c r="D89" t="s">
        <v>499</v>
      </c>
      <c r="E89">
        <v>0</v>
      </c>
      <c r="F89" t="s">
        <v>502</v>
      </c>
      <c r="H89" t="s">
        <v>148</v>
      </c>
    </row>
    <row r="90" spans="1:11" x14ac:dyDescent="0.25">
      <c r="A90">
        <v>89</v>
      </c>
      <c r="D90" t="s">
        <v>503</v>
      </c>
      <c r="E90">
        <v>0</v>
      </c>
      <c r="F90" t="s">
        <v>1</v>
      </c>
      <c r="H90" t="s">
        <v>89</v>
      </c>
    </row>
    <row r="91" spans="1:11" x14ac:dyDescent="0.25">
      <c r="A91">
        <v>90</v>
      </c>
      <c r="D91" t="s">
        <v>506</v>
      </c>
      <c r="E91">
        <v>0</v>
      </c>
      <c r="F91" t="s">
        <v>1</v>
      </c>
      <c r="H91" t="s">
        <v>148</v>
      </c>
    </row>
    <row r="92" spans="1:11" x14ac:dyDescent="0.25">
      <c r="A92">
        <v>91</v>
      </c>
      <c r="D92" t="s">
        <v>508</v>
      </c>
      <c r="E92">
        <v>0</v>
      </c>
      <c r="F92" t="s">
        <v>1</v>
      </c>
      <c r="H92" t="s">
        <v>148</v>
      </c>
    </row>
    <row r="93" spans="1:11" x14ac:dyDescent="0.25">
      <c r="A93">
        <v>92</v>
      </c>
      <c r="D93" t="s">
        <v>511</v>
      </c>
      <c r="E93" t="s">
        <v>515</v>
      </c>
      <c r="F93" t="s">
        <v>514</v>
      </c>
      <c r="G93" t="s">
        <v>4172</v>
      </c>
      <c r="H93" t="s">
        <v>180</v>
      </c>
      <c r="K93" t="s">
        <v>4172</v>
      </c>
    </row>
    <row r="94" spans="1:11" x14ac:dyDescent="0.25">
      <c r="A94">
        <v>93</v>
      </c>
      <c r="D94" t="s">
        <v>516</v>
      </c>
      <c r="E94" t="s">
        <v>519</v>
      </c>
      <c r="F94" t="s">
        <v>1</v>
      </c>
      <c r="G94" t="s">
        <v>4172</v>
      </c>
      <c r="H94" t="s">
        <v>180</v>
      </c>
      <c r="K94" t="s">
        <v>4172</v>
      </c>
    </row>
    <row r="95" spans="1:11" x14ac:dyDescent="0.25">
      <c r="A95">
        <v>94</v>
      </c>
      <c r="D95" t="s">
        <v>520</v>
      </c>
      <c r="E95" t="s">
        <v>524</v>
      </c>
      <c r="F95" t="s">
        <v>523</v>
      </c>
      <c r="H95" t="s">
        <v>148</v>
      </c>
    </row>
    <row r="96" spans="1:11" x14ac:dyDescent="0.25">
      <c r="A96">
        <v>95</v>
      </c>
      <c r="D96" t="s">
        <v>525</v>
      </c>
      <c r="E96" t="s">
        <v>147</v>
      </c>
      <c r="F96" t="s">
        <v>1</v>
      </c>
      <c r="G96" t="s">
        <v>4172</v>
      </c>
      <c r="H96" t="s">
        <v>180</v>
      </c>
      <c r="K96" t="s">
        <v>4172</v>
      </c>
    </row>
    <row r="97" spans="1:11" x14ac:dyDescent="0.25">
      <c r="A97">
        <v>96</v>
      </c>
      <c r="D97" t="s">
        <v>528</v>
      </c>
      <c r="E97" t="s">
        <v>529</v>
      </c>
      <c r="F97" t="s">
        <v>1</v>
      </c>
      <c r="H97" t="s">
        <v>89</v>
      </c>
    </row>
    <row r="98" spans="1:11" x14ac:dyDescent="0.25">
      <c r="A98">
        <v>97</v>
      </c>
      <c r="D98" t="s">
        <v>530</v>
      </c>
      <c r="E98">
        <v>0</v>
      </c>
      <c r="F98" t="s">
        <v>1</v>
      </c>
      <c r="H98" t="s">
        <v>532</v>
      </c>
    </row>
    <row r="99" spans="1:11" x14ac:dyDescent="0.25">
      <c r="A99">
        <v>98</v>
      </c>
      <c r="D99" t="s">
        <v>533</v>
      </c>
      <c r="E99" t="s">
        <v>536</v>
      </c>
      <c r="F99" t="s">
        <v>535</v>
      </c>
      <c r="G99" t="s">
        <v>89</v>
      </c>
      <c r="H99" t="s">
        <v>148</v>
      </c>
      <c r="K99" t="s">
        <v>4172</v>
      </c>
    </row>
    <row r="100" spans="1:11" x14ac:dyDescent="0.25">
      <c r="A100">
        <v>99</v>
      </c>
      <c r="D100" t="s">
        <v>537</v>
      </c>
      <c r="E100" t="s">
        <v>540</v>
      </c>
      <c r="F100" t="s">
        <v>1</v>
      </c>
      <c r="H100" t="s">
        <v>541</v>
      </c>
    </row>
    <row r="101" spans="1:11" x14ac:dyDescent="0.25">
      <c r="A101">
        <v>100</v>
      </c>
      <c r="D101" t="s">
        <v>542</v>
      </c>
      <c r="E101">
        <v>0</v>
      </c>
      <c r="F101" t="s">
        <v>545</v>
      </c>
      <c r="H101" t="s">
        <v>546</v>
      </c>
    </row>
    <row r="102" spans="1:11" x14ac:dyDescent="0.25">
      <c r="A102">
        <v>101</v>
      </c>
      <c r="D102" t="s">
        <v>547</v>
      </c>
      <c r="E102">
        <v>1024515575</v>
      </c>
      <c r="F102" t="s">
        <v>550</v>
      </c>
      <c r="H102" t="s">
        <v>148</v>
      </c>
    </row>
    <row r="103" spans="1:11" x14ac:dyDescent="0.25">
      <c r="A103">
        <v>102</v>
      </c>
      <c r="D103" t="s">
        <v>551</v>
      </c>
      <c r="E103" t="s">
        <v>555</v>
      </c>
      <c r="F103" t="s">
        <v>554</v>
      </c>
      <c r="H103" t="s">
        <v>148</v>
      </c>
    </row>
    <row r="104" spans="1:11" x14ac:dyDescent="0.25">
      <c r="A104">
        <v>103</v>
      </c>
      <c r="D104" t="s">
        <v>556</v>
      </c>
      <c r="E104" t="s">
        <v>558</v>
      </c>
      <c r="F104" t="s">
        <v>1</v>
      </c>
      <c r="H104" t="s">
        <v>89</v>
      </c>
    </row>
    <row r="105" spans="1:11" x14ac:dyDescent="0.25">
      <c r="A105">
        <v>104</v>
      </c>
      <c r="D105" t="s">
        <v>559</v>
      </c>
      <c r="E105">
        <v>0</v>
      </c>
      <c r="F105" t="s">
        <v>1</v>
      </c>
      <c r="H105" t="s">
        <v>562</v>
      </c>
    </row>
    <row r="106" spans="1:11" x14ac:dyDescent="0.25">
      <c r="A106">
        <v>105</v>
      </c>
      <c r="D106" t="s">
        <v>563</v>
      </c>
      <c r="E106" t="s">
        <v>567</v>
      </c>
      <c r="F106" t="s">
        <v>566</v>
      </c>
      <c r="H106" t="s">
        <v>568</v>
      </c>
    </row>
    <row r="107" spans="1:11" x14ac:dyDescent="0.25">
      <c r="A107">
        <v>106</v>
      </c>
      <c r="D107" t="s">
        <v>569</v>
      </c>
      <c r="E107">
        <v>1017037925</v>
      </c>
      <c r="F107" t="s">
        <v>571</v>
      </c>
      <c r="H107" t="s">
        <v>148</v>
      </c>
    </row>
    <row r="108" spans="1:11" x14ac:dyDescent="0.25">
      <c r="A108">
        <v>107</v>
      </c>
      <c r="D108" t="s">
        <v>572</v>
      </c>
      <c r="E108" t="s">
        <v>576</v>
      </c>
      <c r="F108" t="s">
        <v>575</v>
      </c>
      <c r="H108" t="s">
        <v>180</v>
      </c>
    </row>
    <row r="109" spans="1:11" x14ac:dyDescent="0.25">
      <c r="A109">
        <v>108</v>
      </c>
      <c r="D109" t="s">
        <v>577</v>
      </c>
      <c r="E109" t="s">
        <v>581</v>
      </c>
      <c r="F109" t="s">
        <v>580</v>
      </c>
      <c r="H109" t="s">
        <v>148</v>
      </c>
    </row>
    <row r="110" spans="1:11" x14ac:dyDescent="0.25">
      <c r="A110">
        <v>109</v>
      </c>
      <c r="D110" t="s">
        <v>582</v>
      </c>
      <c r="E110" t="s">
        <v>587</v>
      </c>
      <c r="F110" t="s">
        <v>586</v>
      </c>
      <c r="H110" t="s">
        <v>588</v>
      </c>
    </row>
    <row r="111" spans="1:11" x14ac:dyDescent="0.25">
      <c r="A111">
        <v>110</v>
      </c>
      <c r="D111" t="s">
        <v>589</v>
      </c>
      <c r="E111" t="s">
        <v>592</v>
      </c>
      <c r="F111" t="s">
        <v>591</v>
      </c>
      <c r="H111" t="s">
        <v>89</v>
      </c>
    </row>
    <row r="112" spans="1:11" x14ac:dyDescent="0.25">
      <c r="A112">
        <v>111</v>
      </c>
      <c r="D112" t="s">
        <v>593</v>
      </c>
      <c r="E112" t="s">
        <v>147</v>
      </c>
      <c r="F112" t="s">
        <v>1</v>
      </c>
      <c r="G112" t="s">
        <v>4172</v>
      </c>
      <c r="H112" t="s">
        <v>180</v>
      </c>
      <c r="K112" t="s">
        <v>4172</v>
      </c>
    </row>
    <row r="113" spans="1:11" x14ac:dyDescent="0.25">
      <c r="A113">
        <v>112</v>
      </c>
      <c r="D113" t="s">
        <v>596</v>
      </c>
      <c r="E113" t="s">
        <v>599</v>
      </c>
      <c r="F113" t="s">
        <v>1</v>
      </c>
      <c r="G113" t="s">
        <v>4172</v>
      </c>
      <c r="H113" t="s">
        <v>148</v>
      </c>
      <c r="K113" t="s">
        <v>4172</v>
      </c>
    </row>
    <row r="114" spans="1:11" x14ac:dyDescent="0.25">
      <c r="A114">
        <v>113</v>
      </c>
      <c r="D114" t="s">
        <v>600</v>
      </c>
      <c r="E114" t="s">
        <v>604</v>
      </c>
      <c r="F114" t="s">
        <v>603</v>
      </c>
      <c r="H114" t="s">
        <v>148</v>
      </c>
    </row>
    <row r="115" spans="1:11" x14ac:dyDescent="0.25">
      <c r="A115">
        <v>114</v>
      </c>
      <c r="D115" t="s">
        <v>605</v>
      </c>
      <c r="E115" t="s">
        <v>147</v>
      </c>
      <c r="F115" t="s">
        <v>608</v>
      </c>
      <c r="H115" t="s">
        <v>148</v>
      </c>
    </row>
    <row r="116" spans="1:11" x14ac:dyDescent="0.25">
      <c r="A116">
        <v>115</v>
      </c>
      <c r="D116" t="s">
        <v>609</v>
      </c>
      <c r="E116" t="s">
        <v>614</v>
      </c>
      <c r="F116" t="s">
        <v>613</v>
      </c>
      <c r="H116" t="s">
        <v>89</v>
      </c>
    </row>
    <row r="117" spans="1:11" x14ac:dyDescent="0.25">
      <c r="A117">
        <v>116</v>
      </c>
      <c r="D117" t="s">
        <v>615</v>
      </c>
      <c r="E117" t="s">
        <v>618</v>
      </c>
      <c r="F117" t="s">
        <v>617</v>
      </c>
      <c r="H117" t="s">
        <v>619</v>
      </c>
    </row>
    <row r="118" spans="1:11" x14ac:dyDescent="0.25">
      <c r="A118">
        <v>117</v>
      </c>
      <c r="D118" t="s">
        <v>620</v>
      </c>
      <c r="E118" t="s">
        <v>622</v>
      </c>
      <c r="F118" t="s">
        <v>1</v>
      </c>
      <c r="H118" t="s">
        <v>148</v>
      </c>
    </row>
    <row r="119" spans="1:11" x14ac:dyDescent="0.25">
      <c r="A119">
        <v>118</v>
      </c>
      <c r="D119" t="s">
        <v>623</v>
      </c>
      <c r="E119">
        <v>0</v>
      </c>
      <c r="F119" t="s">
        <v>1</v>
      </c>
      <c r="H119" t="s">
        <v>625</v>
      </c>
    </row>
    <row r="120" spans="1:11" x14ac:dyDescent="0.25">
      <c r="A120">
        <v>119</v>
      </c>
      <c r="D120" t="s">
        <v>626</v>
      </c>
      <c r="E120" t="s">
        <v>630</v>
      </c>
      <c r="F120" t="s">
        <v>629</v>
      </c>
      <c r="H120" t="s">
        <v>148</v>
      </c>
    </row>
    <row r="121" spans="1:11" x14ac:dyDescent="0.25">
      <c r="A121">
        <v>120</v>
      </c>
      <c r="D121" t="s">
        <v>631</v>
      </c>
      <c r="E121" t="s">
        <v>635</v>
      </c>
      <c r="F121" t="s">
        <v>634</v>
      </c>
      <c r="G121" t="s">
        <v>4172</v>
      </c>
      <c r="H121" t="s">
        <v>180</v>
      </c>
      <c r="K121" t="s">
        <v>4172</v>
      </c>
    </row>
    <row r="122" spans="1:11" x14ac:dyDescent="0.25">
      <c r="A122">
        <v>121</v>
      </c>
      <c r="D122" t="s">
        <v>636</v>
      </c>
      <c r="E122" t="s">
        <v>640</v>
      </c>
      <c r="F122" t="s">
        <v>639</v>
      </c>
      <c r="H122" t="s">
        <v>180</v>
      </c>
    </row>
    <row r="123" spans="1:11" x14ac:dyDescent="0.25">
      <c r="A123">
        <v>122</v>
      </c>
      <c r="D123" t="s">
        <v>641</v>
      </c>
      <c r="E123" t="s">
        <v>644</v>
      </c>
      <c r="F123" t="s">
        <v>643</v>
      </c>
      <c r="G123" t="s">
        <v>4172</v>
      </c>
      <c r="H123" t="s">
        <v>180</v>
      </c>
      <c r="K123" t="s">
        <v>4172</v>
      </c>
    </row>
    <row r="124" spans="1:11" x14ac:dyDescent="0.25">
      <c r="A124">
        <v>123</v>
      </c>
      <c r="D124" t="s">
        <v>645</v>
      </c>
      <c r="E124" t="s">
        <v>648</v>
      </c>
      <c r="F124" t="s">
        <v>647</v>
      </c>
      <c r="H124" t="s">
        <v>184</v>
      </c>
    </row>
    <row r="125" spans="1:11" x14ac:dyDescent="0.25">
      <c r="A125">
        <v>124</v>
      </c>
      <c r="D125" t="s">
        <v>649</v>
      </c>
      <c r="E125" t="s">
        <v>653</v>
      </c>
      <c r="F125" t="s">
        <v>652</v>
      </c>
      <c r="H125" t="s">
        <v>654</v>
      </c>
    </row>
    <row r="126" spans="1:11" x14ac:dyDescent="0.25">
      <c r="A126">
        <v>125</v>
      </c>
      <c r="D126" t="s">
        <v>655</v>
      </c>
      <c r="E126" t="s">
        <v>658</v>
      </c>
      <c r="F126" t="s">
        <v>657</v>
      </c>
      <c r="H126" t="s">
        <v>89</v>
      </c>
    </row>
    <row r="127" spans="1:11" x14ac:dyDescent="0.25">
      <c r="A127">
        <v>126</v>
      </c>
      <c r="D127" t="s">
        <v>659</v>
      </c>
      <c r="E127" t="s">
        <v>663</v>
      </c>
      <c r="F127" t="s">
        <v>662</v>
      </c>
      <c r="H127" t="s">
        <v>664</v>
      </c>
    </row>
    <row r="128" spans="1:11" x14ac:dyDescent="0.25">
      <c r="A128">
        <v>127</v>
      </c>
      <c r="D128" t="s">
        <v>665</v>
      </c>
      <c r="E128">
        <v>0</v>
      </c>
      <c r="F128" t="s">
        <v>1</v>
      </c>
      <c r="H128" t="s">
        <v>148</v>
      </c>
    </row>
    <row r="129" spans="1:11" x14ac:dyDescent="0.25">
      <c r="A129">
        <v>128</v>
      </c>
      <c r="D129" t="s">
        <v>669</v>
      </c>
      <c r="E129" t="s">
        <v>673</v>
      </c>
      <c r="F129" t="s">
        <v>672</v>
      </c>
      <c r="H129" t="s">
        <v>180</v>
      </c>
    </row>
    <row r="130" spans="1:11" x14ac:dyDescent="0.25">
      <c r="A130">
        <v>129</v>
      </c>
      <c r="D130" t="s">
        <v>674</v>
      </c>
      <c r="E130" t="s">
        <v>678</v>
      </c>
      <c r="F130" t="s">
        <v>677</v>
      </c>
      <c r="H130" t="s">
        <v>148</v>
      </c>
    </row>
    <row r="131" spans="1:11" x14ac:dyDescent="0.25">
      <c r="A131">
        <v>130</v>
      </c>
      <c r="D131" t="s">
        <v>679</v>
      </c>
      <c r="E131" t="s">
        <v>682</v>
      </c>
      <c r="F131" t="s">
        <v>681</v>
      </c>
      <c r="H131" t="s">
        <v>683</v>
      </c>
    </row>
    <row r="132" spans="1:11" x14ac:dyDescent="0.25">
      <c r="A132">
        <v>131</v>
      </c>
      <c r="D132" t="s">
        <v>684</v>
      </c>
      <c r="E132">
        <v>0</v>
      </c>
      <c r="F132" t="s">
        <v>686</v>
      </c>
      <c r="H132" t="s">
        <v>89</v>
      </c>
    </row>
    <row r="133" spans="1:11" x14ac:dyDescent="0.25">
      <c r="A133">
        <v>132</v>
      </c>
      <c r="D133" t="s">
        <v>687</v>
      </c>
      <c r="E133" t="s">
        <v>689</v>
      </c>
      <c r="F133" t="s">
        <v>688</v>
      </c>
      <c r="G133" t="s">
        <v>4172</v>
      </c>
      <c r="H133" t="s">
        <v>89</v>
      </c>
      <c r="K133" t="s">
        <v>4172</v>
      </c>
    </row>
    <row r="134" spans="1:11" x14ac:dyDescent="0.25">
      <c r="A134">
        <v>133</v>
      </c>
      <c r="D134" t="s">
        <v>690</v>
      </c>
      <c r="E134" t="s">
        <v>693</v>
      </c>
      <c r="F134" t="s">
        <v>692</v>
      </c>
      <c r="H134" t="s">
        <v>89</v>
      </c>
    </row>
    <row r="135" spans="1:11" x14ac:dyDescent="0.25">
      <c r="A135">
        <v>134</v>
      </c>
      <c r="D135" t="s">
        <v>694</v>
      </c>
      <c r="E135">
        <v>17150713</v>
      </c>
      <c r="F135" t="s">
        <v>697</v>
      </c>
      <c r="H135" t="s">
        <v>180</v>
      </c>
    </row>
    <row r="136" spans="1:11" x14ac:dyDescent="0.25">
      <c r="A136">
        <v>135</v>
      </c>
      <c r="D136" t="s">
        <v>698</v>
      </c>
      <c r="E136">
        <v>79210514</v>
      </c>
      <c r="F136" t="s">
        <v>1</v>
      </c>
      <c r="H136" t="s">
        <v>1</v>
      </c>
    </row>
    <row r="137" spans="1:11" x14ac:dyDescent="0.25">
      <c r="A137">
        <v>136</v>
      </c>
      <c r="D137" t="s">
        <v>701</v>
      </c>
      <c r="E137" t="s">
        <v>704</v>
      </c>
      <c r="F137" t="s">
        <v>1</v>
      </c>
      <c r="H137" t="s">
        <v>148</v>
      </c>
    </row>
    <row r="138" spans="1:11" x14ac:dyDescent="0.25">
      <c r="A138">
        <v>137</v>
      </c>
      <c r="D138" t="s">
        <v>705</v>
      </c>
      <c r="E138" t="s">
        <v>707</v>
      </c>
      <c r="F138" t="s">
        <v>1</v>
      </c>
      <c r="H138" t="s">
        <v>148</v>
      </c>
    </row>
    <row r="139" spans="1:11" x14ac:dyDescent="0.25">
      <c r="A139">
        <v>138</v>
      </c>
      <c r="D139" t="s">
        <v>708</v>
      </c>
      <c r="E139">
        <v>19389830</v>
      </c>
      <c r="F139" t="s">
        <v>1</v>
      </c>
      <c r="H139" t="s">
        <v>180</v>
      </c>
    </row>
    <row r="140" spans="1:11" x14ac:dyDescent="0.25">
      <c r="A140">
        <v>139</v>
      </c>
      <c r="D140" t="s">
        <v>709</v>
      </c>
      <c r="E140">
        <v>0</v>
      </c>
      <c r="F140" t="s">
        <v>711</v>
      </c>
      <c r="H140" t="s">
        <v>712</v>
      </c>
    </row>
    <row r="141" spans="1:11" x14ac:dyDescent="0.25">
      <c r="A141">
        <v>140</v>
      </c>
      <c r="D141" t="s">
        <v>713</v>
      </c>
      <c r="E141" t="s">
        <v>716</v>
      </c>
      <c r="F141" t="s">
        <v>715</v>
      </c>
      <c r="G141" t="s">
        <v>4172</v>
      </c>
      <c r="H141" t="s">
        <v>148</v>
      </c>
      <c r="K141" t="s">
        <v>4172</v>
      </c>
    </row>
    <row r="142" spans="1:11" x14ac:dyDescent="0.25">
      <c r="A142">
        <v>141</v>
      </c>
      <c r="D142" t="s">
        <v>713</v>
      </c>
      <c r="E142" t="s">
        <v>716</v>
      </c>
      <c r="F142" t="s">
        <v>718</v>
      </c>
      <c r="H142" t="s">
        <v>184</v>
      </c>
    </row>
    <row r="143" spans="1:11" x14ac:dyDescent="0.25">
      <c r="A143">
        <v>142</v>
      </c>
      <c r="D143" t="s">
        <v>719</v>
      </c>
      <c r="E143">
        <v>0</v>
      </c>
      <c r="F143" t="s">
        <v>1</v>
      </c>
      <c r="H143" t="s">
        <v>148</v>
      </c>
    </row>
    <row r="144" spans="1:11" x14ac:dyDescent="0.25">
      <c r="A144">
        <v>143</v>
      </c>
      <c r="D144" t="s">
        <v>722</v>
      </c>
      <c r="E144" t="s">
        <v>276</v>
      </c>
      <c r="F144" t="s">
        <v>275</v>
      </c>
      <c r="H144" t="s">
        <v>148</v>
      </c>
    </row>
    <row r="145" spans="1:11" x14ac:dyDescent="0.25">
      <c r="A145">
        <v>144</v>
      </c>
      <c r="D145" t="s">
        <v>723</v>
      </c>
      <c r="E145" t="s">
        <v>727</v>
      </c>
      <c r="F145" t="s">
        <v>726</v>
      </c>
      <c r="H145" t="s">
        <v>148</v>
      </c>
    </row>
    <row r="146" spans="1:11" x14ac:dyDescent="0.25">
      <c r="A146">
        <v>145</v>
      </c>
      <c r="D146" t="s">
        <v>728</v>
      </c>
      <c r="E146" t="s">
        <v>147</v>
      </c>
      <c r="F146" t="s">
        <v>731</v>
      </c>
      <c r="H146" t="s">
        <v>89</v>
      </c>
    </row>
    <row r="147" spans="1:11" x14ac:dyDescent="0.25">
      <c r="A147">
        <v>146</v>
      </c>
      <c r="D147" t="s">
        <v>732</v>
      </c>
      <c r="E147" t="s">
        <v>147</v>
      </c>
      <c r="F147" t="s">
        <v>1</v>
      </c>
      <c r="G147" t="s">
        <v>4172</v>
      </c>
      <c r="H147" t="s">
        <v>148</v>
      </c>
      <c r="K147" t="s">
        <v>4172</v>
      </c>
    </row>
    <row r="148" spans="1:11" x14ac:dyDescent="0.25">
      <c r="A148">
        <v>147</v>
      </c>
      <c r="D148" t="s">
        <v>735</v>
      </c>
      <c r="E148" t="s">
        <v>739</v>
      </c>
      <c r="F148" t="s">
        <v>738</v>
      </c>
      <c r="H148" t="s">
        <v>89</v>
      </c>
    </row>
    <row r="149" spans="1:11" x14ac:dyDescent="0.25">
      <c r="A149">
        <v>148</v>
      </c>
      <c r="D149" t="s">
        <v>740</v>
      </c>
      <c r="E149">
        <v>0</v>
      </c>
      <c r="F149" t="s">
        <v>744</v>
      </c>
      <c r="H149" t="s">
        <v>148</v>
      </c>
    </row>
    <row r="150" spans="1:11" x14ac:dyDescent="0.25">
      <c r="A150">
        <v>149</v>
      </c>
      <c r="D150" t="s">
        <v>745</v>
      </c>
      <c r="E150" t="s">
        <v>749</v>
      </c>
      <c r="F150" t="s">
        <v>748</v>
      </c>
      <c r="H150" t="s">
        <v>148</v>
      </c>
    </row>
    <row r="151" spans="1:11" x14ac:dyDescent="0.25">
      <c r="A151">
        <v>150</v>
      </c>
      <c r="D151" t="s">
        <v>750</v>
      </c>
      <c r="E151" t="s">
        <v>754</v>
      </c>
      <c r="F151" t="s">
        <v>753</v>
      </c>
      <c r="H151" t="s">
        <v>755</v>
      </c>
    </row>
    <row r="152" spans="1:11" x14ac:dyDescent="0.25">
      <c r="A152">
        <v>151</v>
      </c>
      <c r="D152" t="s">
        <v>756</v>
      </c>
      <c r="E152">
        <v>51640472</v>
      </c>
      <c r="F152" t="s">
        <v>759</v>
      </c>
      <c r="H152" t="s">
        <v>148</v>
      </c>
    </row>
    <row r="153" spans="1:11" x14ac:dyDescent="0.25">
      <c r="A153">
        <v>152</v>
      </c>
      <c r="D153" t="s">
        <v>760</v>
      </c>
      <c r="E153">
        <v>0</v>
      </c>
      <c r="F153" t="s">
        <v>1</v>
      </c>
      <c r="H153" t="s">
        <v>148</v>
      </c>
    </row>
    <row r="154" spans="1:11" x14ac:dyDescent="0.25">
      <c r="A154">
        <v>153</v>
      </c>
      <c r="D154" t="s">
        <v>763</v>
      </c>
      <c r="E154" t="s">
        <v>766</v>
      </c>
      <c r="F154" t="s">
        <v>765</v>
      </c>
      <c r="G154" t="s">
        <v>4172</v>
      </c>
      <c r="H154" t="s">
        <v>148</v>
      </c>
      <c r="K154" t="s">
        <v>4172</v>
      </c>
    </row>
    <row r="155" spans="1:11" x14ac:dyDescent="0.25">
      <c r="A155">
        <v>154</v>
      </c>
      <c r="D155" t="s">
        <v>767</v>
      </c>
      <c r="E155">
        <v>0</v>
      </c>
      <c r="F155" t="s">
        <v>1</v>
      </c>
      <c r="H155" t="s">
        <v>180</v>
      </c>
    </row>
    <row r="156" spans="1:11" x14ac:dyDescent="0.25">
      <c r="A156">
        <v>155</v>
      </c>
      <c r="D156" t="s">
        <v>769</v>
      </c>
      <c r="E156" t="s">
        <v>772</v>
      </c>
      <c r="F156" t="s">
        <v>771</v>
      </c>
      <c r="H156" t="s">
        <v>180</v>
      </c>
    </row>
    <row r="157" spans="1:11" x14ac:dyDescent="0.25">
      <c r="A157">
        <v>156</v>
      </c>
      <c r="D157" t="s">
        <v>773</v>
      </c>
      <c r="E157" t="s">
        <v>776</v>
      </c>
      <c r="F157" t="s">
        <v>775</v>
      </c>
      <c r="H157" t="s">
        <v>777</v>
      </c>
    </row>
    <row r="158" spans="1:11" x14ac:dyDescent="0.25">
      <c r="A158">
        <v>157</v>
      </c>
      <c r="D158" t="s">
        <v>778</v>
      </c>
      <c r="E158">
        <v>79577293</v>
      </c>
      <c r="F158" t="s">
        <v>1</v>
      </c>
      <c r="H158" t="s">
        <v>781</v>
      </c>
    </row>
    <row r="159" spans="1:11" x14ac:dyDescent="0.25">
      <c r="A159">
        <v>158</v>
      </c>
      <c r="D159" t="s">
        <v>782</v>
      </c>
      <c r="E159">
        <v>142593226</v>
      </c>
      <c r="F159" t="s">
        <v>1</v>
      </c>
      <c r="H159" t="s">
        <v>712</v>
      </c>
    </row>
    <row r="160" spans="1:11" x14ac:dyDescent="0.25">
      <c r="A160">
        <v>159</v>
      </c>
      <c r="D160" t="s">
        <v>783</v>
      </c>
      <c r="E160" t="s">
        <v>788</v>
      </c>
      <c r="F160" t="s">
        <v>787</v>
      </c>
      <c r="H160" t="s">
        <v>180</v>
      </c>
    </row>
    <row r="161" spans="1:11" x14ac:dyDescent="0.25">
      <c r="A161">
        <v>160</v>
      </c>
      <c r="D161" t="s">
        <v>789</v>
      </c>
      <c r="E161" t="s">
        <v>147</v>
      </c>
      <c r="F161" t="s">
        <v>1</v>
      </c>
      <c r="G161" t="s">
        <v>4172</v>
      </c>
      <c r="H161" t="s">
        <v>792</v>
      </c>
      <c r="K161" t="s">
        <v>4172</v>
      </c>
    </row>
    <row r="162" spans="1:11" x14ac:dyDescent="0.25">
      <c r="A162">
        <v>161</v>
      </c>
      <c r="D162" t="s">
        <v>793</v>
      </c>
      <c r="E162" t="s">
        <v>797</v>
      </c>
      <c r="F162" t="s">
        <v>796</v>
      </c>
      <c r="H162" t="s">
        <v>1</v>
      </c>
    </row>
    <row r="163" spans="1:11" x14ac:dyDescent="0.25">
      <c r="A163">
        <v>162</v>
      </c>
      <c r="D163" t="s">
        <v>798</v>
      </c>
      <c r="E163" t="s">
        <v>803</v>
      </c>
      <c r="F163" t="s">
        <v>802</v>
      </c>
      <c r="H163" t="s">
        <v>804</v>
      </c>
    </row>
    <row r="164" spans="1:11" x14ac:dyDescent="0.25">
      <c r="A164">
        <v>163</v>
      </c>
      <c r="D164" t="s">
        <v>805</v>
      </c>
      <c r="E164">
        <v>0</v>
      </c>
      <c r="F164" t="s">
        <v>1</v>
      </c>
      <c r="H164" t="s">
        <v>148</v>
      </c>
    </row>
    <row r="165" spans="1:11" x14ac:dyDescent="0.25">
      <c r="A165">
        <v>164</v>
      </c>
      <c r="D165" t="s">
        <v>807</v>
      </c>
      <c r="E165" t="s">
        <v>810</v>
      </c>
      <c r="F165" t="s">
        <v>809</v>
      </c>
      <c r="H165" t="s">
        <v>148</v>
      </c>
    </row>
    <row r="166" spans="1:11" x14ac:dyDescent="0.25">
      <c r="A166">
        <v>165</v>
      </c>
      <c r="D166" t="s">
        <v>811</v>
      </c>
      <c r="E166">
        <v>12201318</v>
      </c>
      <c r="F166" t="s">
        <v>1</v>
      </c>
      <c r="H166" t="s">
        <v>148</v>
      </c>
    </row>
    <row r="167" spans="1:11" x14ac:dyDescent="0.25">
      <c r="A167">
        <v>166</v>
      </c>
      <c r="D167" t="s">
        <v>814</v>
      </c>
      <c r="E167">
        <v>98471765</v>
      </c>
      <c r="F167" t="s">
        <v>817</v>
      </c>
      <c r="H167" t="s">
        <v>818</v>
      </c>
    </row>
    <row r="168" spans="1:11" x14ac:dyDescent="0.25">
      <c r="A168">
        <v>167</v>
      </c>
      <c r="D168" t="s">
        <v>819</v>
      </c>
      <c r="E168">
        <v>0</v>
      </c>
      <c r="F168" t="s">
        <v>821</v>
      </c>
      <c r="H168" t="s">
        <v>822</v>
      </c>
    </row>
    <row r="169" spans="1:11" x14ac:dyDescent="0.25">
      <c r="A169">
        <v>168</v>
      </c>
      <c r="D169" t="s">
        <v>823</v>
      </c>
      <c r="E169" t="s">
        <v>827</v>
      </c>
      <c r="F169" t="s">
        <v>826</v>
      </c>
      <c r="H169" t="s">
        <v>562</v>
      </c>
    </row>
    <row r="170" spans="1:11" x14ac:dyDescent="0.25">
      <c r="A170">
        <v>169</v>
      </c>
      <c r="D170" t="s">
        <v>828</v>
      </c>
      <c r="E170" t="s">
        <v>831</v>
      </c>
      <c r="F170" t="s">
        <v>1</v>
      </c>
      <c r="H170" t="s">
        <v>148</v>
      </c>
    </row>
    <row r="171" spans="1:11" x14ac:dyDescent="0.25">
      <c r="A171">
        <v>170</v>
      </c>
      <c r="D171" t="s">
        <v>832</v>
      </c>
      <c r="E171">
        <v>0</v>
      </c>
      <c r="F171" t="s">
        <v>1</v>
      </c>
      <c r="H171" t="s">
        <v>148</v>
      </c>
    </row>
    <row r="172" spans="1:11" x14ac:dyDescent="0.25">
      <c r="A172">
        <v>171</v>
      </c>
      <c r="D172" t="s">
        <v>834</v>
      </c>
      <c r="E172" t="s">
        <v>838</v>
      </c>
      <c r="F172" t="s">
        <v>837</v>
      </c>
      <c r="H172" t="s">
        <v>839</v>
      </c>
    </row>
    <row r="173" spans="1:11" x14ac:dyDescent="0.25">
      <c r="A173">
        <v>172</v>
      </c>
      <c r="D173" t="s">
        <v>840</v>
      </c>
      <c r="E173" t="s">
        <v>844</v>
      </c>
      <c r="F173" t="s">
        <v>843</v>
      </c>
      <c r="H173" t="s">
        <v>148</v>
      </c>
    </row>
    <row r="174" spans="1:11" x14ac:dyDescent="0.25">
      <c r="A174">
        <v>173</v>
      </c>
      <c r="D174" t="s">
        <v>845</v>
      </c>
      <c r="E174">
        <v>0</v>
      </c>
      <c r="F174" t="s">
        <v>848</v>
      </c>
      <c r="H174" t="s">
        <v>180</v>
      </c>
    </row>
    <row r="175" spans="1:11" x14ac:dyDescent="0.25">
      <c r="A175">
        <v>174</v>
      </c>
      <c r="D175" t="s">
        <v>849</v>
      </c>
      <c r="E175">
        <v>0</v>
      </c>
      <c r="F175" t="s">
        <v>852</v>
      </c>
      <c r="H175" t="s">
        <v>853</v>
      </c>
    </row>
    <row r="176" spans="1:11" x14ac:dyDescent="0.25">
      <c r="A176">
        <v>175</v>
      </c>
      <c r="D176" t="s">
        <v>854</v>
      </c>
      <c r="E176">
        <v>0</v>
      </c>
      <c r="F176" t="s">
        <v>858</v>
      </c>
      <c r="H176" t="s">
        <v>256</v>
      </c>
    </row>
    <row r="177" spans="1:11" x14ac:dyDescent="0.25">
      <c r="A177">
        <v>176</v>
      </c>
      <c r="D177" t="s">
        <v>859</v>
      </c>
      <c r="E177" t="s">
        <v>861</v>
      </c>
      <c r="F177" t="s">
        <v>1</v>
      </c>
      <c r="H177" t="s">
        <v>148</v>
      </c>
    </row>
    <row r="178" spans="1:11" x14ac:dyDescent="0.25">
      <c r="A178">
        <v>177</v>
      </c>
      <c r="D178" t="s">
        <v>862</v>
      </c>
      <c r="E178" t="s">
        <v>864</v>
      </c>
      <c r="F178" t="s">
        <v>1</v>
      </c>
      <c r="H178" t="s">
        <v>311</v>
      </c>
    </row>
    <row r="179" spans="1:11" x14ac:dyDescent="0.25">
      <c r="A179">
        <v>178</v>
      </c>
      <c r="D179" t="s">
        <v>865</v>
      </c>
      <c r="E179">
        <v>0</v>
      </c>
      <c r="F179" t="s">
        <v>1</v>
      </c>
      <c r="H179" t="s">
        <v>148</v>
      </c>
    </row>
    <row r="180" spans="1:11" x14ac:dyDescent="0.25">
      <c r="A180">
        <v>179</v>
      </c>
      <c r="D180" t="s">
        <v>867</v>
      </c>
      <c r="E180" t="s">
        <v>870</v>
      </c>
      <c r="F180" t="s">
        <v>869</v>
      </c>
      <c r="H180" t="s">
        <v>89</v>
      </c>
    </row>
    <row r="181" spans="1:11" x14ac:dyDescent="0.25">
      <c r="A181">
        <v>180</v>
      </c>
      <c r="D181" t="s">
        <v>871</v>
      </c>
      <c r="E181" t="s">
        <v>874</v>
      </c>
      <c r="F181" t="s">
        <v>1</v>
      </c>
      <c r="H181" t="s">
        <v>875</v>
      </c>
    </row>
    <row r="182" spans="1:11" x14ac:dyDescent="0.25">
      <c r="A182">
        <v>181</v>
      </c>
      <c r="D182" t="s">
        <v>876</v>
      </c>
      <c r="E182">
        <v>0</v>
      </c>
      <c r="F182" t="s">
        <v>1</v>
      </c>
      <c r="H182" t="s">
        <v>148</v>
      </c>
    </row>
    <row r="183" spans="1:11" x14ac:dyDescent="0.25">
      <c r="A183">
        <v>182</v>
      </c>
      <c r="D183" t="s">
        <v>878</v>
      </c>
      <c r="E183">
        <v>19318924</v>
      </c>
      <c r="F183" t="s">
        <v>881</v>
      </c>
      <c r="H183" t="s">
        <v>818</v>
      </c>
    </row>
    <row r="184" spans="1:11" x14ac:dyDescent="0.25">
      <c r="A184">
        <v>183</v>
      </c>
      <c r="D184" t="s">
        <v>882</v>
      </c>
      <c r="E184" t="s">
        <v>886</v>
      </c>
      <c r="F184" t="s">
        <v>885</v>
      </c>
      <c r="G184" t="s">
        <v>4172</v>
      </c>
      <c r="H184" t="s">
        <v>818</v>
      </c>
      <c r="K184" t="s">
        <v>4172</v>
      </c>
    </row>
    <row r="185" spans="1:11" x14ac:dyDescent="0.25">
      <c r="A185">
        <v>184</v>
      </c>
      <c r="D185" t="s">
        <v>887</v>
      </c>
      <c r="E185" t="s">
        <v>147</v>
      </c>
      <c r="F185" t="s">
        <v>890</v>
      </c>
      <c r="H185" t="s">
        <v>148</v>
      </c>
    </row>
    <row r="186" spans="1:11" x14ac:dyDescent="0.25">
      <c r="A186">
        <v>185</v>
      </c>
      <c r="D186" t="s">
        <v>891</v>
      </c>
      <c r="E186">
        <v>0</v>
      </c>
      <c r="F186" t="s">
        <v>893</v>
      </c>
      <c r="H186" t="s">
        <v>89</v>
      </c>
    </row>
    <row r="187" spans="1:11" x14ac:dyDescent="0.25">
      <c r="A187">
        <v>186</v>
      </c>
      <c r="D187" t="s">
        <v>894</v>
      </c>
      <c r="E187" t="s">
        <v>898</v>
      </c>
      <c r="F187" t="s">
        <v>897</v>
      </c>
      <c r="H187" t="s">
        <v>180</v>
      </c>
    </row>
    <row r="188" spans="1:11" x14ac:dyDescent="0.25">
      <c r="A188">
        <v>187</v>
      </c>
      <c r="D188" t="s">
        <v>899</v>
      </c>
      <c r="E188">
        <v>0</v>
      </c>
      <c r="F188" t="s">
        <v>1</v>
      </c>
      <c r="H188" t="s">
        <v>818</v>
      </c>
    </row>
    <row r="189" spans="1:11" x14ac:dyDescent="0.25">
      <c r="A189">
        <v>188</v>
      </c>
      <c r="D189" t="s">
        <v>901</v>
      </c>
      <c r="E189" t="s">
        <v>905</v>
      </c>
      <c r="F189" t="s">
        <v>904</v>
      </c>
      <c r="H189" t="s">
        <v>180</v>
      </c>
    </row>
    <row r="190" spans="1:11" x14ac:dyDescent="0.25">
      <c r="A190">
        <v>189</v>
      </c>
      <c r="D190" t="s">
        <v>906</v>
      </c>
      <c r="E190" t="s">
        <v>910</v>
      </c>
      <c r="F190" t="s">
        <v>909</v>
      </c>
      <c r="H190" t="s">
        <v>148</v>
      </c>
    </row>
    <row r="191" spans="1:11" x14ac:dyDescent="0.25">
      <c r="A191">
        <v>190</v>
      </c>
      <c r="D191" t="s">
        <v>911</v>
      </c>
      <c r="E191" t="s">
        <v>915</v>
      </c>
      <c r="F191" t="s">
        <v>914</v>
      </c>
      <c r="H191" t="s">
        <v>180</v>
      </c>
    </row>
    <row r="192" spans="1:11" x14ac:dyDescent="0.25">
      <c r="A192">
        <v>191</v>
      </c>
      <c r="D192" t="s">
        <v>916</v>
      </c>
      <c r="E192" t="s">
        <v>85</v>
      </c>
      <c r="F192" t="s">
        <v>918</v>
      </c>
      <c r="G192" t="s">
        <v>4172</v>
      </c>
      <c r="H192" t="s">
        <v>89</v>
      </c>
      <c r="K192" t="s">
        <v>4172</v>
      </c>
    </row>
    <row r="193" spans="1:11" x14ac:dyDescent="0.25">
      <c r="A193">
        <v>192</v>
      </c>
      <c r="D193" t="s">
        <v>919</v>
      </c>
      <c r="E193">
        <v>9004451180</v>
      </c>
      <c r="F193" t="s">
        <v>921</v>
      </c>
      <c r="H193" t="s">
        <v>180</v>
      </c>
    </row>
    <row r="194" spans="1:11" x14ac:dyDescent="0.25">
      <c r="A194">
        <v>193</v>
      </c>
      <c r="D194" t="s">
        <v>922</v>
      </c>
      <c r="E194">
        <v>0</v>
      </c>
      <c r="F194" t="s">
        <v>924</v>
      </c>
      <c r="H194" t="s">
        <v>89</v>
      </c>
    </row>
    <row r="195" spans="1:11" x14ac:dyDescent="0.25">
      <c r="A195">
        <v>194</v>
      </c>
      <c r="D195" t="s">
        <v>925</v>
      </c>
      <c r="E195" t="s">
        <v>929</v>
      </c>
      <c r="F195" t="s">
        <v>928</v>
      </c>
      <c r="H195" t="s">
        <v>930</v>
      </c>
    </row>
    <row r="196" spans="1:11" x14ac:dyDescent="0.25">
      <c r="A196">
        <v>195</v>
      </c>
      <c r="D196" t="s">
        <v>931</v>
      </c>
      <c r="E196" t="s">
        <v>934</v>
      </c>
      <c r="F196" t="s">
        <v>931</v>
      </c>
      <c r="H196" t="s">
        <v>180</v>
      </c>
    </row>
    <row r="197" spans="1:11" x14ac:dyDescent="0.25">
      <c r="A197">
        <v>196</v>
      </c>
      <c r="D197" t="s">
        <v>935</v>
      </c>
      <c r="E197">
        <v>0</v>
      </c>
      <c r="F197" t="s">
        <v>1</v>
      </c>
      <c r="H197" t="s">
        <v>818</v>
      </c>
    </row>
    <row r="198" spans="1:11" x14ac:dyDescent="0.25">
      <c r="A198">
        <v>197</v>
      </c>
      <c r="D198" t="s">
        <v>937</v>
      </c>
      <c r="E198" t="s">
        <v>940</v>
      </c>
      <c r="F198" t="s">
        <v>1</v>
      </c>
      <c r="G198" t="s">
        <v>4172</v>
      </c>
      <c r="H198" t="s">
        <v>148</v>
      </c>
      <c r="K198" t="s">
        <v>4172</v>
      </c>
    </row>
    <row r="199" spans="1:11" x14ac:dyDescent="0.25">
      <c r="A199">
        <v>198</v>
      </c>
      <c r="D199" t="s">
        <v>941</v>
      </c>
      <c r="E199">
        <v>19135985</v>
      </c>
      <c r="F199" t="s">
        <v>944</v>
      </c>
      <c r="H199" t="s">
        <v>148</v>
      </c>
    </row>
    <row r="200" spans="1:11" x14ac:dyDescent="0.25">
      <c r="A200">
        <v>199</v>
      </c>
      <c r="D200" t="s">
        <v>945</v>
      </c>
      <c r="E200">
        <v>0</v>
      </c>
      <c r="F200" t="s">
        <v>947</v>
      </c>
      <c r="H200" t="s">
        <v>180</v>
      </c>
    </row>
    <row r="201" spans="1:11" x14ac:dyDescent="0.25">
      <c r="A201">
        <v>200</v>
      </c>
      <c r="D201" t="s">
        <v>948</v>
      </c>
      <c r="E201" t="s">
        <v>952</v>
      </c>
      <c r="F201" t="s">
        <v>951</v>
      </c>
      <c r="H201" t="s">
        <v>148</v>
      </c>
    </row>
    <row r="202" spans="1:11" x14ac:dyDescent="0.25">
      <c r="A202">
        <v>201</v>
      </c>
      <c r="D202" t="s">
        <v>953</v>
      </c>
      <c r="E202" t="s">
        <v>147</v>
      </c>
      <c r="F202" t="s">
        <v>1</v>
      </c>
      <c r="H202" t="s">
        <v>148</v>
      </c>
    </row>
    <row r="203" spans="1:11" x14ac:dyDescent="0.25">
      <c r="A203">
        <v>202</v>
      </c>
      <c r="D203" t="s">
        <v>956</v>
      </c>
      <c r="E203" t="s">
        <v>959</v>
      </c>
      <c r="F203" t="s">
        <v>958</v>
      </c>
      <c r="H203" t="s">
        <v>818</v>
      </c>
    </row>
    <row r="204" spans="1:11" x14ac:dyDescent="0.25">
      <c r="A204">
        <v>203</v>
      </c>
      <c r="D204" t="s">
        <v>960</v>
      </c>
      <c r="E204" t="s">
        <v>147</v>
      </c>
      <c r="F204" t="s">
        <v>1</v>
      </c>
      <c r="H204" t="s">
        <v>148</v>
      </c>
    </row>
    <row r="205" spans="1:11" x14ac:dyDescent="0.25">
      <c r="A205">
        <v>204</v>
      </c>
      <c r="D205" t="s">
        <v>963</v>
      </c>
      <c r="E205">
        <v>0</v>
      </c>
      <c r="F205" t="s">
        <v>1</v>
      </c>
      <c r="H205" t="s">
        <v>148</v>
      </c>
    </row>
    <row r="206" spans="1:11" x14ac:dyDescent="0.25">
      <c r="A206">
        <v>205</v>
      </c>
      <c r="D206" t="s">
        <v>967</v>
      </c>
      <c r="E206" t="s">
        <v>970</v>
      </c>
      <c r="F206" t="s">
        <v>1</v>
      </c>
      <c r="G206" t="s">
        <v>143</v>
      </c>
      <c r="H206" t="s">
        <v>562</v>
      </c>
      <c r="K206" t="s">
        <v>4172</v>
      </c>
    </row>
    <row r="207" spans="1:11" x14ac:dyDescent="0.25">
      <c r="A207">
        <v>206</v>
      </c>
      <c r="D207" t="s">
        <v>971</v>
      </c>
      <c r="E207">
        <v>0</v>
      </c>
      <c r="F207" t="s">
        <v>1</v>
      </c>
      <c r="H207" t="s">
        <v>972</v>
      </c>
    </row>
    <row r="208" spans="1:11" x14ac:dyDescent="0.25">
      <c r="A208">
        <v>207</v>
      </c>
      <c r="D208" t="s">
        <v>973</v>
      </c>
      <c r="E208" t="s">
        <v>977</v>
      </c>
      <c r="F208" t="s">
        <v>976</v>
      </c>
      <c r="G208" t="s">
        <v>4172</v>
      </c>
      <c r="H208" t="s">
        <v>978</v>
      </c>
      <c r="K208" t="s">
        <v>4172</v>
      </c>
    </row>
    <row r="209" spans="1:11" x14ac:dyDescent="0.25">
      <c r="A209">
        <v>208</v>
      </c>
      <c r="D209" t="s">
        <v>979</v>
      </c>
      <c r="E209" t="s">
        <v>982</v>
      </c>
      <c r="F209" t="s">
        <v>981</v>
      </c>
      <c r="H209" t="s">
        <v>236</v>
      </c>
    </row>
    <row r="210" spans="1:11" x14ac:dyDescent="0.25">
      <c r="A210">
        <v>209</v>
      </c>
      <c r="D210" t="s">
        <v>983</v>
      </c>
      <c r="E210" t="s">
        <v>147</v>
      </c>
      <c r="F210" t="s">
        <v>1</v>
      </c>
      <c r="G210" t="s">
        <v>4172</v>
      </c>
      <c r="H210" t="s">
        <v>148</v>
      </c>
      <c r="K210" t="s">
        <v>4172</v>
      </c>
    </row>
    <row r="211" spans="1:11" x14ac:dyDescent="0.25">
      <c r="A211">
        <v>210</v>
      </c>
      <c r="D211" t="s">
        <v>985</v>
      </c>
      <c r="E211" t="s">
        <v>989</v>
      </c>
      <c r="F211" t="s">
        <v>988</v>
      </c>
      <c r="G211" t="s">
        <v>4172</v>
      </c>
      <c r="H211" t="s">
        <v>148</v>
      </c>
      <c r="K211" t="s">
        <v>4172</v>
      </c>
    </row>
    <row r="212" spans="1:11" x14ac:dyDescent="0.25">
      <c r="A212">
        <v>211</v>
      </c>
      <c r="D212" t="s">
        <v>990</v>
      </c>
      <c r="E212" t="s">
        <v>147</v>
      </c>
      <c r="F212" t="s">
        <v>992</v>
      </c>
      <c r="G212" t="s">
        <v>4172</v>
      </c>
      <c r="H212" t="s">
        <v>89</v>
      </c>
      <c r="K212" t="s">
        <v>4172</v>
      </c>
    </row>
    <row r="213" spans="1:11" x14ac:dyDescent="0.25">
      <c r="A213">
        <v>212</v>
      </c>
      <c r="D213" t="s">
        <v>993</v>
      </c>
      <c r="E213" t="s">
        <v>997</v>
      </c>
      <c r="F213" t="s">
        <v>996</v>
      </c>
      <c r="H213" t="s">
        <v>998</v>
      </c>
    </row>
    <row r="214" spans="1:11" x14ac:dyDescent="0.25">
      <c r="A214">
        <v>213</v>
      </c>
      <c r="D214" t="s">
        <v>999</v>
      </c>
      <c r="E214" t="s">
        <v>1003</v>
      </c>
      <c r="F214" t="s">
        <v>1002</v>
      </c>
      <c r="H214" t="s">
        <v>1004</v>
      </c>
    </row>
    <row r="215" spans="1:11" x14ac:dyDescent="0.25">
      <c r="A215">
        <v>214</v>
      </c>
      <c r="D215" t="s">
        <v>1005</v>
      </c>
      <c r="E215" t="s">
        <v>1009</v>
      </c>
      <c r="F215" t="s">
        <v>1008</v>
      </c>
      <c r="H215" t="s">
        <v>89</v>
      </c>
    </row>
    <row r="216" spans="1:11" x14ac:dyDescent="0.25">
      <c r="A216">
        <v>215</v>
      </c>
      <c r="D216" t="s">
        <v>1010</v>
      </c>
      <c r="E216" t="s">
        <v>68</v>
      </c>
      <c r="F216" t="s">
        <v>1</v>
      </c>
      <c r="H216" t="s">
        <v>89</v>
      </c>
    </row>
    <row r="217" spans="1:11" x14ac:dyDescent="0.25">
      <c r="A217">
        <v>216</v>
      </c>
      <c r="D217" t="s">
        <v>1012</v>
      </c>
      <c r="E217">
        <v>0</v>
      </c>
      <c r="F217" t="s">
        <v>1015</v>
      </c>
      <c r="H217" t="s">
        <v>148</v>
      </c>
    </row>
    <row r="218" spans="1:11" x14ac:dyDescent="0.25">
      <c r="A218">
        <v>217</v>
      </c>
      <c r="D218" t="s">
        <v>1016</v>
      </c>
      <c r="E218" t="s">
        <v>1019</v>
      </c>
      <c r="F218" t="s">
        <v>1018</v>
      </c>
      <c r="H218" t="s">
        <v>148</v>
      </c>
    </row>
    <row r="219" spans="1:11" x14ac:dyDescent="0.25">
      <c r="A219">
        <v>218</v>
      </c>
      <c r="D219" t="s">
        <v>1020</v>
      </c>
      <c r="E219" t="s">
        <v>147</v>
      </c>
      <c r="F219" t="s">
        <v>1</v>
      </c>
      <c r="G219" t="s">
        <v>4172</v>
      </c>
      <c r="H219" t="s">
        <v>148</v>
      </c>
      <c r="K219" t="s">
        <v>4172</v>
      </c>
    </row>
    <row r="220" spans="1:11" x14ac:dyDescent="0.25">
      <c r="A220">
        <v>219</v>
      </c>
      <c r="D220" t="s">
        <v>1022</v>
      </c>
      <c r="E220">
        <v>0</v>
      </c>
      <c r="F220" t="s">
        <v>1025</v>
      </c>
      <c r="H220" t="s">
        <v>89</v>
      </c>
    </row>
    <row r="221" spans="1:11" x14ac:dyDescent="0.25">
      <c r="A221">
        <v>220</v>
      </c>
      <c r="D221" t="s">
        <v>1026</v>
      </c>
      <c r="E221">
        <v>0</v>
      </c>
      <c r="F221" t="s">
        <v>1</v>
      </c>
      <c r="H221" t="s">
        <v>148</v>
      </c>
    </row>
    <row r="222" spans="1:11" x14ac:dyDescent="0.25">
      <c r="A222">
        <v>221</v>
      </c>
      <c r="D222" t="s">
        <v>1029</v>
      </c>
      <c r="E222">
        <v>79285037</v>
      </c>
      <c r="F222" t="s">
        <v>1</v>
      </c>
      <c r="H222" t="s">
        <v>1033</v>
      </c>
    </row>
    <row r="223" spans="1:11" x14ac:dyDescent="0.25">
      <c r="A223">
        <v>222</v>
      </c>
      <c r="D223" t="s">
        <v>1034</v>
      </c>
      <c r="E223">
        <v>0</v>
      </c>
      <c r="F223" t="s">
        <v>1</v>
      </c>
      <c r="H223" t="s">
        <v>818</v>
      </c>
    </row>
    <row r="224" spans="1:11" x14ac:dyDescent="0.25">
      <c r="A224">
        <v>223</v>
      </c>
      <c r="D224" t="s">
        <v>1037</v>
      </c>
      <c r="E224">
        <v>74341579</v>
      </c>
      <c r="F224" t="s">
        <v>1</v>
      </c>
      <c r="H224" t="s">
        <v>148</v>
      </c>
    </row>
    <row r="225" spans="1:11" x14ac:dyDescent="0.25">
      <c r="A225">
        <v>224</v>
      </c>
      <c r="D225" t="s">
        <v>1039</v>
      </c>
      <c r="E225" t="s">
        <v>1042</v>
      </c>
      <c r="F225" t="s">
        <v>1041</v>
      </c>
      <c r="H225" t="s">
        <v>712</v>
      </c>
    </row>
    <row r="226" spans="1:11" x14ac:dyDescent="0.25">
      <c r="A226">
        <v>225</v>
      </c>
      <c r="D226" t="s">
        <v>1043</v>
      </c>
      <c r="E226" t="s">
        <v>1047</v>
      </c>
      <c r="F226" t="s">
        <v>1046</v>
      </c>
      <c r="H226" t="s">
        <v>1048</v>
      </c>
    </row>
    <row r="227" spans="1:11" x14ac:dyDescent="0.25">
      <c r="A227">
        <v>226</v>
      </c>
      <c r="D227" t="s">
        <v>1049</v>
      </c>
      <c r="E227">
        <v>12168780</v>
      </c>
      <c r="F227" t="s">
        <v>603</v>
      </c>
      <c r="H227" t="s">
        <v>148</v>
      </c>
    </row>
    <row r="228" spans="1:11" x14ac:dyDescent="0.25">
      <c r="A228">
        <v>227</v>
      </c>
      <c r="D228" t="s">
        <v>1051</v>
      </c>
      <c r="E228">
        <v>6033570</v>
      </c>
      <c r="F228" t="s">
        <v>1055</v>
      </c>
      <c r="H228" t="s">
        <v>89</v>
      </c>
    </row>
    <row r="229" spans="1:11" x14ac:dyDescent="0.25">
      <c r="A229">
        <v>228</v>
      </c>
      <c r="D229" t="s">
        <v>1056</v>
      </c>
      <c r="E229" t="s">
        <v>147</v>
      </c>
      <c r="F229" t="s">
        <v>1059</v>
      </c>
      <c r="H229" t="s">
        <v>1060</v>
      </c>
    </row>
    <row r="230" spans="1:11" x14ac:dyDescent="0.25">
      <c r="A230">
        <v>229</v>
      </c>
      <c r="D230" t="s">
        <v>1061</v>
      </c>
      <c r="E230" t="s">
        <v>147</v>
      </c>
      <c r="F230" t="s">
        <v>1</v>
      </c>
      <c r="G230" t="s">
        <v>4172</v>
      </c>
      <c r="H230" t="s">
        <v>148</v>
      </c>
      <c r="K230" t="s">
        <v>4172</v>
      </c>
    </row>
    <row r="231" spans="1:11" x14ac:dyDescent="0.25">
      <c r="A231">
        <v>230</v>
      </c>
      <c r="D231" t="s">
        <v>1063</v>
      </c>
      <c r="E231" t="s">
        <v>1066</v>
      </c>
      <c r="F231" t="s">
        <v>1065</v>
      </c>
      <c r="H231" t="s">
        <v>148</v>
      </c>
    </row>
    <row r="232" spans="1:11" x14ac:dyDescent="0.25">
      <c r="A232">
        <v>231</v>
      </c>
      <c r="D232" t="s">
        <v>1067</v>
      </c>
      <c r="E232">
        <v>0</v>
      </c>
      <c r="F232" t="s">
        <v>1069</v>
      </c>
      <c r="H232" t="s">
        <v>89</v>
      </c>
    </row>
    <row r="233" spans="1:11" x14ac:dyDescent="0.25">
      <c r="A233">
        <v>232</v>
      </c>
      <c r="D233" t="s">
        <v>1070</v>
      </c>
      <c r="E233" t="s">
        <v>1074</v>
      </c>
      <c r="F233" t="s">
        <v>1</v>
      </c>
      <c r="H233" t="s">
        <v>148</v>
      </c>
    </row>
    <row r="234" spans="1:11" x14ac:dyDescent="0.25">
      <c r="A234">
        <v>233</v>
      </c>
      <c r="D234" t="s">
        <v>1075</v>
      </c>
      <c r="E234">
        <v>0</v>
      </c>
      <c r="F234" t="s">
        <v>1</v>
      </c>
      <c r="H234" t="s">
        <v>180</v>
      </c>
    </row>
    <row r="235" spans="1:11" x14ac:dyDescent="0.25">
      <c r="A235">
        <v>234</v>
      </c>
      <c r="D235" t="s">
        <v>1077</v>
      </c>
      <c r="E235" t="s">
        <v>1081</v>
      </c>
      <c r="F235" t="s">
        <v>1080</v>
      </c>
      <c r="H235" t="s">
        <v>1082</v>
      </c>
    </row>
    <row r="236" spans="1:11" x14ac:dyDescent="0.25">
      <c r="A236">
        <v>235</v>
      </c>
      <c r="D236" t="s">
        <v>1083</v>
      </c>
      <c r="E236" t="s">
        <v>592</v>
      </c>
      <c r="F236" t="s">
        <v>591</v>
      </c>
      <c r="H236" t="s">
        <v>89</v>
      </c>
    </row>
    <row r="237" spans="1:11" x14ac:dyDescent="0.25">
      <c r="A237">
        <v>236</v>
      </c>
      <c r="D237" t="s">
        <v>1085</v>
      </c>
      <c r="E237" t="s">
        <v>1089</v>
      </c>
      <c r="F237" t="s">
        <v>1088</v>
      </c>
      <c r="H237" t="s">
        <v>148</v>
      </c>
    </row>
    <row r="238" spans="1:11" x14ac:dyDescent="0.25">
      <c r="A238">
        <v>237</v>
      </c>
      <c r="D238" t="s">
        <v>1090</v>
      </c>
      <c r="E238" t="s">
        <v>1095</v>
      </c>
      <c r="F238" t="s">
        <v>1094</v>
      </c>
      <c r="G238" t="s">
        <v>4172</v>
      </c>
      <c r="H238" t="s">
        <v>148</v>
      </c>
      <c r="K238" t="s">
        <v>4172</v>
      </c>
    </row>
    <row r="239" spans="1:11" x14ac:dyDescent="0.25">
      <c r="A239">
        <v>238</v>
      </c>
      <c r="D239" t="s">
        <v>1096</v>
      </c>
      <c r="E239">
        <v>0</v>
      </c>
      <c r="F239" t="s">
        <v>1</v>
      </c>
      <c r="H239" t="s">
        <v>148</v>
      </c>
    </row>
    <row r="240" spans="1:11" x14ac:dyDescent="0.25">
      <c r="A240">
        <v>239</v>
      </c>
      <c r="D240" t="s">
        <v>1099</v>
      </c>
      <c r="E240" t="s">
        <v>1103</v>
      </c>
      <c r="F240" t="s">
        <v>1102</v>
      </c>
      <c r="H240" t="s">
        <v>89</v>
      </c>
    </row>
    <row r="241" spans="1:11" x14ac:dyDescent="0.25">
      <c r="A241">
        <v>240</v>
      </c>
      <c r="D241" t="s">
        <v>1104</v>
      </c>
      <c r="E241">
        <v>0</v>
      </c>
      <c r="F241" t="s">
        <v>1</v>
      </c>
      <c r="H241" t="s">
        <v>1048</v>
      </c>
    </row>
    <row r="242" spans="1:11" x14ac:dyDescent="0.25">
      <c r="A242">
        <v>241</v>
      </c>
      <c r="D242" t="s">
        <v>1107</v>
      </c>
      <c r="E242">
        <v>0</v>
      </c>
      <c r="F242" t="s">
        <v>1</v>
      </c>
      <c r="H242" t="s">
        <v>89</v>
      </c>
    </row>
    <row r="243" spans="1:11" x14ac:dyDescent="0.25">
      <c r="A243">
        <v>242</v>
      </c>
      <c r="D243" t="s">
        <v>1110</v>
      </c>
      <c r="E243" t="s">
        <v>1114</v>
      </c>
      <c r="F243" t="s">
        <v>1113</v>
      </c>
      <c r="H243" t="s">
        <v>148</v>
      </c>
    </row>
    <row r="244" spans="1:11" x14ac:dyDescent="0.25">
      <c r="A244">
        <v>243</v>
      </c>
      <c r="D244" t="s">
        <v>1115</v>
      </c>
      <c r="E244" t="s">
        <v>1118</v>
      </c>
      <c r="F244" t="s">
        <v>1117</v>
      </c>
      <c r="H244" t="s">
        <v>180</v>
      </c>
    </row>
    <row r="245" spans="1:11" x14ac:dyDescent="0.25">
      <c r="A245">
        <v>244</v>
      </c>
      <c r="D245" t="s">
        <v>1119</v>
      </c>
      <c r="E245" t="s">
        <v>1121</v>
      </c>
      <c r="F245" t="s">
        <v>1</v>
      </c>
      <c r="G245" t="s">
        <v>4172</v>
      </c>
      <c r="H245" t="s">
        <v>541</v>
      </c>
      <c r="K245" t="s">
        <v>4172</v>
      </c>
    </row>
    <row r="246" spans="1:11" x14ac:dyDescent="0.25">
      <c r="A246">
        <v>245</v>
      </c>
      <c r="D246" t="s">
        <v>1122</v>
      </c>
      <c r="E246" t="s">
        <v>1121</v>
      </c>
      <c r="F246" t="s">
        <v>1</v>
      </c>
      <c r="H246" t="s">
        <v>588</v>
      </c>
    </row>
    <row r="247" spans="1:11" x14ac:dyDescent="0.25">
      <c r="A247">
        <v>246</v>
      </c>
      <c r="D247" t="s">
        <v>1124</v>
      </c>
      <c r="E247" t="s">
        <v>1128</v>
      </c>
      <c r="F247" t="s">
        <v>1127</v>
      </c>
      <c r="H247" t="s">
        <v>89</v>
      </c>
    </row>
    <row r="248" spans="1:11" x14ac:dyDescent="0.25">
      <c r="A248">
        <v>247</v>
      </c>
      <c r="D248" t="s">
        <v>1129</v>
      </c>
      <c r="E248" t="s">
        <v>1133</v>
      </c>
      <c r="F248" t="s">
        <v>1132</v>
      </c>
      <c r="H248" t="s">
        <v>1134</v>
      </c>
    </row>
    <row r="249" spans="1:11" x14ac:dyDescent="0.25">
      <c r="A249">
        <v>248</v>
      </c>
      <c r="D249" t="s">
        <v>1135</v>
      </c>
      <c r="E249" t="s">
        <v>147</v>
      </c>
      <c r="F249" t="s">
        <v>1</v>
      </c>
      <c r="H249" t="s">
        <v>148</v>
      </c>
    </row>
    <row r="250" spans="1:11" x14ac:dyDescent="0.25">
      <c r="A250">
        <v>249</v>
      </c>
      <c r="D250" t="s">
        <v>1137</v>
      </c>
      <c r="E250" t="s">
        <v>207</v>
      </c>
      <c r="F250" t="s">
        <v>206</v>
      </c>
      <c r="H250" t="s">
        <v>148</v>
      </c>
    </row>
    <row r="251" spans="1:11" x14ac:dyDescent="0.25">
      <c r="A251">
        <v>250</v>
      </c>
      <c r="D251" t="s">
        <v>1138</v>
      </c>
      <c r="E251" t="s">
        <v>1141</v>
      </c>
      <c r="F251" t="s">
        <v>1140</v>
      </c>
      <c r="H251" t="s">
        <v>89</v>
      </c>
    </row>
    <row r="252" spans="1:11" x14ac:dyDescent="0.25">
      <c r="A252">
        <v>251</v>
      </c>
      <c r="D252" t="s">
        <v>1142</v>
      </c>
      <c r="E252">
        <v>0</v>
      </c>
      <c r="F252" t="s">
        <v>1</v>
      </c>
      <c r="H252" t="s">
        <v>1143</v>
      </c>
    </row>
    <row r="253" spans="1:11" x14ac:dyDescent="0.25">
      <c r="A253">
        <v>252</v>
      </c>
      <c r="D253" t="s">
        <v>1144</v>
      </c>
      <c r="E253">
        <v>0</v>
      </c>
      <c r="F253" t="s">
        <v>1</v>
      </c>
      <c r="H253" t="s">
        <v>148</v>
      </c>
    </row>
    <row r="254" spans="1:11" x14ac:dyDescent="0.25">
      <c r="A254">
        <v>253</v>
      </c>
      <c r="D254" t="s">
        <v>1147</v>
      </c>
      <c r="E254" t="s">
        <v>147</v>
      </c>
      <c r="F254" t="s">
        <v>1</v>
      </c>
      <c r="H254" t="s">
        <v>89</v>
      </c>
    </row>
    <row r="255" spans="1:11" x14ac:dyDescent="0.25">
      <c r="A255">
        <v>254</v>
      </c>
      <c r="D255" t="s">
        <v>1148</v>
      </c>
      <c r="E255" t="s">
        <v>1151</v>
      </c>
      <c r="F255" t="s">
        <v>1150</v>
      </c>
      <c r="H255" t="s">
        <v>89</v>
      </c>
    </row>
    <row r="256" spans="1:11" x14ac:dyDescent="0.25">
      <c r="A256">
        <v>255</v>
      </c>
      <c r="D256" t="s">
        <v>1152</v>
      </c>
      <c r="E256">
        <v>0</v>
      </c>
      <c r="F256" t="s">
        <v>1</v>
      </c>
      <c r="H256" t="s">
        <v>1134</v>
      </c>
    </row>
    <row r="257" spans="1:11" x14ac:dyDescent="0.25">
      <c r="A257">
        <v>256</v>
      </c>
      <c r="D257" t="s">
        <v>1155</v>
      </c>
      <c r="E257" t="s">
        <v>1159</v>
      </c>
      <c r="F257" t="s">
        <v>1158</v>
      </c>
      <c r="H257" t="s">
        <v>1143</v>
      </c>
    </row>
    <row r="258" spans="1:11" x14ac:dyDescent="0.25">
      <c r="A258">
        <v>257</v>
      </c>
      <c r="D258" t="s">
        <v>79</v>
      </c>
      <c r="E258">
        <v>0</v>
      </c>
      <c r="F258" t="s">
        <v>1161</v>
      </c>
      <c r="H258" t="s">
        <v>148</v>
      </c>
    </row>
    <row r="259" spans="1:11" x14ac:dyDescent="0.25">
      <c r="A259">
        <v>258</v>
      </c>
      <c r="D259" t="s">
        <v>86</v>
      </c>
      <c r="E259" t="s">
        <v>1009</v>
      </c>
      <c r="F259" t="s">
        <v>1164</v>
      </c>
      <c r="H259" t="s">
        <v>1</v>
      </c>
    </row>
    <row r="260" spans="1:11" x14ac:dyDescent="0.25">
      <c r="A260">
        <v>259</v>
      </c>
      <c r="D260" t="s">
        <v>1165</v>
      </c>
      <c r="E260" t="s">
        <v>1168</v>
      </c>
      <c r="F260" t="s">
        <v>1167</v>
      </c>
      <c r="H260" t="s">
        <v>89</v>
      </c>
    </row>
    <row r="261" spans="1:11" x14ac:dyDescent="0.25">
      <c r="A261">
        <v>260</v>
      </c>
      <c r="D261" t="s">
        <v>1169</v>
      </c>
      <c r="E261">
        <v>67011619</v>
      </c>
      <c r="F261" t="s">
        <v>1171</v>
      </c>
      <c r="H261" t="s">
        <v>89</v>
      </c>
    </row>
    <row r="262" spans="1:11" x14ac:dyDescent="0.25">
      <c r="A262">
        <v>261</v>
      </c>
      <c r="D262" t="s">
        <v>1172</v>
      </c>
      <c r="E262" t="s">
        <v>1175</v>
      </c>
      <c r="F262" t="s">
        <v>1174</v>
      </c>
      <c r="H262" t="s">
        <v>180</v>
      </c>
    </row>
    <row r="263" spans="1:11" x14ac:dyDescent="0.25">
      <c r="A263">
        <v>262</v>
      </c>
      <c r="D263" t="s">
        <v>1176</v>
      </c>
      <c r="E263">
        <v>0</v>
      </c>
      <c r="F263" t="s">
        <v>1</v>
      </c>
      <c r="H263" t="s">
        <v>148</v>
      </c>
    </row>
    <row r="264" spans="1:11" x14ac:dyDescent="0.25">
      <c r="A264">
        <v>263</v>
      </c>
      <c r="D264" t="s">
        <v>1179</v>
      </c>
      <c r="E264" t="s">
        <v>1183</v>
      </c>
      <c r="F264" t="s">
        <v>1182</v>
      </c>
      <c r="H264" t="s">
        <v>1184</v>
      </c>
    </row>
    <row r="265" spans="1:11" x14ac:dyDescent="0.25">
      <c r="A265">
        <v>264</v>
      </c>
      <c r="D265" t="s">
        <v>1185</v>
      </c>
      <c r="E265">
        <v>0</v>
      </c>
      <c r="F265" t="s">
        <v>1</v>
      </c>
      <c r="H265" t="s">
        <v>148</v>
      </c>
    </row>
    <row r="266" spans="1:11" x14ac:dyDescent="0.25">
      <c r="A266">
        <v>265</v>
      </c>
      <c r="D266" t="s">
        <v>1189</v>
      </c>
      <c r="E266" t="s">
        <v>1193</v>
      </c>
      <c r="F266" t="s">
        <v>1192</v>
      </c>
      <c r="H266" t="s">
        <v>180</v>
      </c>
    </row>
    <row r="267" spans="1:11" x14ac:dyDescent="0.25">
      <c r="A267">
        <v>266</v>
      </c>
      <c r="D267" t="s">
        <v>1194</v>
      </c>
      <c r="E267">
        <v>0</v>
      </c>
      <c r="F267" t="s">
        <v>1</v>
      </c>
      <c r="H267" t="s">
        <v>148</v>
      </c>
    </row>
    <row r="268" spans="1:11" x14ac:dyDescent="0.25">
      <c r="A268">
        <v>267</v>
      </c>
      <c r="D268" t="s">
        <v>1197</v>
      </c>
      <c r="E268">
        <v>79901118</v>
      </c>
      <c r="F268" t="s">
        <v>1</v>
      </c>
      <c r="H268" t="s">
        <v>180</v>
      </c>
    </row>
    <row r="269" spans="1:11" x14ac:dyDescent="0.25">
      <c r="A269">
        <v>268</v>
      </c>
      <c r="D269" t="s">
        <v>1200</v>
      </c>
      <c r="E269">
        <v>93128611</v>
      </c>
      <c r="F269" t="s">
        <v>1202</v>
      </c>
      <c r="H269" t="s">
        <v>148</v>
      </c>
    </row>
    <row r="270" spans="1:11" x14ac:dyDescent="0.25">
      <c r="A270">
        <v>269</v>
      </c>
      <c r="D270" t="s">
        <v>1203</v>
      </c>
      <c r="E270">
        <v>79605423</v>
      </c>
      <c r="F270" t="s">
        <v>1206</v>
      </c>
      <c r="H270" t="s">
        <v>180</v>
      </c>
    </row>
    <row r="271" spans="1:11" x14ac:dyDescent="0.25">
      <c r="A271">
        <v>270</v>
      </c>
      <c r="D271" t="s">
        <v>1207</v>
      </c>
      <c r="E271">
        <v>79333484</v>
      </c>
      <c r="F271" t="s">
        <v>1</v>
      </c>
      <c r="H271" t="s">
        <v>148</v>
      </c>
    </row>
    <row r="272" spans="1:11" x14ac:dyDescent="0.25">
      <c r="A272">
        <v>271</v>
      </c>
      <c r="D272" t="s">
        <v>1210</v>
      </c>
      <c r="E272" t="s">
        <v>1213</v>
      </c>
      <c r="F272" t="s">
        <v>1212</v>
      </c>
      <c r="G272" t="s">
        <v>4172</v>
      </c>
      <c r="H272" t="s">
        <v>89</v>
      </c>
      <c r="K272" t="s">
        <v>4172</v>
      </c>
    </row>
    <row r="273" spans="1:11" x14ac:dyDescent="0.25">
      <c r="A273">
        <v>272</v>
      </c>
      <c r="D273" t="s">
        <v>1214</v>
      </c>
      <c r="E273" t="s">
        <v>1217</v>
      </c>
      <c r="F273" t="s">
        <v>1216</v>
      </c>
      <c r="H273" t="s">
        <v>1218</v>
      </c>
    </row>
    <row r="274" spans="1:11" x14ac:dyDescent="0.25">
      <c r="A274">
        <v>273</v>
      </c>
      <c r="D274" t="s">
        <v>1219</v>
      </c>
      <c r="E274">
        <v>0</v>
      </c>
      <c r="F274" t="s">
        <v>1</v>
      </c>
      <c r="H274" t="s">
        <v>89</v>
      </c>
    </row>
    <row r="275" spans="1:11" x14ac:dyDescent="0.25">
      <c r="A275">
        <v>274</v>
      </c>
      <c r="D275" t="s">
        <v>1222</v>
      </c>
      <c r="E275">
        <v>0</v>
      </c>
      <c r="F275" t="s">
        <v>1224</v>
      </c>
      <c r="H275" t="s">
        <v>148</v>
      </c>
    </row>
    <row r="276" spans="1:11" x14ac:dyDescent="0.25">
      <c r="A276">
        <v>275</v>
      </c>
      <c r="D276" t="s">
        <v>1225</v>
      </c>
      <c r="E276">
        <v>0</v>
      </c>
      <c r="F276" t="s">
        <v>1</v>
      </c>
      <c r="H276" t="s">
        <v>148</v>
      </c>
    </row>
    <row r="277" spans="1:11" x14ac:dyDescent="0.25">
      <c r="A277">
        <v>276</v>
      </c>
      <c r="D277" t="s">
        <v>1228</v>
      </c>
      <c r="E277" t="s">
        <v>147</v>
      </c>
      <c r="F277" t="s">
        <v>1230</v>
      </c>
      <c r="H277" t="s">
        <v>148</v>
      </c>
    </row>
    <row r="278" spans="1:11" x14ac:dyDescent="0.25">
      <c r="A278">
        <v>277</v>
      </c>
      <c r="D278" t="s">
        <v>1231</v>
      </c>
      <c r="E278">
        <v>0</v>
      </c>
      <c r="F278" t="s">
        <v>1</v>
      </c>
      <c r="H278" t="s">
        <v>148</v>
      </c>
    </row>
    <row r="279" spans="1:11" x14ac:dyDescent="0.25">
      <c r="A279">
        <v>278</v>
      </c>
      <c r="D279" t="s">
        <v>1233</v>
      </c>
      <c r="E279">
        <v>0</v>
      </c>
      <c r="F279" t="s">
        <v>1</v>
      </c>
      <c r="H279" t="s">
        <v>148</v>
      </c>
    </row>
    <row r="280" spans="1:11" x14ac:dyDescent="0.25">
      <c r="A280">
        <v>279</v>
      </c>
      <c r="D280" t="s">
        <v>1235</v>
      </c>
      <c r="E280" t="s">
        <v>1239</v>
      </c>
      <c r="F280" t="s">
        <v>1238</v>
      </c>
      <c r="G280" t="s">
        <v>4172</v>
      </c>
      <c r="H280" t="s">
        <v>148</v>
      </c>
      <c r="K280" t="s">
        <v>4172</v>
      </c>
    </row>
    <row r="281" spans="1:11" x14ac:dyDescent="0.25">
      <c r="A281">
        <v>280</v>
      </c>
      <c r="D281" t="s">
        <v>1240</v>
      </c>
      <c r="E281" t="s">
        <v>1243</v>
      </c>
      <c r="F281" t="s">
        <v>1242</v>
      </c>
      <c r="H281" t="s">
        <v>1</v>
      </c>
    </row>
    <row r="282" spans="1:11" x14ac:dyDescent="0.25">
      <c r="A282">
        <v>281</v>
      </c>
      <c r="D282" t="s">
        <v>1244</v>
      </c>
      <c r="E282" t="s">
        <v>1247</v>
      </c>
      <c r="F282" t="s">
        <v>1246</v>
      </c>
      <c r="H282" t="s">
        <v>89</v>
      </c>
    </row>
    <row r="283" spans="1:11" x14ac:dyDescent="0.25">
      <c r="A283">
        <v>282</v>
      </c>
      <c r="D283" t="s">
        <v>1248</v>
      </c>
      <c r="E283">
        <v>0</v>
      </c>
      <c r="F283" t="s">
        <v>1250</v>
      </c>
      <c r="H283" t="s">
        <v>148</v>
      </c>
    </row>
    <row r="284" spans="1:11" x14ac:dyDescent="0.25">
      <c r="A284">
        <v>283</v>
      </c>
      <c r="D284" t="s">
        <v>1251</v>
      </c>
      <c r="E284">
        <v>0</v>
      </c>
      <c r="F284" t="s">
        <v>1253</v>
      </c>
      <c r="H284" t="s">
        <v>89</v>
      </c>
    </row>
    <row r="285" spans="1:11" x14ac:dyDescent="0.25">
      <c r="A285">
        <v>284</v>
      </c>
      <c r="D285" t="s">
        <v>1254</v>
      </c>
      <c r="E285">
        <v>80161756</v>
      </c>
      <c r="F285" t="s">
        <v>1257</v>
      </c>
      <c r="H285" t="s">
        <v>236</v>
      </c>
    </row>
    <row r="286" spans="1:11" x14ac:dyDescent="0.25">
      <c r="A286">
        <v>285</v>
      </c>
      <c r="D286" t="s">
        <v>1258</v>
      </c>
      <c r="E286" t="s">
        <v>1259</v>
      </c>
      <c r="F286" t="s">
        <v>98</v>
      </c>
      <c r="H286" t="s">
        <v>89</v>
      </c>
    </row>
    <row r="287" spans="1:11" x14ac:dyDescent="0.25">
      <c r="A287">
        <v>286</v>
      </c>
      <c r="D287" t="s">
        <v>1260</v>
      </c>
      <c r="E287" t="s">
        <v>1263</v>
      </c>
      <c r="F287" t="s">
        <v>1262</v>
      </c>
      <c r="H287" t="s">
        <v>1264</v>
      </c>
    </row>
    <row r="288" spans="1:11" x14ac:dyDescent="0.25">
      <c r="A288">
        <v>287</v>
      </c>
      <c r="D288" t="s">
        <v>1265</v>
      </c>
      <c r="E288" t="s">
        <v>1269</v>
      </c>
      <c r="F288" t="s">
        <v>1268</v>
      </c>
      <c r="H288" t="s">
        <v>148</v>
      </c>
    </row>
    <row r="289" spans="1:11" x14ac:dyDescent="0.25">
      <c r="A289">
        <v>288</v>
      </c>
      <c r="D289" t="s">
        <v>1270</v>
      </c>
      <c r="E289" t="s">
        <v>1272</v>
      </c>
      <c r="F289" t="s">
        <v>1271</v>
      </c>
      <c r="H289" t="s">
        <v>89</v>
      </c>
    </row>
    <row r="290" spans="1:11" x14ac:dyDescent="0.25">
      <c r="A290">
        <v>289</v>
      </c>
      <c r="D290" t="s">
        <v>1273</v>
      </c>
      <c r="E290" t="s">
        <v>147</v>
      </c>
      <c r="F290" t="s">
        <v>1276</v>
      </c>
      <c r="H290" t="s">
        <v>148</v>
      </c>
    </row>
    <row r="291" spans="1:11" x14ac:dyDescent="0.25">
      <c r="A291">
        <v>290</v>
      </c>
      <c r="D291" t="s">
        <v>1277</v>
      </c>
      <c r="E291" t="s">
        <v>1281</v>
      </c>
      <c r="F291" t="s">
        <v>1280</v>
      </c>
      <c r="H291" t="s">
        <v>818</v>
      </c>
    </row>
    <row r="292" spans="1:11" x14ac:dyDescent="0.25">
      <c r="A292">
        <v>291</v>
      </c>
      <c r="D292" t="s">
        <v>1282</v>
      </c>
      <c r="E292" t="s">
        <v>1285</v>
      </c>
      <c r="F292" t="s">
        <v>1284</v>
      </c>
      <c r="H292" t="s">
        <v>818</v>
      </c>
    </row>
    <row r="293" spans="1:11" x14ac:dyDescent="0.25">
      <c r="A293">
        <v>292</v>
      </c>
      <c r="D293" t="s">
        <v>1286</v>
      </c>
      <c r="E293" t="s">
        <v>1289</v>
      </c>
      <c r="F293" t="s">
        <v>1288</v>
      </c>
      <c r="H293" t="s">
        <v>180</v>
      </c>
    </row>
    <row r="294" spans="1:11" x14ac:dyDescent="0.25">
      <c r="A294">
        <v>293</v>
      </c>
      <c r="D294" t="s">
        <v>1290</v>
      </c>
      <c r="E294" t="s">
        <v>1293</v>
      </c>
      <c r="F294" t="s">
        <v>1292</v>
      </c>
      <c r="H294" t="s">
        <v>148</v>
      </c>
    </row>
    <row r="295" spans="1:11" x14ac:dyDescent="0.25">
      <c r="A295">
        <v>294</v>
      </c>
      <c r="D295" t="s">
        <v>1294</v>
      </c>
      <c r="E295" t="s">
        <v>1297</v>
      </c>
      <c r="F295" t="s">
        <v>1296</v>
      </c>
      <c r="H295" t="s">
        <v>818</v>
      </c>
    </row>
    <row r="296" spans="1:11" x14ac:dyDescent="0.25">
      <c r="A296">
        <v>295</v>
      </c>
      <c r="D296" t="s">
        <v>1298</v>
      </c>
      <c r="E296" t="s">
        <v>910</v>
      </c>
      <c r="F296" t="s">
        <v>1</v>
      </c>
      <c r="H296" t="s">
        <v>148</v>
      </c>
    </row>
    <row r="297" spans="1:11" x14ac:dyDescent="0.25">
      <c r="A297">
        <v>296</v>
      </c>
      <c r="D297" t="s">
        <v>1300</v>
      </c>
      <c r="E297" t="s">
        <v>524</v>
      </c>
      <c r="F297" t="s">
        <v>523</v>
      </c>
      <c r="H297" t="s">
        <v>148</v>
      </c>
    </row>
    <row r="298" spans="1:11" x14ac:dyDescent="0.25">
      <c r="A298">
        <v>297</v>
      </c>
      <c r="D298" t="s">
        <v>1301</v>
      </c>
      <c r="E298" t="s">
        <v>147</v>
      </c>
      <c r="F298" t="s">
        <v>1303</v>
      </c>
      <c r="G298" t="s">
        <v>4172</v>
      </c>
      <c r="H298" t="s">
        <v>148</v>
      </c>
      <c r="K298" t="s">
        <v>4172</v>
      </c>
    </row>
    <row r="299" spans="1:11" x14ac:dyDescent="0.25">
      <c r="A299">
        <v>298</v>
      </c>
      <c r="D299" t="s">
        <v>1304</v>
      </c>
      <c r="E299" t="s">
        <v>1307</v>
      </c>
      <c r="F299" t="s">
        <v>1306</v>
      </c>
      <c r="H299" t="s">
        <v>148</v>
      </c>
    </row>
    <row r="300" spans="1:11" x14ac:dyDescent="0.25">
      <c r="A300">
        <v>299</v>
      </c>
      <c r="D300" t="s">
        <v>1308</v>
      </c>
      <c r="E300">
        <v>0</v>
      </c>
      <c r="F300" t="s">
        <v>1</v>
      </c>
      <c r="H300" t="s">
        <v>148</v>
      </c>
    </row>
    <row r="301" spans="1:11" x14ac:dyDescent="0.25">
      <c r="A301">
        <v>300</v>
      </c>
      <c r="D301" t="s">
        <v>1310</v>
      </c>
      <c r="E301" t="s">
        <v>147</v>
      </c>
      <c r="F301" t="s">
        <v>1</v>
      </c>
      <c r="G301" t="s">
        <v>143</v>
      </c>
      <c r="H301" t="s">
        <v>148</v>
      </c>
      <c r="K301" t="s">
        <v>4172</v>
      </c>
    </row>
    <row r="302" spans="1:11" x14ac:dyDescent="0.25">
      <c r="A302">
        <v>301</v>
      </c>
      <c r="D302" t="s">
        <v>1313</v>
      </c>
      <c r="E302">
        <v>36375664</v>
      </c>
      <c r="F302" t="s">
        <v>1</v>
      </c>
      <c r="H302" t="s">
        <v>998</v>
      </c>
    </row>
    <row r="303" spans="1:11" x14ac:dyDescent="0.25">
      <c r="A303">
        <v>302</v>
      </c>
      <c r="D303" t="s">
        <v>1315</v>
      </c>
      <c r="E303" t="s">
        <v>147</v>
      </c>
      <c r="F303" t="s">
        <v>1</v>
      </c>
      <c r="H303" t="s">
        <v>89</v>
      </c>
    </row>
    <row r="304" spans="1:11" x14ac:dyDescent="0.25">
      <c r="A304">
        <v>303</v>
      </c>
      <c r="D304" t="s">
        <v>1318</v>
      </c>
      <c r="E304">
        <v>0</v>
      </c>
      <c r="F304" t="s">
        <v>1</v>
      </c>
      <c r="H304" t="s">
        <v>89</v>
      </c>
    </row>
    <row r="305" spans="1:8" x14ac:dyDescent="0.25">
      <c r="A305">
        <v>304</v>
      </c>
      <c r="D305" t="s">
        <v>1321</v>
      </c>
      <c r="E305">
        <v>52956623</v>
      </c>
      <c r="F305" t="s">
        <v>288</v>
      </c>
      <c r="H305" t="s">
        <v>148</v>
      </c>
    </row>
    <row r="306" spans="1:8" x14ac:dyDescent="0.25">
      <c r="A306">
        <v>305</v>
      </c>
      <c r="D306" t="s">
        <v>1322</v>
      </c>
      <c r="E306" t="s">
        <v>1326</v>
      </c>
      <c r="F306" t="s">
        <v>1325</v>
      </c>
      <c r="H306" t="s">
        <v>1327</v>
      </c>
    </row>
    <row r="307" spans="1:8" x14ac:dyDescent="0.25">
      <c r="A307">
        <v>306</v>
      </c>
      <c r="D307" t="s">
        <v>1328</v>
      </c>
      <c r="E307">
        <v>12227772</v>
      </c>
      <c r="F307" t="s">
        <v>1331</v>
      </c>
      <c r="H307" t="s">
        <v>148</v>
      </c>
    </row>
    <row r="308" spans="1:8" x14ac:dyDescent="0.25">
      <c r="A308">
        <v>307</v>
      </c>
      <c r="D308" t="s">
        <v>1332</v>
      </c>
      <c r="E308">
        <v>0</v>
      </c>
      <c r="F308" t="s">
        <v>1</v>
      </c>
      <c r="H308" t="s">
        <v>541</v>
      </c>
    </row>
    <row r="309" spans="1:8" x14ac:dyDescent="0.25">
      <c r="A309">
        <v>308</v>
      </c>
      <c r="D309" t="s">
        <v>1335</v>
      </c>
      <c r="E309">
        <v>0</v>
      </c>
      <c r="F309" t="s">
        <v>1</v>
      </c>
      <c r="H309" t="s">
        <v>148</v>
      </c>
    </row>
    <row r="310" spans="1:8" x14ac:dyDescent="0.25">
      <c r="A310">
        <v>309</v>
      </c>
      <c r="D310" t="s">
        <v>1337</v>
      </c>
      <c r="E310">
        <v>52298204</v>
      </c>
      <c r="F310" t="s">
        <v>1</v>
      </c>
      <c r="H310" t="s">
        <v>142</v>
      </c>
    </row>
    <row r="311" spans="1:8" x14ac:dyDescent="0.25">
      <c r="A311">
        <v>310</v>
      </c>
      <c r="D311" t="s">
        <v>1339</v>
      </c>
      <c r="E311">
        <v>1095510085</v>
      </c>
      <c r="F311" t="s">
        <v>1341</v>
      </c>
      <c r="H311" t="s">
        <v>148</v>
      </c>
    </row>
    <row r="312" spans="1:8" x14ac:dyDescent="0.25">
      <c r="A312">
        <v>311</v>
      </c>
      <c r="D312" t="s">
        <v>1342</v>
      </c>
      <c r="E312" t="s">
        <v>147</v>
      </c>
      <c r="F312" t="s">
        <v>1</v>
      </c>
      <c r="H312" t="s">
        <v>148</v>
      </c>
    </row>
    <row r="313" spans="1:8" x14ac:dyDescent="0.25">
      <c r="A313">
        <v>312</v>
      </c>
      <c r="D313" t="s">
        <v>1344</v>
      </c>
      <c r="E313" t="s">
        <v>1348</v>
      </c>
      <c r="F313" t="s">
        <v>1347</v>
      </c>
      <c r="H313" t="s">
        <v>148</v>
      </c>
    </row>
    <row r="314" spans="1:8" x14ac:dyDescent="0.25">
      <c r="A314">
        <v>313</v>
      </c>
      <c r="D314" t="s">
        <v>1349</v>
      </c>
      <c r="E314" t="s">
        <v>1353</v>
      </c>
      <c r="F314" t="s">
        <v>1352</v>
      </c>
      <c r="H314" t="s">
        <v>180</v>
      </c>
    </row>
    <row r="315" spans="1:8" x14ac:dyDescent="0.25">
      <c r="A315">
        <v>314</v>
      </c>
      <c r="D315" t="s">
        <v>1354</v>
      </c>
      <c r="E315">
        <v>11319876</v>
      </c>
      <c r="F315" t="s">
        <v>1</v>
      </c>
      <c r="H315" t="s">
        <v>89</v>
      </c>
    </row>
    <row r="316" spans="1:8" x14ac:dyDescent="0.25">
      <c r="A316">
        <v>315</v>
      </c>
      <c r="D316" t="s">
        <v>1357</v>
      </c>
      <c r="E316">
        <v>0</v>
      </c>
      <c r="F316" t="s">
        <v>1</v>
      </c>
      <c r="H316" t="s">
        <v>148</v>
      </c>
    </row>
    <row r="317" spans="1:8" x14ac:dyDescent="0.25">
      <c r="A317">
        <v>316</v>
      </c>
      <c r="D317" t="s">
        <v>1359</v>
      </c>
      <c r="E317" t="s">
        <v>498</v>
      </c>
      <c r="F317" t="s">
        <v>497</v>
      </c>
      <c r="H317" t="s">
        <v>180</v>
      </c>
    </row>
    <row r="318" spans="1:8" x14ac:dyDescent="0.25">
      <c r="A318">
        <v>317</v>
      </c>
      <c r="D318" t="s">
        <v>1361</v>
      </c>
      <c r="E318" t="s">
        <v>147</v>
      </c>
      <c r="F318" t="s">
        <v>1</v>
      </c>
      <c r="H318" t="s">
        <v>541</v>
      </c>
    </row>
    <row r="319" spans="1:8" x14ac:dyDescent="0.25">
      <c r="A319">
        <v>318</v>
      </c>
      <c r="D319" t="s">
        <v>1366</v>
      </c>
      <c r="E319">
        <v>0</v>
      </c>
      <c r="F319" t="s">
        <v>1368</v>
      </c>
      <c r="H319" t="s">
        <v>256</v>
      </c>
    </row>
    <row r="320" spans="1:8" x14ac:dyDescent="0.25">
      <c r="A320">
        <v>319</v>
      </c>
      <c r="D320" t="s">
        <v>1369</v>
      </c>
      <c r="E320" t="s">
        <v>1372</v>
      </c>
      <c r="F320" t="s">
        <v>1371</v>
      </c>
      <c r="H320" t="s">
        <v>1373</v>
      </c>
    </row>
    <row r="321" spans="1:11" x14ac:dyDescent="0.25">
      <c r="A321">
        <v>320</v>
      </c>
      <c r="D321" t="s">
        <v>1374</v>
      </c>
      <c r="E321">
        <v>19131389</v>
      </c>
      <c r="F321" t="s">
        <v>457</v>
      </c>
      <c r="H321" t="s">
        <v>89</v>
      </c>
    </row>
    <row r="322" spans="1:11" x14ac:dyDescent="0.25">
      <c r="A322">
        <v>321</v>
      </c>
      <c r="D322" t="s">
        <v>1375</v>
      </c>
      <c r="E322" t="s">
        <v>1379</v>
      </c>
      <c r="F322" t="s">
        <v>1378</v>
      </c>
      <c r="H322" t="s">
        <v>1</v>
      </c>
    </row>
    <row r="323" spans="1:11" x14ac:dyDescent="0.25">
      <c r="A323">
        <v>322</v>
      </c>
      <c r="D323" t="s">
        <v>1380</v>
      </c>
      <c r="E323" t="s">
        <v>1384</v>
      </c>
      <c r="F323" t="s">
        <v>1383</v>
      </c>
      <c r="H323" t="s">
        <v>1385</v>
      </c>
    </row>
    <row r="324" spans="1:11" x14ac:dyDescent="0.25">
      <c r="A324">
        <v>323</v>
      </c>
      <c r="D324" t="s">
        <v>1386</v>
      </c>
      <c r="E324" t="s">
        <v>1389</v>
      </c>
      <c r="F324" t="s">
        <v>1388</v>
      </c>
      <c r="G324" t="s">
        <v>4172</v>
      </c>
      <c r="H324" t="s">
        <v>180</v>
      </c>
      <c r="K324" t="s">
        <v>4172</v>
      </c>
    </row>
    <row r="325" spans="1:11" x14ac:dyDescent="0.25">
      <c r="A325">
        <v>324</v>
      </c>
      <c r="D325" t="s">
        <v>1390</v>
      </c>
      <c r="E325" t="s">
        <v>1393</v>
      </c>
      <c r="F325" t="s">
        <v>1392</v>
      </c>
      <c r="H325" t="s">
        <v>89</v>
      </c>
    </row>
    <row r="326" spans="1:11" x14ac:dyDescent="0.25">
      <c r="A326">
        <v>325</v>
      </c>
      <c r="D326" t="s">
        <v>1394</v>
      </c>
      <c r="E326">
        <v>0</v>
      </c>
      <c r="F326" t="s">
        <v>1</v>
      </c>
      <c r="H326" t="s">
        <v>148</v>
      </c>
    </row>
    <row r="327" spans="1:11" x14ac:dyDescent="0.25">
      <c r="A327">
        <v>326</v>
      </c>
      <c r="D327" t="s">
        <v>1396</v>
      </c>
      <c r="E327" t="s">
        <v>1401</v>
      </c>
      <c r="F327" t="s">
        <v>1400</v>
      </c>
      <c r="H327" t="s">
        <v>180</v>
      </c>
    </row>
    <row r="328" spans="1:11" x14ac:dyDescent="0.25">
      <c r="A328">
        <v>327</v>
      </c>
      <c r="D328" t="s">
        <v>1402</v>
      </c>
      <c r="E328">
        <v>0</v>
      </c>
      <c r="F328" t="s">
        <v>1</v>
      </c>
      <c r="H328" t="s">
        <v>1405</v>
      </c>
    </row>
    <row r="329" spans="1:11" x14ac:dyDescent="0.25">
      <c r="A329">
        <v>328</v>
      </c>
      <c r="D329" t="s">
        <v>1406</v>
      </c>
      <c r="E329" t="s">
        <v>1409</v>
      </c>
      <c r="F329" t="s">
        <v>1</v>
      </c>
      <c r="H329" t="s">
        <v>142</v>
      </c>
    </row>
    <row r="330" spans="1:11" x14ac:dyDescent="0.25">
      <c r="A330">
        <v>329</v>
      </c>
      <c r="D330" t="s">
        <v>1410</v>
      </c>
      <c r="E330">
        <v>0</v>
      </c>
      <c r="F330" t="s">
        <v>1</v>
      </c>
      <c r="H330" t="s">
        <v>777</v>
      </c>
    </row>
    <row r="331" spans="1:11" x14ac:dyDescent="0.25">
      <c r="A331">
        <v>330</v>
      </c>
      <c r="D331" t="s">
        <v>1413</v>
      </c>
      <c r="E331" t="s">
        <v>1416</v>
      </c>
      <c r="F331" t="s">
        <v>1415</v>
      </c>
      <c r="H331" t="s">
        <v>180</v>
      </c>
    </row>
    <row r="332" spans="1:11" x14ac:dyDescent="0.25">
      <c r="A332">
        <v>331</v>
      </c>
      <c r="D332" t="s">
        <v>1417</v>
      </c>
      <c r="E332">
        <v>52764398</v>
      </c>
      <c r="F332" t="s">
        <v>1</v>
      </c>
      <c r="H332" t="s">
        <v>89</v>
      </c>
    </row>
    <row r="333" spans="1:11" x14ac:dyDescent="0.25">
      <c r="A333">
        <v>332</v>
      </c>
      <c r="C333">
        <v>1073670238</v>
      </c>
      <c r="D333" t="s">
        <v>1419</v>
      </c>
      <c r="E333" t="s">
        <v>1422</v>
      </c>
      <c r="F333" t="s">
        <v>1</v>
      </c>
      <c r="G333" t="s">
        <v>143</v>
      </c>
      <c r="H333" t="s">
        <v>148</v>
      </c>
      <c r="K333" t="s">
        <v>4172</v>
      </c>
    </row>
    <row r="334" spans="1:11" x14ac:dyDescent="0.25">
      <c r="A334">
        <v>333</v>
      </c>
      <c r="D334" t="s">
        <v>1423</v>
      </c>
      <c r="E334" t="s">
        <v>1427</v>
      </c>
      <c r="F334" t="s">
        <v>1426</v>
      </c>
      <c r="H334" t="s">
        <v>89</v>
      </c>
    </row>
    <row r="335" spans="1:11" x14ac:dyDescent="0.25">
      <c r="A335">
        <v>334</v>
      </c>
      <c r="D335" t="s">
        <v>1428</v>
      </c>
      <c r="E335" t="s">
        <v>1431</v>
      </c>
      <c r="F335" t="s">
        <v>1430</v>
      </c>
      <c r="H335" t="s">
        <v>1432</v>
      </c>
    </row>
    <row r="336" spans="1:11" x14ac:dyDescent="0.25">
      <c r="A336">
        <v>335</v>
      </c>
      <c r="D336" t="s">
        <v>1433</v>
      </c>
      <c r="E336" t="s">
        <v>1436</v>
      </c>
      <c r="F336" t="s">
        <v>1435</v>
      </c>
      <c r="H336" t="s">
        <v>89</v>
      </c>
    </row>
    <row r="337" spans="1:11" x14ac:dyDescent="0.25">
      <c r="A337">
        <v>336</v>
      </c>
      <c r="D337" t="s">
        <v>1437</v>
      </c>
      <c r="E337">
        <v>74301297</v>
      </c>
      <c r="F337" t="s">
        <v>142</v>
      </c>
      <c r="H337" t="s">
        <v>464</v>
      </c>
    </row>
    <row r="338" spans="1:11" x14ac:dyDescent="0.25">
      <c r="A338">
        <v>337</v>
      </c>
      <c r="D338" t="s">
        <v>1439</v>
      </c>
      <c r="E338">
        <v>98471765</v>
      </c>
      <c r="F338" t="s">
        <v>817</v>
      </c>
      <c r="H338" t="s">
        <v>89</v>
      </c>
    </row>
    <row r="339" spans="1:11" x14ac:dyDescent="0.25">
      <c r="A339">
        <v>338</v>
      </c>
      <c r="D339" t="s">
        <v>1441</v>
      </c>
      <c r="E339" t="s">
        <v>1443</v>
      </c>
      <c r="F339" t="s">
        <v>683</v>
      </c>
      <c r="H339" t="s">
        <v>683</v>
      </c>
    </row>
    <row r="340" spans="1:11" x14ac:dyDescent="0.25">
      <c r="A340">
        <v>339</v>
      </c>
      <c r="D340" t="s">
        <v>1444</v>
      </c>
      <c r="E340">
        <v>0</v>
      </c>
      <c r="F340" t="s">
        <v>1</v>
      </c>
      <c r="H340" t="s">
        <v>148</v>
      </c>
    </row>
    <row r="341" spans="1:11" x14ac:dyDescent="0.25">
      <c r="A341">
        <v>340</v>
      </c>
      <c r="D341" t="s">
        <v>1445</v>
      </c>
      <c r="E341" t="s">
        <v>1447</v>
      </c>
      <c r="F341" t="s">
        <v>1</v>
      </c>
      <c r="H341" t="s">
        <v>1</v>
      </c>
    </row>
    <row r="342" spans="1:11" x14ac:dyDescent="0.25">
      <c r="A342">
        <v>341</v>
      </c>
      <c r="D342" t="s">
        <v>1448</v>
      </c>
      <c r="E342" t="s">
        <v>1074</v>
      </c>
      <c r="F342" t="s">
        <v>1</v>
      </c>
      <c r="H342" t="s">
        <v>148</v>
      </c>
    </row>
    <row r="343" spans="1:11" x14ac:dyDescent="0.25">
      <c r="A343">
        <v>342</v>
      </c>
      <c r="D343" t="s">
        <v>1449</v>
      </c>
      <c r="E343">
        <v>0</v>
      </c>
      <c r="F343" t="s">
        <v>1</v>
      </c>
      <c r="H343" t="s">
        <v>89</v>
      </c>
    </row>
    <row r="344" spans="1:11" x14ac:dyDescent="0.25">
      <c r="A344">
        <v>343</v>
      </c>
      <c r="D344" t="s">
        <v>1450</v>
      </c>
      <c r="E344" t="s">
        <v>1452</v>
      </c>
      <c r="F344" t="s">
        <v>1</v>
      </c>
      <c r="H344" t="s">
        <v>568</v>
      </c>
    </row>
    <row r="345" spans="1:11" x14ac:dyDescent="0.25">
      <c r="A345">
        <v>344</v>
      </c>
      <c r="D345" t="s">
        <v>1453</v>
      </c>
      <c r="E345" t="s">
        <v>1457</v>
      </c>
      <c r="F345" t="s">
        <v>1456</v>
      </c>
      <c r="H345" t="s">
        <v>1458</v>
      </c>
    </row>
    <row r="346" spans="1:11" x14ac:dyDescent="0.25">
      <c r="A346">
        <v>345</v>
      </c>
      <c r="D346" t="s">
        <v>1459</v>
      </c>
      <c r="E346">
        <v>0</v>
      </c>
      <c r="F346" t="s">
        <v>1462</v>
      </c>
      <c r="H346" t="s">
        <v>89</v>
      </c>
    </row>
    <row r="347" spans="1:11" x14ac:dyDescent="0.25">
      <c r="A347">
        <v>346</v>
      </c>
      <c r="D347" t="s">
        <v>1463</v>
      </c>
      <c r="E347" t="s">
        <v>1465</v>
      </c>
      <c r="F347" t="s">
        <v>1</v>
      </c>
      <c r="H347" t="s">
        <v>148</v>
      </c>
    </row>
    <row r="348" spans="1:11" x14ac:dyDescent="0.25">
      <c r="A348">
        <v>347</v>
      </c>
      <c r="D348" t="s">
        <v>1466</v>
      </c>
      <c r="E348">
        <v>0</v>
      </c>
      <c r="F348" t="s">
        <v>1</v>
      </c>
      <c r="H348" t="s">
        <v>142</v>
      </c>
    </row>
    <row r="349" spans="1:11" x14ac:dyDescent="0.25">
      <c r="A349">
        <v>348</v>
      </c>
      <c r="D349" t="s">
        <v>1467</v>
      </c>
      <c r="E349" t="s">
        <v>493</v>
      </c>
      <c r="F349" t="s">
        <v>492</v>
      </c>
      <c r="G349" t="s">
        <v>4172</v>
      </c>
      <c r="H349" t="s">
        <v>184</v>
      </c>
      <c r="K349" t="s">
        <v>4172</v>
      </c>
    </row>
    <row r="350" spans="1:11" x14ac:dyDescent="0.25">
      <c r="A350">
        <v>349</v>
      </c>
      <c r="D350" t="s">
        <v>1468</v>
      </c>
      <c r="E350">
        <v>0</v>
      </c>
      <c r="F350" t="s">
        <v>1471</v>
      </c>
      <c r="H350" t="s">
        <v>148</v>
      </c>
    </row>
    <row r="351" spans="1:11" x14ac:dyDescent="0.25">
      <c r="A351">
        <v>350</v>
      </c>
      <c r="D351" t="s">
        <v>1472</v>
      </c>
      <c r="E351" t="s">
        <v>1047</v>
      </c>
      <c r="F351" t="s">
        <v>1046</v>
      </c>
      <c r="H351" t="s">
        <v>1048</v>
      </c>
    </row>
    <row r="352" spans="1:11" x14ac:dyDescent="0.25">
      <c r="A352">
        <v>351</v>
      </c>
      <c r="D352" t="s">
        <v>1473</v>
      </c>
      <c r="E352" t="s">
        <v>1474</v>
      </c>
      <c r="F352" t="s">
        <v>1430</v>
      </c>
      <c r="H352" t="s">
        <v>1432</v>
      </c>
    </row>
    <row r="353" spans="1:11" x14ac:dyDescent="0.25">
      <c r="A353">
        <v>352</v>
      </c>
      <c r="D353" t="s">
        <v>1475</v>
      </c>
      <c r="E353" t="s">
        <v>1478</v>
      </c>
      <c r="F353" t="s">
        <v>1477</v>
      </c>
      <c r="H353" t="s">
        <v>180</v>
      </c>
    </row>
    <row r="354" spans="1:11" x14ac:dyDescent="0.25">
      <c r="A354">
        <v>353</v>
      </c>
      <c r="D354" t="s">
        <v>1479</v>
      </c>
      <c r="E354" t="s">
        <v>1482</v>
      </c>
      <c r="F354" t="s">
        <v>1481</v>
      </c>
      <c r="H354" t="s">
        <v>89</v>
      </c>
    </row>
    <row r="355" spans="1:11" x14ac:dyDescent="0.25">
      <c r="A355">
        <v>354</v>
      </c>
      <c r="D355" t="s">
        <v>1483</v>
      </c>
      <c r="E355" t="s">
        <v>1487</v>
      </c>
      <c r="F355" t="s">
        <v>1486</v>
      </c>
      <c r="G355" t="s">
        <v>4172</v>
      </c>
      <c r="H355" t="s">
        <v>839</v>
      </c>
      <c r="K355" t="s">
        <v>4172</v>
      </c>
    </row>
    <row r="356" spans="1:11" x14ac:dyDescent="0.25">
      <c r="A356">
        <v>355</v>
      </c>
      <c r="D356" t="s">
        <v>1488</v>
      </c>
      <c r="E356" t="s">
        <v>1490</v>
      </c>
      <c r="F356" t="s">
        <v>1</v>
      </c>
      <c r="H356" t="s">
        <v>148</v>
      </c>
    </row>
    <row r="357" spans="1:11" x14ac:dyDescent="0.25">
      <c r="A357">
        <v>356</v>
      </c>
      <c r="D357" t="s">
        <v>1491</v>
      </c>
      <c r="E357" t="s">
        <v>147</v>
      </c>
      <c r="F357" t="s">
        <v>1</v>
      </c>
      <c r="G357" t="s">
        <v>4172</v>
      </c>
      <c r="H357" t="s">
        <v>89</v>
      </c>
      <c r="K357" t="s">
        <v>4172</v>
      </c>
    </row>
    <row r="358" spans="1:11" x14ac:dyDescent="0.25">
      <c r="A358">
        <v>357</v>
      </c>
      <c r="D358" t="s">
        <v>1493</v>
      </c>
      <c r="E358" t="s">
        <v>1496</v>
      </c>
      <c r="F358" t="s">
        <v>1495</v>
      </c>
      <c r="H358" t="s">
        <v>89</v>
      </c>
    </row>
    <row r="359" spans="1:11" x14ac:dyDescent="0.25">
      <c r="A359">
        <v>358</v>
      </c>
      <c r="D359" t="s">
        <v>1497</v>
      </c>
      <c r="E359" t="s">
        <v>1500</v>
      </c>
      <c r="F359" t="s">
        <v>1499</v>
      </c>
      <c r="H359" t="s">
        <v>1501</v>
      </c>
    </row>
    <row r="360" spans="1:11" x14ac:dyDescent="0.25">
      <c r="A360">
        <v>359</v>
      </c>
      <c r="D360" t="s">
        <v>1502</v>
      </c>
      <c r="E360" t="s">
        <v>1505</v>
      </c>
      <c r="F360" t="s">
        <v>1504</v>
      </c>
      <c r="H360" t="s">
        <v>89</v>
      </c>
    </row>
    <row r="361" spans="1:11" x14ac:dyDescent="0.25">
      <c r="A361">
        <v>360</v>
      </c>
      <c r="D361" t="s">
        <v>1506</v>
      </c>
      <c r="E361" t="s">
        <v>1510</v>
      </c>
      <c r="F361" t="s">
        <v>1509</v>
      </c>
      <c r="H361" t="s">
        <v>148</v>
      </c>
    </row>
    <row r="362" spans="1:11" x14ac:dyDescent="0.25">
      <c r="A362">
        <v>361</v>
      </c>
      <c r="D362" t="s">
        <v>1511</v>
      </c>
      <c r="E362" t="s">
        <v>260</v>
      </c>
      <c r="F362" t="s">
        <v>1</v>
      </c>
      <c r="H362" t="s">
        <v>261</v>
      </c>
    </row>
    <row r="363" spans="1:11" x14ac:dyDescent="0.25">
      <c r="A363">
        <v>362</v>
      </c>
      <c r="D363" t="s">
        <v>1512</v>
      </c>
      <c r="E363" t="s">
        <v>1514</v>
      </c>
      <c r="F363" t="s">
        <v>1</v>
      </c>
      <c r="H363" t="s">
        <v>148</v>
      </c>
    </row>
    <row r="364" spans="1:11" x14ac:dyDescent="0.25">
      <c r="A364">
        <v>363</v>
      </c>
      <c r="D364" t="s">
        <v>1515</v>
      </c>
      <c r="E364" t="s">
        <v>1518</v>
      </c>
      <c r="F364" t="s">
        <v>1517</v>
      </c>
      <c r="H364" t="s">
        <v>180</v>
      </c>
    </row>
    <row r="365" spans="1:11" x14ac:dyDescent="0.25">
      <c r="A365">
        <v>364</v>
      </c>
      <c r="D365" t="s">
        <v>1519</v>
      </c>
      <c r="E365" t="s">
        <v>1523</v>
      </c>
      <c r="F365" t="s">
        <v>1522</v>
      </c>
      <c r="H365" t="s">
        <v>1524</v>
      </c>
    </row>
    <row r="366" spans="1:11" x14ac:dyDescent="0.25">
      <c r="A366">
        <v>365</v>
      </c>
      <c r="D366" t="s">
        <v>1525</v>
      </c>
      <c r="E366" t="s">
        <v>1528</v>
      </c>
      <c r="F366" t="s">
        <v>1527</v>
      </c>
      <c r="H366" t="s">
        <v>148</v>
      </c>
    </row>
    <row r="367" spans="1:11" x14ac:dyDescent="0.25">
      <c r="A367">
        <v>366</v>
      </c>
      <c r="D367" t="s">
        <v>1529</v>
      </c>
      <c r="E367" t="s">
        <v>1533</v>
      </c>
      <c r="F367" t="s">
        <v>1532</v>
      </c>
      <c r="H367" t="s">
        <v>256</v>
      </c>
    </row>
    <row r="368" spans="1:11" x14ac:dyDescent="0.25">
      <c r="A368">
        <v>367</v>
      </c>
      <c r="D368" t="s">
        <v>1534</v>
      </c>
      <c r="E368" t="s">
        <v>1538</v>
      </c>
      <c r="F368" t="s">
        <v>1537</v>
      </c>
      <c r="H368" t="s">
        <v>180</v>
      </c>
    </row>
    <row r="369" spans="1:11" x14ac:dyDescent="0.25">
      <c r="A369">
        <v>368</v>
      </c>
      <c r="D369" t="s">
        <v>1539</v>
      </c>
      <c r="E369" t="s">
        <v>1544</v>
      </c>
      <c r="F369" t="s">
        <v>1543</v>
      </c>
      <c r="H369" t="s">
        <v>180</v>
      </c>
    </row>
    <row r="370" spans="1:11" x14ac:dyDescent="0.25">
      <c r="A370">
        <v>369</v>
      </c>
      <c r="D370" t="s">
        <v>1545</v>
      </c>
      <c r="E370" t="s">
        <v>1549</v>
      </c>
      <c r="F370" t="s">
        <v>1548</v>
      </c>
      <c r="H370" t="s">
        <v>198</v>
      </c>
    </row>
    <row r="371" spans="1:11" x14ac:dyDescent="0.25">
      <c r="A371">
        <v>370</v>
      </c>
      <c r="D371" t="s">
        <v>1550</v>
      </c>
      <c r="E371">
        <v>0</v>
      </c>
      <c r="F371" t="s">
        <v>1552</v>
      </c>
      <c r="H371" t="s">
        <v>89</v>
      </c>
    </row>
    <row r="372" spans="1:11" x14ac:dyDescent="0.25">
      <c r="A372">
        <v>371</v>
      </c>
      <c r="D372" t="s">
        <v>1553</v>
      </c>
      <c r="E372" t="s">
        <v>1556</v>
      </c>
      <c r="F372" t="s">
        <v>1555</v>
      </c>
      <c r="H372" t="s">
        <v>89</v>
      </c>
    </row>
    <row r="373" spans="1:11" x14ac:dyDescent="0.25">
      <c r="A373">
        <v>372</v>
      </c>
      <c r="D373" t="s">
        <v>1557</v>
      </c>
      <c r="E373">
        <v>0</v>
      </c>
      <c r="F373" t="s">
        <v>1</v>
      </c>
      <c r="H373" t="s">
        <v>1559</v>
      </c>
    </row>
    <row r="374" spans="1:11" x14ac:dyDescent="0.25">
      <c r="A374">
        <v>373</v>
      </c>
      <c r="D374" t="s">
        <v>1560</v>
      </c>
      <c r="E374" t="s">
        <v>147</v>
      </c>
      <c r="F374" t="s">
        <v>1</v>
      </c>
      <c r="G374" t="s">
        <v>4172</v>
      </c>
      <c r="H374" t="s">
        <v>148</v>
      </c>
      <c r="K374" t="s">
        <v>4172</v>
      </c>
    </row>
    <row r="375" spans="1:11" x14ac:dyDescent="0.25">
      <c r="A375">
        <v>374</v>
      </c>
      <c r="D375" t="s">
        <v>1562</v>
      </c>
      <c r="E375">
        <v>0</v>
      </c>
      <c r="F375" t="s">
        <v>1</v>
      </c>
      <c r="H375" t="s">
        <v>1565</v>
      </c>
    </row>
    <row r="376" spans="1:11" x14ac:dyDescent="0.25">
      <c r="A376">
        <v>375</v>
      </c>
      <c r="D376" t="s">
        <v>1566</v>
      </c>
      <c r="E376">
        <v>0</v>
      </c>
      <c r="F376" t="s">
        <v>1569</v>
      </c>
      <c r="H376" t="s">
        <v>256</v>
      </c>
    </row>
    <row r="377" spans="1:11" x14ac:dyDescent="0.25">
      <c r="A377">
        <v>376</v>
      </c>
      <c r="D377" t="s">
        <v>1570</v>
      </c>
      <c r="E377" t="s">
        <v>1574</v>
      </c>
      <c r="F377" t="s">
        <v>1573</v>
      </c>
      <c r="H377" t="s">
        <v>180</v>
      </c>
    </row>
    <row r="378" spans="1:11" x14ac:dyDescent="0.25">
      <c r="A378">
        <v>377</v>
      </c>
      <c r="D378" t="s">
        <v>1575</v>
      </c>
      <c r="E378" t="s">
        <v>1579</v>
      </c>
      <c r="F378" t="s">
        <v>1578</v>
      </c>
      <c r="H378" t="s">
        <v>148</v>
      </c>
    </row>
    <row r="379" spans="1:11" x14ac:dyDescent="0.25">
      <c r="A379">
        <v>378</v>
      </c>
      <c r="D379" t="s">
        <v>1580</v>
      </c>
      <c r="E379" t="s">
        <v>147</v>
      </c>
      <c r="F379" t="s">
        <v>1</v>
      </c>
      <c r="H379" t="s">
        <v>148</v>
      </c>
    </row>
    <row r="380" spans="1:11" x14ac:dyDescent="0.25">
      <c r="A380">
        <v>379</v>
      </c>
      <c r="D380" t="s">
        <v>1583</v>
      </c>
      <c r="E380" t="s">
        <v>147</v>
      </c>
      <c r="F380" t="s">
        <v>1</v>
      </c>
      <c r="H380" t="s">
        <v>180</v>
      </c>
    </row>
    <row r="381" spans="1:11" x14ac:dyDescent="0.25">
      <c r="A381">
        <v>380</v>
      </c>
      <c r="D381" t="s">
        <v>1586</v>
      </c>
      <c r="E381">
        <v>0</v>
      </c>
      <c r="F381" t="s">
        <v>1</v>
      </c>
      <c r="H381" t="s">
        <v>148</v>
      </c>
    </row>
    <row r="382" spans="1:11" x14ac:dyDescent="0.25">
      <c r="A382">
        <v>381</v>
      </c>
      <c r="D382" t="s">
        <v>1588</v>
      </c>
      <c r="E382">
        <v>3021061</v>
      </c>
      <c r="F382" t="s">
        <v>1591</v>
      </c>
      <c r="H382" t="s">
        <v>1592</v>
      </c>
    </row>
    <row r="383" spans="1:11" x14ac:dyDescent="0.25">
      <c r="A383">
        <v>382</v>
      </c>
      <c r="D383" t="s">
        <v>1593</v>
      </c>
      <c r="E383" t="s">
        <v>1596</v>
      </c>
      <c r="F383" t="s">
        <v>1</v>
      </c>
      <c r="H383" t="s">
        <v>683</v>
      </c>
    </row>
    <row r="384" spans="1:11" x14ac:dyDescent="0.25">
      <c r="A384">
        <v>383</v>
      </c>
      <c r="D384" t="s">
        <v>1597</v>
      </c>
      <c r="E384" t="s">
        <v>1600</v>
      </c>
      <c r="F384" t="s">
        <v>1599</v>
      </c>
      <c r="H384" t="s">
        <v>180</v>
      </c>
    </row>
    <row r="385" spans="1:11" x14ac:dyDescent="0.25">
      <c r="A385">
        <v>384</v>
      </c>
      <c r="C385">
        <v>9011096173</v>
      </c>
      <c r="D385" t="s">
        <v>1601</v>
      </c>
      <c r="E385" t="s">
        <v>1605</v>
      </c>
      <c r="F385" t="s">
        <v>1604</v>
      </c>
      <c r="G385" t="s">
        <v>4172</v>
      </c>
      <c r="H385" t="s">
        <v>349</v>
      </c>
      <c r="K385" t="s">
        <v>4172</v>
      </c>
    </row>
    <row r="386" spans="1:11" x14ac:dyDescent="0.25">
      <c r="A386">
        <v>385</v>
      </c>
      <c r="D386" t="s">
        <v>1606</v>
      </c>
      <c r="E386" t="s">
        <v>1609</v>
      </c>
      <c r="F386" t="s">
        <v>1</v>
      </c>
      <c r="H386" t="s">
        <v>148</v>
      </c>
    </row>
    <row r="387" spans="1:11" x14ac:dyDescent="0.25">
      <c r="A387">
        <v>386</v>
      </c>
      <c r="D387" t="s">
        <v>1610</v>
      </c>
      <c r="E387">
        <v>0</v>
      </c>
      <c r="F387" t="s">
        <v>1</v>
      </c>
      <c r="H387" t="s">
        <v>148</v>
      </c>
    </row>
    <row r="388" spans="1:11" x14ac:dyDescent="0.25">
      <c r="A388">
        <v>387</v>
      </c>
      <c r="D388" t="s">
        <v>1612</v>
      </c>
      <c r="E388">
        <v>0</v>
      </c>
      <c r="F388" t="s">
        <v>1</v>
      </c>
      <c r="H388" t="s">
        <v>89</v>
      </c>
    </row>
    <row r="389" spans="1:11" x14ac:dyDescent="0.25">
      <c r="A389">
        <v>388</v>
      </c>
      <c r="D389" t="s">
        <v>1615</v>
      </c>
      <c r="E389">
        <v>0</v>
      </c>
      <c r="F389" t="s">
        <v>1</v>
      </c>
      <c r="H389" t="s">
        <v>148</v>
      </c>
    </row>
    <row r="390" spans="1:11" x14ac:dyDescent="0.25">
      <c r="A390">
        <v>389</v>
      </c>
      <c r="D390" t="s">
        <v>1618</v>
      </c>
      <c r="E390" t="s">
        <v>1622</v>
      </c>
      <c r="F390" t="s">
        <v>1621</v>
      </c>
      <c r="G390" t="s">
        <v>4172</v>
      </c>
      <c r="H390" t="s">
        <v>148</v>
      </c>
      <c r="K390" t="s">
        <v>4172</v>
      </c>
    </row>
    <row r="391" spans="1:11" x14ac:dyDescent="0.25">
      <c r="A391">
        <v>390</v>
      </c>
      <c r="D391" t="s">
        <v>1623</v>
      </c>
      <c r="E391" t="s">
        <v>1626</v>
      </c>
      <c r="F391" t="s">
        <v>1625</v>
      </c>
      <c r="G391" t="s">
        <v>89</v>
      </c>
      <c r="H391" t="s">
        <v>148</v>
      </c>
      <c r="K391" t="s">
        <v>4172</v>
      </c>
    </row>
    <row r="392" spans="1:11" x14ac:dyDescent="0.25">
      <c r="A392">
        <v>391</v>
      </c>
      <c r="D392" t="s">
        <v>1627</v>
      </c>
      <c r="E392" t="s">
        <v>1631</v>
      </c>
      <c r="F392" t="s">
        <v>1630</v>
      </c>
      <c r="H392" t="s">
        <v>148</v>
      </c>
    </row>
    <row r="393" spans="1:11" x14ac:dyDescent="0.25">
      <c r="A393">
        <v>392</v>
      </c>
      <c r="D393" t="s">
        <v>1632</v>
      </c>
      <c r="E393" t="s">
        <v>1635</v>
      </c>
      <c r="F393" t="s">
        <v>1634</v>
      </c>
      <c r="H393" t="s">
        <v>180</v>
      </c>
    </row>
    <row r="394" spans="1:11" x14ac:dyDescent="0.25">
      <c r="A394">
        <v>393</v>
      </c>
      <c r="D394" t="s">
        <v>1636</v>
      </c>
      <c r="E394" t="s">
        <v>1631</v>
      </c>
      <c r="F394" t="s">
        <v>1638</v>
      </c>
      <c r="H394" t="s">
        <v>180</v>
      </c>
    </row>
    <row r="395" spans="1:11" x14ac:dyDescent="0.25">
      <c r="A395">
        <v>394</v>
      </c>
      <c r="D395" t="s">
        <v>1639</v>
      </c>
      <c r="E395">
        <v>0</v>
      </c>
      <c r="F395" t="s">
        <v>1</v>
      </c>
      <c r="H395" t="s">
        <v>148</v>
      </c>
    </row>
    <row r="396" spans="1:11" x14ac:dyDescent="0.25">
      <c r="A396">
        <v>395</v>
      </c>
      <c r="D396" t="s">
        <v>1640</v>
      </c>
      <c r="E396" t="s">
        <v>147</v>
      </c>
      <c r="F396" t="s">
        <v>1</v>
      </c>
      <c r="H396" t="s">
        <v>148</v>
      </c>
    </row>
    <row r="397" spans="1:11" x14ac:dyDescent="0.25">
      <c r="A397">
        <v>396</v>
      </c>
      <c r="D397" t="s">
        <v>1642</v>
      </c>
      <c r="E397">
        <v>0</v>
      </c>
      <c r="F397" t="s">
        <v>1</v>
      </c>
      <c r="H397" t="s">
        <v>148</v>
      </c>
    </row>
    <row r="398" spans="1:11" x14ac:dyDescent="0.25">
      <c r="A398">
        <v>397</v>
      </c>
      <c r="D398" t="s">
        <v>1645</v>
      </c>
      <c r="E398">
        <v>0</v>
      </c>
      <c r="F398" t="s">
        <v>1</v>
      </c>
      <c r="H398" t="s">
        <v>148</v>
      </c>
    </row>
    <row r="399" spans="1:11" x14ac:dyDescent="0.25">
      <c r="A399">
        <v>398</v>
      </c>
      <c r="D399" t="s">
        <v>1647</v>
      </c>
      <c r="E399">
        <v>0</v>
      </c>
      <c r="F399" t="s">
        <v>1</v>
      </c>
      <c r="H399" t="s">
        <v>148</v>
      </c>
    </row>
    <row r="400" spans="1:11" x14ac:dyDescent="0.25">
      <c r="A400">
        <v>399</v>
      </c>
      <c r="D400" t="s">
        <v>1650</v>
      </c>
      <c r="E400">
        <v>0</v>
      </c>
      <c r="F400" t="s">
        <v>1</v>
      </c>
      <c r="H400" t="s">
        <v>148</v>
      </c>
    </row>
    <row r="401" spans="1:11" x14ac:dyDescent="0.25">
      <c r="A401">
        <v>400</v>
      </c>
      <c r="D401" t="s">
        <v>1652</v>
      </c>
      <c r="E401" t="s">
        <v>1655</v>
      </c>
      <c r="F401" t="s">
        <v>1654</v>
      </c>
      <c r="H401" t="s">
        <v>184</v>
      </c>
    </row>
    <row r="402" spans="1:11" x14ac:dyDescent="0.25">
      <c r="A402">
        <v>401</v>
      </c>
      <c r="D402" t="s">
        <v>1656</v>
      </c>
      <c r="E402" t="s">
        <v>1659</v>
      </c>
      <c r="F402" t="s">
        <v>1658</v>
      </c>
      <c r="H402" t="s">
        <v>148</v>
      </c>
    </row>
    <row r="403" spans="1:11" x14ac:dyDescent="0.25">
      <c r="A403">
        <v>402</v>
      </c>
      <c r="D403" t="s">
        <v>1660</v>
      </c>
      <c r="E403">
        <v>8301370347</v>
      </c>
      <c r="F403" t="s">
        <v>1662</v>
      </c>
      <c r="H403" t="s">
        <v>158</v>
      </c>
    </row>
    <row r="404" spans="1:11" x14ac:dyDescent="0.25">
      <c r="A404">
        <v>403</v>
      </c>
      <c r="D404" t="s">
        <v>1663</v>
      </c>
      <c r="E404" t="s">
        <v>1665</v>
      </c>
      <c r="F404" t="s">
        <v>1</v>
      </c>
      <c r="G404" t="s">
        <v>4172</v>
      </c>
      <c r="H404" t="s">
        <v>148</v>
      </c>
      <c r="K404" t="s">
        <v>4172</v>
      </c>
    </row>
    <row r="405" spans="1:11" x14ac:dyDescent="0.25">
      <c r="A405">
        <v>404</v>
      </c>
      <c r="D405" t="s">
        <v>1666</v>
      </c>
      <c r="E405">
        <v>19227773</v>
      </c>
      <c r="F405" t="s">
        <v>1</v>
      </c>
      <c r="H405" t="s">
        <v>1668</v>
      </c>
    </row>
    <row r="406" spans="1:11" x14ac:dyDescent="0.25">
      <c r="A406">
        <v>405</v>
      </c>
      <c r="D406" t="s">
        <v>1669</v>
      </c>
      <c r="E406" t="s">
        <v>1672</v>
      </c>
      <c r="F406" t="s">
        <v>1671</v>
      </c>
      <c r="G406" t="s">
        <v>4172</v>
      </c>
      <c r="H406" t="s">
        <v>180</v>
      </c>
      <c r="K406" t="s">
        <v>4172</v>
      </c>
    </row>
    <row r="407" spans="1:11" x14ac:dyDescent="0.25">
      <c r="A407">
        <v>406</v>
      </c>
      <c r="D407" t="s">
        <v>1673</v>
      </c>
      <c r="E407" t="s">
        <v>1672</v>
      </c>
      <c r="F407" t="s">
        <v>1671</v>
      </c>
      <c r="H407" t="s">
        <v>180</v>
      </c>
    </row>
    <row r="408" spans="1:11" x14ac:dyDescent="0.25">
      <c r="A408">
        <v>407</v>
      </c>
      <c r="D408" t="s">
        <v>1674</v>
      </c>
      <c r="E408" t="s">
        <v>147</v>
      </c>
      <c r="F408" t="s">
        <v>1</v>
      </c>
      <c r="H408" t="s">
        <v>148</v>
      </c>
    </row>
    <row r="409" spans="1:11" x14ac:dyDescent="0.25">
      <c r="A409">
        <v>408</v>
      </c>
      <c r="D409" t="s">
        <v>1677</v>
      </c>
      <c r="E409" t="s">
        <v>1681</v>
      </c>
      <c r="F409" t="s">
        <v>1680</v>
      </c>
      <c r="H409" t="s">
        <v>1682</v>
      </c>
    </row>
    <row r="410" spans="1:11" x14ac:dyDescent="0.25">
      <c r="A410">
        <v>409</v>
      </c>
      <c r="D410" t="s">
        <v>1683</v>
      </c>
      <c r="E410">
        <v>0</v>
      </c>
      <c r="F410" t="s">
        <v>1</v>
      </c>
      <c r="H410" t="s">
        <v>148</v>
      </c>
    </row>
    <row r="411" spans="1:11" x14ac:dyDescent="0.25">
      <c r="A411">
        <v>410</v>
      </c>
      <c r="D411" t="s">
        <v>1686</v>
      </c>
      <c r="E411">
        <v>0</v>
      </c>
      <c r="F411" t="s">
        <v>1</v>
      </c>
      <c r="H411" t="s">
        <v>180</v>
      </c>
    </row>
    <row r="412" spans="1:11" x14ac:dyDescent="0.25">
      <c r="A412">
        <v>411</v>
      </c>
      <c r="D412" t="s">
        <v>1687</v>
      </c>
      <c r="E412">
        <v>11251511</v>
      </c>
      <c r="F412" t="s">
        <v>1</v>
      </c>
      <c r="H412" t="s">
        <v>89</v>
      </c>
    </row>
    <row r="413" spans="1:11" x14ac:dyDescent="0.25">
      <c r="A413">
        <v>412</v>
      </c>
      <c r="D413" t="s">
        <v>1689</v>
      </c>
      <c r="E413" t="s">
        <v>1081</v>
      </c>
      <c r="F413" t="s">
        <v>1080</v>
      </c>
      <c r="H413" t="s">
        <v>180</v>
      </c>
    </row>
    <row r="414" spans="1:11" x14ac:dyDescent="0.25">
      <c r="A414">
        <v>413</v>
      </c>
      <c r="D414" t="s">
        <v>1691</v>
      </c>
      <c r="E414">
        <v>0</v>
      </c>
      <c r="F414" t="s">
        <v>1</v>
      </c>
      <c r="H414" t="s">
        <v>148</v>
      </c>
    </row>
    <row r="415" spans="1:11" x14ac:dyDescent="0.25">
      <c r="A415">
        <v>414</v>
      </c>
      <c r="D415" t="s">
        <v>1692</v>
      </c>
      <c r="E415" t="s">
        <v>1695</v>
      </c>
      <c r="F415" t="s">
        <v>1694</v>
      </c>
      <c r="H415" t="s">
        <v>148</v>
      </c>
    </row>
    <row r="416" spans="1:11" x14ac:dyDescent="0.25">
      <c r="A416">
        <v>415</v>
      </c>
      <c r="D416" t="s">
        <v>1696</v>
      </c>
      <c r="E416" t="s">
        <v>1698</v>
      </c>
      <c r="F416" t="s">
        <v>1</v>
      </c>
      <c r="H416" t="s">
        <v>148</v>
      </c>
    </row>
    <row r="417" spans="1:8" x14ac:dyDescent="0.25">
      <c r="A417">
        <v>416</v>
      </c>
      <c r="D417" t="s">
        <v>1700</v>
      </c>
      <c r="E417">
        <v>0</v>
      </c>
      <c r="F417" t="s">
        <v>1700</v>
      </c>
      <c r="H417" t="s">
        <v>148</v>
      </c>
    </row>
    <row r="418" spans="1:8" x14ac:dyDescent="0.25">
      <c r="A418">
        <v>417</v>
      </c>
      <c r="D418" t="s">
        <v>1703</v>
      </c>
      <c r="E418">
        <v>0</v>
      </c>
      <c r="F418" t="s">
        <v>1</v>
      </c>
      <c r="H418" t="s">
        <v>148</v>
      </c>
    </row>
    <row r="419" spans="1:8" x14ac:dyDescent="0.25">
      <c r="A419">
        <v>418</v>
      </c>
      <c r="D419" t="s">
        <v>1705</v>
      </c>
      <c r="E419" t="s">
        <v>1709</v>
      </c>
      <c r="F419" t="s">
        <v>1708</v>
      </c>
      <c r="H419" t="s">
        <v>180</v>
      </c>
    </row>
    <row r="420" spans="1:8" x14ac:dyDescent="0.25">
      <c r="A420">
        <v>419</v>
      </c>
      <c r="D420" t="s">
        <v>1710</v>
      </c>
      <c r="E420" t="s">
        <v>1713</v>
      </c>
      <c r="F420" t="s">
        <v>16</v>
      </c>
      <c r="H420" t="s">
        <v>148</v>
      </c>
    </row>
    <row r="421" spans="1:8" x14ac:dyDescent="0.25">
      <c r="A421">
        <v>420</v>
      </c>
      <c r="D421" t="s">
        <v>1714</v>
      </c>
      <c r="E421" t="s">
        <v>1718</v>
      </c>
      <c r="F421" t="s">
        <v>1717</v>
      </c>
      <c r="H421" t="s">
        <v>148</v>
      </c>
    </row>
    <row r="422" spans="1:8" x14ac:dyDescent="0.25">
      <c r="A422">
        <v>421</v>
      </c>
      <c r="D422" t="s">
        <v>1719</v>
      </c>
      <c r="E422" t="s">
        <v>1723</v>
      </c>
      <c r="F422" t="s">
        <v>1722</v>
      </c>
      <c r="H422" t="s">
        <v>148</v>
      </c>
    </row>
    <row r="423" spans="1:8" x14ac:dyDescent="0.25">
      <c r="A423">
        <v>422</v>
      </c>
      <c r="D423" t="s">
        <v>1724</v>
      </c>
      <c r="E423" t="s">
        <v>1727</v>
      </c>
      <c r="F423" t="s">
        <v>1726</v>
      </c>
      <c r="H423" t="s">
        <v>89</v>
      </c>
    </row>
    <row r="424" spans="1:8" x14ac:dyDescent="0.25">
      <c r="A424">
        <v>423</v>
      </c>
      <c r="D424" t="s">
        <v>1728</v>
      </c>
      <c r="E424" t="s">
        <v>1505</v>
      </c>
      <c r="F424" t="s">
        <v>1504</v>
      </c>
      <c r="H424" t="s">
        <v>89</v>
      </c>
    </row>
    <row r="425" spans="1:8" x14ac:dyDescent="0.25">
      <c r="A425">
        <v>424</v>
      </c>
      <c r="D425" t="s">
        <v>1730</v>
      </c>
      <c r="E425">
        <v>108681286</v>
      </c>
      <c r="F425" t="s">
        <v>1</v>
      </c>
      <c r="H425" t="s">
        <v>148</v>
      </c>
    </row>
    <row r="426" spans="1:8" x14ac:dyDescent="0.25">
      <c r="A426">
        <v>425</v>
      </c>
      <c r="D426" t="s">
        <v>1732</v>
      </c>
      <c r="E426" t="s">
        <v>658</v>
      </c>
      <c r="F426" t="s">
        <v>657</v>
      </c>
      <c r="H426" t="s">
        <v>89</v>
      </c>
    </row>
    <row r="427" spans="1:8" x14ac:dyDescent="0.25">
      <c r="A427">
        <v>426</v>
      </c>
      <c r="D427" t="s">
        <v>1733</v>
      </c>
      <c r="E427" t="s">
        <v>1736</v>
      </c>
      <c r="F427" t="s">
        <v>1735</v>
      </c>
      <c r="H427" t="s">
        <v>148</v>
      </c>
    </row>
    <row r="428" spans="1:8" x14ac:dyDescent="0.25">
      <c r="A428">
        <v>427</v>
      </c>
      <c r="D428" t="s">
        <v>1737</v>
      </c>
      <c r="E428">
        <v>0</v>
      </c>
      <c r="F428" t="s">
        <v>1</v>
      </c>
      <c r="H428" t="s">
        <v>148</v>
      </c>
    </row>
    <row r="429" spans="1:8" x14ac:dyDescent="0.25">
      <c r="A429">
        <v>428</v>
      </c>
      <c r="D429" t="s">
        <v>1740</v>
      </c>
      <c r="E429" t="s">
        <v>1743</v>
      </c>
      <c r="F429" t="s">
        <v>1742</v>
      </c>
      <c r="H429" t="s">
        <v>89</v>
      </c>
    </row>
    <row r="430" spans="1:8" x14ac:dyDescent="0.25">
      <c r="A430">
        <v>429</v>
      </c>
      <c r="D430" t="s">
        <v>1744</v>
      </c>
      <c r="E430">
        <v>79661375</v>
      </c>
      <c r="F430" t="s">
        <v>1747</v>
      </c>
      <c r="H430" t="s">
        <v>148</v>
      </c>
    </row>
    <row r="431" spans="1:8" x14ac:dyDescent="0.25">
      <c r="A431">
        <v>430</v>
      </c>
      <c r="D431" t="s">
        <v>1748</v>
      </c>
      <c r="E431" t="s">
        <v>1752</v>
      </c>
      <c r="F431" t="s">
        <v>1751</v>
      </c>
      <c r="H431" t="s">
        <v>180</v>
      </c>
    </row>
    <row r="432" spans="1:8" x14ac:dyDescent="0.25">
      <c r="A432">
        <v>431</v>
      </c>
      <c r="D432" t="s">
        <v>1753</v>
      </c>
      <c r="E432">
        <v>0</v>
      </c>
      <c r="F432" t="s">
        <v>1</v>
      </c>
      <c r="H432" t="s">
        <v>184</v>
      </c>
    </row>
    <row r="433" spans="1:11" x14ac:dyDescent="0.25">
      <c r="A433">
        <v>432</v>
      </c>
      <c r="D433" t="s">
        <v>1756</v>
      </c>
      <c r="E433" t="s">
        <v>576</v>
      </c>
      <c r="F433" t="s">
        <v>1757</v>
      </c>
      <c r="H433" t="s">
        <v>180</v>
      </c>
    </row>
    <row r="434" spans="1:11" x14ac:dyDescent="0.25">
      <c r="A434">
        <v>433</v>
      </c>
      <c r="D434" t="s">
        <v>1758</v>
      </c>
      <c r="E434">
        <v>0</v>
      </c>
      <c r="F434" t="s">
        <v>1</v>
      </c>
      <c r="H434" t="s">
        <v>89</v>
      </c>
    </row>
    <row r="435" spans="1:11" x14ac:dyDescent="0.25">
      <c r="A435">
        <v>434</v>
      </c>
      <c r="D435" t="s">
        <v>1761</v>
      </c>
      <c r="E435">
        <v>0</v>
      </c>
      <c r="F435" t="s">
        <v>148</v>
      </c>
      <c r="H435" t="s">
        <v>148</v>
      </c>
    </row>
    <row r="436" spans="1:11" x14ac:dyDescent="0.25">
      <c r="A436">
        <v>435</v>
      </c>
      <c r="D436" t="s">
        <v>1764</v>
      </c>
      <c r="E436">
        <v>0</v>
      </c>
      <c r="F436" t="s">
        <v>1</v>
      </c>
      <c r="H436" t="s">
        <v>148</v>
      </c>
    </row>
    <row r="437" spans="1:11" x14ac:dyDescent="0.25">
      <c r="A437">
        <v>436</v>
      </c>
      <c r="D437" t="s">
        <v>1766</v>
      </c>
      <c r="E437" t="s">
        <v>147</v>
      </c>
      <c r="F437" t="s">
        <v>1768</v>
      </c>
      <c r="G437" t="s">
        <v>4172</v>
      </c>
      <c r="H437" t="s">
        <v>148</v>
      </c>
      <c r="K437" t="s">
        <v>4172</v>
      </c>
    </row>
    <row r="438" spans="1:11" x14ac:dyDescent="0.25">
      <c r="A438">
        <v>437</v>
      </c>
      <c r="D438" t="s">
        <v>1769</v>
      </c>
      <c r="E438" t="s">
        <v>147</v>
      </c>
      <c r="F438" t="s">
        <v>1</v>
      </c>
      <c r="G438" t="s">
        <v>4172</v>
      </c>
      <c r="H438" t="s">
        <v>148</v>
      </c>
      <c r="K438" t="s">
        <v>4172</v>
      </c>
    </row>
    <row r="439" spans="1:11" x14ac:dyDescent="0.25">
      <c r="A439">
        <v>438</v>
      </c>
      <c r="D439" t="s">
        <v>1771</v>
      </c>
      <c r="E439" t="s">
        <v>147</v>
      </c>
      <c r="F439" t="s">
        <v>1773</v>
      </c>
      <c r="H439" t="s">
        <v>148</v>
      </c>
    </row>
    <row r="440" spans="1:11" x14ac:dyDescent="0.25">
      <c r="A440">
        <v>439</v>
      </c>
      <c r="D440" t="s">
        <v>1774</v>
      </c>
      <c r="E440" t="s">
        <v>147</v>
      </c>
      <c r="F440" t="s">
        <v>1777</v>
      </c>
      <c r="H440" t="s">
        <v>1778</v>
      </c>
    </row>
    <row r="441" spans="1:11" x14ac:dyDescent="0.25">
      <c r="A441">
        <v>440</v>
      </c>
      <c r="D441" t="s">
        <v>1779</v>
      </c>
      <c r="E441">
        <v>0</v>
      </c>
      <c r="F441" t="s">
        <v>1</v>
      </c>
      <c r="H441" t="s">
        <v>148</v>
      </c>
    </row>
    <row r="442" spans="1:11" x14ac:dyDescent="0.25">
      <c r="A442">
        <v>441</v>
      </c>
      <c r="D442" t="s">
        <v>1782</v>
      </c>
      <c r="E442">
        <v>0</v>
      </c>
      <c r="F442" t="s">
        <v>1783</v>
      </c>
      <c r="H442" t="s">
        <v>148</v>
      </c>
    </row>
    <row r="443" spans="1:11" x14ac:dyDescent="0.25">
      <c r="A443">
        <v>442</v>
      </c>
      <c r="D443" t="s">
        <v>1784</v>
      </c>
      <c r="E443">
        <v>0</v>
      </c>
      <c r="F443" t="s">
        <v>1786</v>
      </c>
      <c r="H443" t="s">
        <v>180</v>
      </c>
    </row>
    <row r="444" spans="1:11" x14ac:dyDescent="0.25">
      <c r="A444">
        <v>443</v>
      </c>
      <c r="D444" t="s">
        <v>1787</v>
      </c>
      <c r="E444" t="s">
        <v>1789</v>
      </c>
      <c r="F444" t="s">
        <v>1</v>
      </c>
      <c r="H444" t="s">
        <v>180</v>
      </c>
    </row>
    <row r="445" spans="1:11" x14ac:dyDescent="0.25">
      <c r="A445">
        <v>444</v>
      </c>
      <c r="D445" t="s">
        <v>1790</v>
      </c>
      <c r="E445" t="s">
        <v>555</v>
      </c>
      <c r="F445" t="s">
        <v>1792</v>
      </c>
      <c r="H445" t="s">
        <v>148</v>
      </c>
    </row>
    <row r="446" spans="1:11" x14ac:dyDescent="0.25">
      <c r="A446">
        <v>445</v>
      </c>
      <c r="D446" t="s">
        <v>1793</v>
      </c>
      <c r="E446">
        <v>0</v>
      </c>
      <c r="F446" t="s">
        <v>1796</v>
      </c>
      <c r="H446" t="s">
        <v>89</v>
      </c>
    </row>
    <row r="447" spans="1:11" x14ac:dyDescent="0.25">
      <c r="A447">
        <v>446</v>
      </c>
      <c r="D447" t="s">
        <v>1797</v>
      </c>
      <c r="E447" t="s">
        <v>147</v>
      </c>
      <c r="F447" t="s">
        <v>1799</v>
      </c>
      <c r="G447" t="s">
        <v>143</v>
      </c>
      <c r="H447" t="s">
        <v>236</v>
      </c>
      <c r="K447" t="s">
        <v>4172</v>
      </c>
    </row>
    <row r="448" spans="1:11" x14ac:dyDescent="0.25">
      <c r="A448">
        <v>447</v>
      </c>
      <c r="D448" t="s">
        <v>1800</v>
      </c>
      <c r="E448" t="s">
        <v>1803</v>
      </c>
      <c r="F448" t="s">
        <v>1802</v>
      </c>
      <c r="H448" t="s">
        <v>89</v>
      </c>
    </row>
    <row r="449" spans="1:8" x14ac:dyDescent="0.25">
      <c r="A449">
        <v>448</v>
      </c>
      <c r="D449" t="s">
        <v>1804</v>
      </c>
      <c r="E449" t="s">
        <v>1807</v>
      </c>
      <c r="F449" t="s">
        <v>1806</v>
      </c>
      <c r="H449" t="s">
        <v>148</v>
      </c>
    </row>
    <row r="450" spans="1:8" x14ac:dyDescent="0.25">
      <c r="A450">
        <v>449</v>
      </c>
      <c r="D450" t="s">
        <v>1808</v>
      </c>
      <c r="E450" t="s">
        <v>1811</v>
      </c>
      <c r="F450" t="s">
        <v>1810</v>
      </c>
      <c r="H450" t="s">
        <v>818</v>
      </c>
    </row>
    <row r="451" spans="1:8" x14ac:dyDescent="0.25">
      <c r="A451">
        <v>450</v>
      </c>
      <c r="D451" t="s">
        <v>1812</v>
      </c>
      <c r="E451">
        <v>0</v>
      </c>
      <c r="F451" t="s">
        <v>1</v>
      </c>
      <c r="H451" t="s">
        <v>148</v>
      </c>
    </row>
    <row r="452" spans="1:8" x14ac:dyDescent="0.25">
      <c r="A452">
        <v>451</v>
      </c>
      <c r="D452" t="s">
        <v>1815</v>
      </c>
      <c r="E452">
        <v>0</v>
      </c>
      <c r="F452" t="s">
        <v>1817</v>
      </c>
      <c r="H452" t="s">
        <v>89</v>
      </c>
    </row>
    <row r="453" spans="1:8" x14ac:dyDescent="0.25">
      <c r="A453">
        <v>452</v>
      </c>
      <c r="D453" t="s">
        <v>1818</v>
      </c>
      <c r="E453">
        <v>0</v>
      </c>
      <c r="F453" t="s">
        <v>1</v>
      </c>
      <c r="H453" t="s">
        <v>148</v>
      </c>
    </row>
    <row r="454" spans="1:8" x14ac:dyDescent="0.25">
      <c r="A454">
        <v>453</v>
      </c>
      <c r="D454" t="s">
        <v>1819</v>
      </c>
      <c r="E454">
        <v>0</v>
      </c>
      <c r="F454" t="s">
        <v>1</v>
      </c>
      <c r="H454" t="s">
        <v>148</v>
      </c>
    </row>
    <row r="455" spans="1:8" x14ac:dyDescent="0.25">
      <c r="A455">
        <v>454</v>
      </c>
      <c r="D455" t="s">
        <v>1821</v>
      </c>
      <c r="E455">
        <v>0</v>
      </c>
      <c r="F455" t="s">
        <v>1</v>
      </c>
      <c r="H455" t="s">
        <v>148</v>
      </c>
    </row>
    <row r="456" spans="1:8" x14ac:dyDescent="0.25">
      <c r="A456">
        <v>455</v>
      </c>
      <c r="D456" t="s">
        <v>1823</v>
      </c>
      <c r="E456">
        <v>0</v>
      </c>
      <c r="F456" t="s">
        <v>1</v>
      </c>
      <c r="H456" t="s">
        <v>148</v>
      </c>
    </row>
    <row r="457" spans="1:8" x14ac:dyDescent="0.25">
      <c r="A457">
        <v>456</v>
      </c>
      <c r="D457" t="s">
        <v>1825</v>
      </c>
      <c r="E457">
        <v>0</v>
      </c>
      <c r="F457" t="s">
        <v>1</v>
      </c>
      <c r="H457" t="s">
        <v>89</v>
      </c>
    </row>
    <row r="458" spans="1:8" x14ac:dyDescent="0.25">
      <c r="A458">
        <v>457</v>
      </c>
      <c r="D458" t="s">
        <v>1827</v>
      </c>
      <c r="E458" t="s">
        <v>1830</v>
      </c>
      <c r="F458" t="s">
        <v>1829</v>
      </c>
      <c r="H458" t="s">
        <v>148</v>
      </c>
    </row>
    <row r="459" spans="1:8" x14ac:dyDescent="0.25">
      <c r="A459">
        <v>458</v>
      </c>
      <c r="D459" t="s">
        <v>1831</v>
      </c>
      <c r="E459" t="s">
        <v>1834</v>
      </c>
      <c r="F459" t="s">
        <v>1833</v>
      </c>
      <c r="H459" t="s">
        <v>89</v>
      </c>
    </row>
    <row r="460" spans="1:8" x14ac:dyDescent="0.25">
      <c r="A460">
        <v>459</v>
      </c>
      <c r="D460" t="s">
        <v>1835</v>
      </c>
      <c r="E460">
        <v>0</v>
      </c>
      <c r="F460" t="s">
        <v>1836</v>
      </c>
      <c r="H460" t="s">
        <v>89</v>
      </c>
    </row>
    <row r="461" spans="1:8" x14ac:dyDescent="0.25">
      <c r="A461">
        <v>460</v>
      </c>
      <c r="D461" t="s">
        <v>1837</v>
      </c>
      <c r="E461">
        <v>0</v>
      </c>
      <c r="F461" t="s">
        <v>1</v>
      </c>
      <c r="H461" t="s">
        <v>261</v>
      </c>
    </row>
    <row r="462" spans="1:8" x14ac:dyDescent="0.25">
      <c r="A462">
        <v>461</v>
      </c>
      <c r="D462" t="s">
        <v>1838</v>
      </c>
      <c r="E462">
        <v>0</v>
      </c>
      <c r="F462" t="s">
        <v>1</v>
      </c>
      <c r="H462" t="s">
        <v>142</v>
      </c>
    </row>
    <row r="463" spans="1:8" x14ac:dyDescent="0.25">
      <c r="A463">
        <v>462</v>
      </c>
      <c r="D463" t="s">
        <v>1839</v>
      </c>
      <c r="E463">
        <v>0</v>
      </c>
      <c r="F463" t="s">
        <v>1</v>
      </c>
      <c r="H463" t="s">
        <v>1840</v>
      </c>
    </row>
    <row r="464" spans="1:8" x14ac:dyDescent="0.25">
      <c r="A464">
        <v>463</v>
      </c>
      <c r="D464" t="s">
        <v>1841</v>
      </c>
      <c r="E464">
        <v>0</v>
      </c>
      <c r="F464" t="s">
        <v>1</v>
      </c>
      <c r="H464" t="s">
        <v>148</v>
      </c>
    </row>
    <row r="465" spans="1:8" x14ac:dyDescent="0.25">
      <c r="A465">
        <v>464</v>
      </c>
      <c r="D465" t="s">
        <v>1842</v>
      </c>
      <c r="E465" t="s">
        <v>147</v>
      </c>
      <c r="F465" t="s">
        <v>1</v>
      </c>
      <c r="H465" t="s">
        <v>978</v>
      </c>
    </row>
    <row r="466" spans="1:8" x14ac:dyDescent="0.25">
      <c r="A466">
        <v>465</v>
      </c>
      <c r="D466" t="s">
        <v>1843</v>
      </c>
      <c r="E466">
        <v>0</v>
      </c>
      <c r="F466" t="s">
        <v>1843</v>
      </c>
      <c r="H466" t="s">
        <v>1844</v>
      </c>
    </row>
    <row r="467" spans="1:8" x14ac:dyDescent="0.25">
      <c r="A467">
        <v>466</v>
      </c>
      <c r="D467" t="s">
        <v>1845</v>
      </c>
      <c r="E467" t="s">
        <v>1848</v>
      </c>
      <c r="F467" t="s">
        <v>1847</v>
      </c>
      <c r="H467" t="s">
        <v>142</v>
      </c>
    </row>
    <row r="468" spans="1:8" x14ac:dyDescent="0.25">
      <c r="A468">
        <v>467</v>
      </c>
      <c r="D468" t="s">
        <v>1849</v>
      </c>
      <c r="E468">
        <v>0</v>
      </c>
      <c r="F468" t="s">
        <v>1</v>
      </c>
      <c r="H468" t="s">
        <v>148</v>
      </c>
    </row>
    <row r="469" spans="1:8" x14ac:dyDescent="0.25">
      <c r="A469">
        <v>468</v>
      </c>
      <c r="D469" t="s">
        <v>1851</v>
      </c>
      <c r="E469" t="s">
        <v>147</v>
      </c>
      <c r="F469" t="s">
        <v>1854</v>
      </c>
      <c r="H469" t="s">
        <v>148</v>
      </c>
    </row>
    <row r="470" spans="1:8" x14ac:dyDescent="0.25">
      <c r="A470">
        <v>469</v>
      </c>
      <c r="D470" t="s">
        <v>1855</v>
      </c>
      <c r="E470" t="s">
        <v>1393</v>
      </c>
      <c r="F470" t="s">
        <v>1857</v>
      </c>
      <c r="H470" t="s">
        <v>89</v>
      </c>
    </row>
    <row r="471" spans="1:8" x14ac:dyDescent="0.25">
      <c r="A471">
        <v>470</v>
      </c>
      <c r="D471" t="s">
        <v>1858</v>
      </c>
      <c r="E471" t="s">
        <v>147</v>
      </c>
      <c r="F471" t="s">
        <v>1</v>
      </c>
      <c r="H471" t="s">
        <v>148</v>
      </c>
    </row>
    <row r="472" spans="1:8" x14ac:dyDescent="0.25">
      <c r="A472">
        <v>471</v>
      </c>
      <c r="D472" t="s">
        <v>1860</v>
      </c>
      <c r="E472">
        <v>0</v>
      </c>
      <c r="F472" t="s">
        <v>1</v>
      </c>
      <c r="H472" t="s">
        <v>256</v>
      </c>
    </row>
    <row r="473" spans="1:8" x14ac:dyDescent="0.25">
      <c r="A473">
        <v>472</v>
      </c>
      <c r="D473" t="s">
        <v>1863</v>
      </c>
      <c r="E473">
        <v>0</v>
      </c>
      <c r="F473" t="s">
        <v>1865</v>
      </c>
      <c r="H473" t="s">
        <v>180</v>
      </c>
    </row>
    <row r="474" spans="1:8" x14ac:dyDescent="0.25">
      <c r="A474">
        <v>473</v>
      </c>
      <c r="D474" t="s">
        <v>1866</v>
      </c>
      <c r="E474">
        <v>0</v>
      </c>
      <c r="F474" t="s">
        <v>1868</v>
      </c>
      <c r="H474" t="s">
        <v>148</v>
      </c>
    </row>
    <row r="475" spans="1:8" x14ac:dyDescent="0.25">
      <c r="A475">
        <v>474</v>
      </c>
      <c r="D475" t="s">
        <v>1869</v>
      </c>
      <c r="E475" t="s">
        <v>147</v>
      </c>
      <c r="F475" t="s">
        <v>148</v>
      </c>
      <c r="H475" t="s">
        <v>148</v>
      </c>
    </row>
    <row r="476" spans="1:8" x14ac:dyDescent="0.25">
      <c r="A476">
        <v>475</v>
      </c>
      <c r="D476" t="s">
        <v>1871</v>
      </c>
      <c r="E476">
        <v>0</v>
      </c>
      <c r="F476" t="s">
        <v>148</v>
      </c>
      <c r="H476" t="s">
        <v>148</v>
      </c>
    </row>
    <row r="477" spans="1:8" x14ac:dyDescent="0.25">
      <c r="A477">
        <v>476</v>
      </c>
      <c r="D477" t="s">
        <v>1872</v>
      </c>
      <c r="E477" t="s">
        <v>1875</v>
      </c>
      <c r="F477" t="s">
        <v>1874</v>
      </c>
      <c r="H477" t="s">
        <v>148</v>
      </c>
    </row>
    <row r="478" spans="1:8" x14ac:dyDescent="0.25">
      <c r="A478">
        <v>477</v>
      </c>
      <c r="D478" t="s">
        <v>1876</v>
      </c>
      <c r="E478">
        <v>0</v>
      </c>
      <c r="F478" t="s">
        <v>1877</v>
      </c>
      <c r="H478" t="s">
        <v>1878</v>
      </c>
    </row>
    <row r="479" spans="1:8" x14ac:dyDescent="0.25">
      <c r="A479">
        <v>478</v>
      </c>
      <c r="D479" t="s">
        <v>1879</v>
      </c>
      <c r="E479">
        <v>0</v>
      </c>
      <c r="F479" t="s">
        <v>1</v>
      </c>
      <c r="H479" t="s">
        <v>1880</v>
      </c>
    </row>
    <row r="480" spans="1:8" x14ac:dyDescent="0.25">
      <c r="A480">
        <v>479</v>
      </c>
      <c r="D480" t="s">
        <v>1881</v>
      </c>
      <c r="E480" t="s">
        <v>1884</v>
      </c>
      <c r="F480" t="s">
        <v>1883</v>
      </c>
      <c r="H480" t="s">
        <v>148</v>
      </c>
    </row>
    <row r="481" spans="1:11" x14ac:dyDescent="0.25">
      <c r="A481">
        <v>480</v>
      </c>
      <c r="D481" t="s">
        <v>1885</v>
      </c>
      <c r="E481">
        <v>1</v>
      </c>
      <c r="F481" t="s">
        <v>1</v>
      </c>
      <c r="H481" t="s">
        <v>148</v>
      </c>
    </row>
    <row r="482" spans="1:11" x14ac:dyDescent="0.25">
      <c r="A482">
        <v>481</v>
      </c>
      <c r="D482" t="s">
        <v>1886</v>
      </c>
      <c r="E482">
        <v>2</v>
      </c>
      <c r="F482" t="s">
        <v>1</v>
      </c>
      <c r="H482" t="s">
        <v>148</v>
      </c>
    </row>
    <row r="483" spans="1:11" x14ac:dyDescent="0.25">
      <c r="A483">
        <v>482</v>
      </c>
      <c r="D483" t="s">
        <v>1888</v>
      </c>
      <c r="E483">
        <v>2</v>
      </c>
      <c r="F483" t="s">
        <v>1</v>
      </c>
      <c r="H483" t="s">
        <v>180</v>
      </c>
    </row>
    <row r="484" spans="1:11" x14ac:dyDescent="0.25">
      <c r="A484">
        <v>483</v>
      </c>
      <c r="D484" t="s">
        <v>1890</v>
      </c>
      <c r="E484" t="s">
        <v>1891</v>
      </c>
      <c r="F484" t="s">
        <v>1</v>
      </c>
      <c r="G484" t="s">
        <v>4172</v>
      </c>
      <c r="H484" t="s">
        <v>148</v>
      </c>
      <c r="K484" t="s">
        <v>4172</v>
      </c>
    </row>
    <row r="485" spans="1:11" x14ac:dyDescent="0.25">
      <c r="A485">
        <v>484</v>
      </c>
      <c r="D485" t="s">
        <v>1892</v>
      </c>
      <c r="E485" t="s">
        <v>147</v>
      </c>
      <c r="F485" t="s">
        <v>1894</v>
      </c>
      <c r="G485" t="s">
        <v>4172</v>
      </c>
      <c r="H485" t="s">
        <v>89</v>
      </c>
      <c r="K485" t="s">
        <v>4172</v>
      </c>
    </row>
    <row r="486" spans="1:11" x14ac:dyDescent="0.25">
      <c r="A486">
        <v>485</v>
      </c>
      <c r="D486" t="s">
        <v>1895</v>
      </c>
      <c r="E486">
        <v>0</v>
      </c>
      <c r="F486" t="s">
        <v>1</v>
      </c>
      <c r="H486" t="s">
        <v>349</v>
      </c>
    </row>
    <row r="487" spans="1:11" x14ac:dyDescent="0.25">
      <c r="A487">
        <v>486</v>
      </c>
      <c r="D487" t="s">
        <v>1896</v>
      </c>
      <c r="E487" t="s">
        <v>1900</v>
      </c>
      <c r="F487" t="s">
        <v>1899</v>
      </c>
      <c r="H487" t="s">
        <v>804</v>
      </c>
    </row>
    <row r="488" spans="1:11" x14ac:dyDescent="0.25">
      <c r="A488">
        <v>487</v>
      </c>
      <c r="D488" t="s">
        <v>1901</v>
      </c>
      <c r="E488" t="s">
        <v>2</v>
      </c>
      <c r="F488" t="s">
        <v>2</v>
      </c>
      <c r="H488" t="s">
        <v>2</v>
      </c>
    </row>
    <row r="489" spans="1:11" x14ac:dyDescent="0.25">
      <c r="A489">
        <v>488</v>
      </c>
      <c r="D489" t="s">
        <v>1902</v>
      </c>
      <c r="E489" t="s">
        <v>1905</v>
      </c>
      <c r="F489" t="s">
        <v>2</v>
      </c>
      <c r="H489" t="s">
        <v>1906</v>
      </c>
    </row>
    <row r="490" spans="1:11" x14ac:dyDescent="0.25">
      <c r="A490">
        <v>489</v>
      </c>
      <c r="D490" t="s">
        <v>1907</v>
      </c>
      <c r="E490">
        <v>0</v>
      </c>
      <c r="F490" t="s">
        <v>2</v>
      </c>
      <c r="H490" t="s">
        <v>1908</v>
      </c>
    </row>
    <row r="491" spans="1:11" x14ac:dyDescent="0.25">
      <c r="A491">
        <v>490</v>
      </c>
      <c r="D491" t="s">
        <v>1909</v>
      </c>
      <c r="E491">
        <v>0</v>
      </c>
      <c r="F491" t="s">
        <v>2</v>
      </c>
      <c r="H491" t="s">
        <v>1840</v>
      </c>
    </row>
    <row r="492" spans="1:11" x14ac:dyDescent="0.25">
      <c r="A492">
        <v>491</v>
      </c>
      <c r="D492" t="s">
        <v>1910</v>
      </c>
      <c r="E492" t="s">
        <v>147</v>
      </c>
      <c r="F492" t="s">
        <v>2</v>
      </c>
      <c r="H492" t="s">
        <v>1912</v>
      </c>
    </row>
    <row r="493" spans="1:11" x14ac:dyDescent="0.25">
      <c r="A493">
        <v>492</v>
      </c>
      <c r="D493" t="s">
        <v>1913</v>
      </c>
      <c r="E493">
        <v>0</v>
      </c>
      <c r="F493" t="s">
        <v>2</v>
      </c>
      <c r="H493" t="s">
        <v>1916</v>
      </c>
    </row>
    <row r="494" spans="1:11" x14ac:dyDescent="0.25">
      <c r="A494">
        <v>493</v>
      </c>
      <c r="D494" t="s">
        <v>1917</v>
      </c>
      <c r="E494">
        <v>80217234</v>
      </c>
      <c r="F494" t="s">
        <v>2</v>
      </c>
      <c r="H494" t="s">
        <v>1919</v>
      </c>
    </row>
    <row r="495" spans="1:11" x14ac:dyDescent="0.25">
      <c r="A495">
        <v>494</v>
      </c>
      <c r="D495" t="s">
        <v>1920</v>
      </c>
      <c r="E495">
        <v>0</v>
      </c>
      <c r="F495" t="s">
        <v>2</v>
      </c>
      <c r="H495" t="s">
        <v>818</v>
      </c>
    </row>
    <row r="496" spans="1:11" x14ac:dyDescent="0.25">
      <c r="A496">
        <v>495</v>
      </c>
      <c r="D496" t="s">
        <v>1923</v>
      </c>
      <c r="E496" t="s">
        <v>1924</v>
      </c>
      <c r="F496" t="s">
        <v>1923</v>
      </c>
      <c r="H496" t="s">
        <v>148</v>
      </c>
    </row>
    <row r="497" spans="1:11" x14ac:dyDescent="0.25">
      <c r="A497">
        <v>496</v>
      </c>
      <c r="D497" t="s">
        <v>1925</v>
      </c>
      <c r="E497" t="s">
        <v>147</v>
      </c>
      <c r="F497" t="s">
        <v>2</v>
      </c>
      <c r="G497" t="s">
        <v>4172</v>
      </c>
      <c r="H497" t="s">
        <v>148</v>
      </c>
      <c r="K497" t="s">
        <v>4172</v>
      </c>
    </row>
    <row r="498" spans="1:11" x14ac:dyDescent="0.25">
      <c r="A498">
        <v>497</v>
      </c>
      <c r="D498" t="s">
        <v>1926</v>
      </c>
      <c r="E498">
        <v>79413847</v>
      </c>
      <c r="F498" t="s">
        <v>2</v>
      </c>
      <c r="H498" t="s">
        <v>464</v>
      </c>
    </row>
    <row r="499" spans="1:11" x14ac:dyDescent="0.25">
      <c r="A499">
        <v>498</v>
      </c>
      <c r="D499" t="s">
        <v>1929</v>
      </c>
      <c r="E499">
        <v>0</v>
      </c>
      <c r="F499" t="s">
        <v>2</v>
      </c>
      <c r="H499" t="s">
        <v>148</v>
      </c>
    </row>
    <row r="500" spans="1:11" x14ac:dyDescent="0.25">
      <c r="A500">
        <v>499</v>
      </c>
      <c r="D500" t="s">
        <v>1932</v>
      </c>
      <c r="E500">
        <v>0</v>
      </c>
      <c r="F500" t="s">
        <v>2</v>
      </c>
      <c r="H500" t="s">
        <v>1840</v>
      </c>
    </row>
    <row r="501" spans="1:11" x14ac:dyDescent="0.25">
      <c r="A501">
        <v>500</v>
      </c>
      <c r="D501" t="s">
        <v>1934</v>
      </c>
      <c r="E501">
        <v>1026283699</v>
      </c>
      <c r="F501" t="s">
        <v>2</v>
      </c>
      <c r="H501" t="s">
        <v>148</v>
      </c>
    </row>
    <row r="502" spans="1:11" x14ac:dyDescent="0.25">
      <c r="A502">
        <v>501</v>
      </c>
      <c r="D502" t="s">
        <v>1937</v>
      </c>
      <c r="E502">
        <v>0</v>
      </c>
      <c r="F502" t="s">
        <v>2</v>
      </c>
      <c r="H502" t="s">
        <v>148</v>
      </c>
    </row>
    <row r="503" spans="1:11" x14ac:dyDescent="0.25">
      <c r="A503">
        <v>502</v>
      </c>
      <c r="D503" t="s">
        <v>1939</v>
      </c>
      <c r="E503">
        <v>70694369</v>
      </c>
      <c r="F503" t="s">
        <v>2</v>
      </c>
      <c r="H503" t="s">
        <v>1060</v>
      </c>
    </row>
    <row r="504" spans="1:11" x14ac:dyDescent="0.25">
      <c r="A504">
        <v>503</v>
      </c>
      <c r="D504" t="s">
        <v>1941</v>
      </c>
      <c r="E504">
        <v>79461482</v>
      </c>
      <c r="F504" t="s">
        <v>1941</v>
      </c>
      <c r="H504" t="s">
        <v>1943</v>
      </c>
    </row>
    <row r="505" spans="1:11" x14ac:dyDescent="0.25">
      <c r="A505">
        <v>504</v>
      </c>
      <c r="D505" t="s">
        <v>1944</v>
      </c>
      <c r="E505" t="s">
        <v>1948</v>
      </c>
      <c r="F505" t="s">
        <v>1947</v>
      </c>
      <c r="H505" t="s">
        <v>1949</v>
      </c>
    </row>
    <row r="506" spans="1:11" x14ac:dyDescent="0.25">
      <c r="A506">
        <v>505</v>
      </c>
      <c r="D506" t="s">
        <v>1950</v>
      </c>
      <c r="E506">
        <v>1010170924</v>
      </c>
      <c r="F506" t="s">
        <v>1952</v>
      </c>
      <c r="H506" t="s">
        <v>1953</v>
      </c>
    </row>
    <row r="507" spans="1:11" x14ac:dyDescent="0.25">
      <c r="A507">
        <v>506</v>
      </c>
      <c r="D507" t="s">
        <v>1954</v>
      </c>
      <c r="E507" t="s">
        <v>1957</v>
      </c>
      <c r="F507" t="s">
        <v>1954</v>
      </c>
      <c r="H507" t="s">
        <v>1958</v>
      </c>
    </row>
    <row r="508" spans="1:11" x14ac:dyDescent="0.25">
      <c r="A508">
        <v>507</v>
      </c>
      <c r="D508" t="s">
        <v>1959</v>
      </c>
      <c r="E508">
        <v>52803627</v>
      </c>
      <c r="F508" t="s">
        <v>1959</v>
      </c>
      <c r="H508" t="s">
        <v>1961</v>
      </c>
    </row>
    <row r="509" spans="1:11" x14ac:dyDescent="0.25">
      <c r="A509">
        <v>508</v>
      </c>
      <c r="D509" t="s">
        <v>1962</v>
      </c>
      <c r="E509" t="s">
        <v>1966</v>
      </c>
      <c r="F509" t="s">
        <v>1965</v>
      </c>
      <c r="H509" t="s">
        <v>1967</v>
      </c>
    </row>
    <row r="510" spans="1:11" x14ac:dyDescent="0.25">
      <c r="A510">
        <v>509</v>
      </c>
      <c r="D510" t="s">
        <v>1968</v>
      </c>
      <c r="E510" t="s">
        <v>1972</v>
      </c>
      <c r="F510" t="s">
        <v>1971</v>
      </c>
      <c r="H510" t="s">
        <v>148</v>
      </c>
    </row>
    <row r="511" spans="1:11" x14ac:dyDescent="0.25">
      <c r="A511">
        <v>510</v>
      </c>
      <c r="D511" t="s">
        <v>1973</v>
      </c>
      <c r="E511" t="s">
        <v>1976</v>
      </c>
      <c r="F511" t="s">
        <v>1975</v>
      </c>
      <c r="H511" t="s">
        <v>1977</v>
      </c>
    </row>
    <row r="512" spans="1:11" x14ac:dyDescent="0.25">
      <c r="A512">
        <v>511</v>
      </c>
      <c r="D512" t="s">
        <v>1978</v>
      </c>
      <c r="E512" t="s">
        <v>1982</v>
      </c>
      <c r="F512" t="s">
        <v>1981</v>
      </c>
      <c r="H512" t="s">
        <v>1983</v>
      </c>
    </row>
    <row r="513" spans="1:11" x14ac:dyDescent="0.25">
      <c r="A513">
        <v>512</v>
      </c>
      <c r="D513" t="s">
        <v>1984</v>
      </c>
      <c r="E513" t="s">
        <v>1987</v>
      </c>
      <c r="F513" t="s">
        <v>1986</v>
      </c>
      <c r="H513" t="s">
        <v>1988</v>
      </c>
    </row>
    <row r="514" spans="1:11" x14ac:dyDescent="0.25">
      <c r="A514">
        <v>513</v>
      </c>
      <c r="D514" t="s">
        <v>1989</v>
      </c>
      <c r="E514" t="s">
        <v>1993</v>
      </c>
      <c r="F514" t="s">
        <v>1992</v>
      </c>
      <c r="H514" t="s">
        <v>1949</v>
      </c>
    </row>
    <row r="515" spans="1:11" x14ac:dyDescent="0.25">
      <c r="A515">
        <v>514</v>
      </c>
      <c r="D515" t="s">
        <v>1994</v>
      </c>
      <c r="E515" t="s">
        <v>1997</v>
      </c>
      <c r="F515" t="s">
        <v>1996</v>
      </c>
      <c r="H515" t="s">
        <v>1998</v>
      </c>
    </row>
    <row r="516" spans="1:11" x14ac:dyDescent="0.25">
      <c r="A516">
        <v>515</v>
      </c>
      <c r="D516" t="s">
        <v>1999</v>
      </c>
      <c r="E516" t="s">
        <v>2002</v>
      </c>
      <c r="F516" t="s">
        <v>2001</v>
      </c>
      <c r="G516" t="s">
        <v>4172</v>
      </c>
      <c r="H516" t="s">
        <v>148</v>
      </c>
      <c r="K516" t="s">
        <v>4172</v>
      </c>
    </row>
    <row r="517" spans="1:11" x14ac:dyDescent="0.25">
      <c r="A517">
        <v>516</v>
      </c>
      <c r="D517" t="s">
        <v>2003</v>
      </c>
      <c r="E517" t="s">
        <v>2006</v>
      </c>
      <c r="F517" t="s">
        <v>2005</v>
      </c>
      <c r="G517" t="s">
        <v>4172</v>
      </c>
      <c r="H517" t="s">
        <v>89</v>
      </c>
      <c r="K517" t="s">
        <v>4172</v>
      </c>
    </row>
    <row r="518" spans="1:11" x14ac:dyDescent="0.25">
      <c r="A518">
        <v>517</v>
      </c>
      <c r="D518" t="s">
        <v>2007</v>
      </c>
      <c r="E518">
        <v>51803271</v>
      </c>
      <c r="F518" t="s">
        <v>2007</v>
      </c>
      <c r="H518" t="s">
        <v>148</v>
      </c>
    </row>
    <row r="519" spans="1:11" x14ac:dyDescent="0.25">
      <c r="A519">
        <v>518</v>
      </c>
      <c r="D519" t="s">
        <v>2009</v>
      </c>
      <c r="E519">
        <v>0</v>
      </c>
      <c r="F519" t="s">
        <v>2009</v>
      </c>
      <c r="H519" t="s">
        <v>148</v>
      </c>
    </row>
    <row r="520" spans="1:11" x14ac:dyDescent="0.25">
      <c r="A520">
        <v>519</v>
      </c>
      <c r="D520" t="s">
        <v>2012</v>
      </c>
      <c r="E520" t="s">
        <v>2015</v>
      </c>
      <c r="F520" t="s">
        <v>2014</v>
      </c>
      <c r="H520" t="s">
        <v>2016</v>
      </c>
    </row>
    <row r="521" spans="1:11" x14ac:dyDescent="0.25">
      <c r="A521">
        <v>520</v>
      </c>
      <c r="D521" t="s">
        <v>2017</v>
      </c>
      <c r="E521" t="s">
        <v>4172</v>
      </c>
      <c r="F521" t="s">
        <v>2020</v>
      </c>
      <c r="H521" t="s">
        <v>2021</v>
      </c>
    </row>
    <row r="522" spans="1:11" x14ac:dyDescent="0.25">
      <c r="A522">
        <v>521</v>
      </c>
      <c r="D522" t="s">
        <v>2022</v>
      </c>
      <c r="E522" t="s">
        <v>2024</v>
      </c>
      <c r="F522" t="s">
        <v>1</v>
      </c>
      <c r="H522" t="s">
        <v>683</v>
      </c>
    </row>
    <row r="523" spans="1:11" x14ac:dyDescent="0.25">
      <c r="A523">
        <v>522</v>
      </c>
      <c r="D523" t="s">
        <v>2025</v>
      </c>
      <c r="E523" t="s">
        <v>2029</v>
      </c>
      <c r="F523" t="s">
        <v>2028</v>
      </c>
      <c r="H523" t="s">
        <v>2030</v>
      </c>
    </row>
    <row r="524" spans="1:11" x14ac:dyDescent="0.25">
      <c r="A524">
        <v>523</v>
      </c>
      <c r="D524" t="s">
        <v>2031</v>
      </c>
      <c r="E524" t="s">
        <v>4172</v>
      </c>
      <c r="F524" t="s">
        <v>2034</v>
      </c>
      <c r="H524" t="s">
        <v>89</v>
      </c>
    </row>
    <row r="525" spans="1:11" x14ac:dyDescent="0.25">
      <c r="A525">
        <v>524</v>
      </c>
      <c r="D525" t="s">
        <v>2036</v>
      </c>
      <c r="E525" t="s">
        <v>4172</v>
      </c>
      <c r="F525" t="s">
        <v>4172</v>
      </c>
      <c r="H525" t="s">
        <v>4172</v>
      </c>
    </row>
    <row r="526" spans="1:11" x14ac:dyDescent="0.25">
      <c r="A526">
        <v>525</v>
      </c>
      <c r="D526" t="s">
        <v>2037</v>
      </c>
      <c r="E526" t="s">
        <v>4172</v>
      </c>
      <c r="F526" t="s">
        <v>4172</v>
      </c>
      <c r="H526" t="s">
        <v>4172</v>
      </c>
    </row>
    <row r="527" spans="1:11" x14ac:dyDescent="0.25">
      <c r="A527">
        <v>526</v>
      </c>
      <c r="D527" t="s">
        <v>2038</v>
      </c>
      <c r="E527" t="s">
        <v>4172</v>
      </c>
      <c r="F527" t="s">
        <v>4172</v>
      </c>
      <c r="H527" t="s">
        <v>4172</v>
      </c>
    </row>
    <row r="528" spans="1:11" x14ac:dyDescent="0.25">
      <c r="A528">
        <v>527</v>
      </c>
      <c r="D528" t="s">
        <v>2039</v>
      </c>
      <c r="E528" t="s">
        <v>4172</v>
      </c>
      <c r="F528" t="s">
        <v>4172</v>
      </c>
      <c r="H528" t="s">
        <v>4172</v>
      </c>
    </row>
    <row r="529" spans="1:8" x14ac:dyDescent="0.25">
      <c r="A529">
        <v>528</v>
      </c>
      <c r="D529" t="s">
        <v>2040</v>
      </c>
      <c r="E529" t="s">
        <v>4172</v>
      </c>
      <c r="F529" t="s">
        <v>2041</v>
      </c>
      <c r="H529" t="s">
        <v>4172</v>
      </c>
    </row>
    <row r="530" spans="1:8" x14ac:dyDescent="0.25">
      <c r="A530">
        <v>529</v>
      </c>
      <c r="D530" t="s">
        <v>569</v>
      </c>
      <c r="E530" t="s">
        <v>4172</v>
      </c>
      <c r="F530" t="s">
        <v>571</v>
      </c>
      <c r="H530" t="s">
        <v>89</v>
      </c>
    </row>
    <row r="531" spans="1:8" x14ac:dyDescent="0.25">
      <c r="A531">
        <v>530</v>
      </c>
      <c r="D531" t="s">
        <v>2043</v>
      </c>
      <c r="E531" t="s">
        <v>4172</v>
      </c>
      <c r="F531" t="s">
        <v>4172</v>
      </c>
      <c r="H531" t="s">
        <v>89</v>
      </c>
    </row>
    <row r="532" spans="1:8" x14ac:dyDescent="0.25">
      <c r="A532">
        <v>531</v>
      </c>
      <c r="D532" t="s">
        <v>2044</v>
      </c>
      <c r="E532" t="s">
        <v>4172</v>
      </c>
      <c r="F532" t="s">
        <v>188</v>
      </c>
      <c r="H532" t="s">
        <v>89</v>
      </c>
    </row>
    <row r="533" spans="1:8" x14ac:dyDescent="0.25">
      <c r="A533">
        <v>532</v>
      </c>
      <c r="D533" t="s">
        <v>2046</v>
      </c>
      <c r="E533" t="s">
        <v>2048</v>
      </c>
      <c r="F533" t="s">
        <v>4172</v>
      </c>
      <c r="H533" t="s">
        <v>148</v>
      </c>
    </row>
    <row r="534" spans="1:8" x14ac:dyDescent="0.25">
      <c r="A534">
        <v>533</v>
      </c>
      <c r="D534" t="s">
        <v>759</v>
      </c>
      <c r="E534" t="s">
        <v>2049</v>
      </c>
      <c r="F534" t="s">
        <v>4172</v>
      </c>
      <c r="H534" t="s">
        <v>148</v>
      </c>
    </row>
    <row r="535" spans="1:8" x14ac:dyDescent="0.25">
      <c r="A535">
        <v>534</v>
      </c>
      <c r="D535" t="s">
        <v>2050</v>
      </c>
      <c r="E535" t="s">
        <v>2054</v>
      </c>
      <c r="F535" t="s">
        <v>2053</v>
      </c>
      <c r="H535" t="s">
        <v>2055</v>
      </c>
    </row>
    <row r="536" spans="1:8" x14ac:dyDescent="0.25">
      <c r="A536">
        <v>535</v>
      </c>
      <c r="D536" t="s">
        <v>2056</v>
      </c>
      <c r="E536" t="s">
        <v>2058</v>
      </c>
      <c r="F536" t="s">
        <v>4172</v>
      </c>
      <c r="H536" t="s">
        <v>148</v>
      </c>
    </row>
    <row r="537" spans="1:8" x14ac:dyDescent="0.25">
      <c r="A537">
        <v>536</v>
      </c>
      <c r="D537" t="s">
        <v>2059</v>
      </c>
      <c r="E537" t="s">
        <v>2062</v>
      </c>
      <c r="F537" t="s">
        <v>2061</v>
      </c>
      <c r="H537" t="s">
        <v>2063</v>
      </c>
    </row>
    <row r="538" spans="1:8" x14ac:dyDescent="0.25">
      <c r="A538">
        <v>537</v>
      </c>
      <c r="D538" t="s">
        <v>2064</v>
      </c>
      <c r="E538" t="s">
        <v>2067</v>
      </c>
      <c r="F538" t="s">
        <v>2064</v>
      </c>
      <c r="H538" t="s">
        <v>2068</v>
      </c>
    </row>
    <row r="539" spans="1:8" x14ac:dyDescent="0.25">
      <c r="A539">
        <v>538</v>
      </c>
      <c r="D539" t="s">
        <v>1525</v>
      </c>
      <c r="E539" t="s">
        <v>1528</v>
      </c>
      <c r="F539" t="s">
        <v>1527</v>
      </c>
      <c r="H539" t="s">
        <v>2071</v>
      </c>
    </row>
    <row r="540" spans="1:8" x14ac:dyDescent="0.25">
      <c r="A540">
        <v>539</v>
      </c>
      <c r="D540" t="s">
        <v>2072</v>
      </c>
      <c r="E540" t="s">
        <v>2077</v>
      </c>
      <c r="F540" t="s">
        <v>2076</v>
      </c>
      <c r="H540" t="s">
        <v>148</v>
      </c>
    </row>
    <row r="541" spans="1:8" x14ac:dyDescent="0.25">
      <c r="A541">
        <v>540</v>
      </c>
      <c r="D541" t="s">
        <v>2078</v>
      </c>
      <c r="E541" t="s">
        <v>2081</v>
      </c>
      <c r="F541" t="s">
        <v>2080</v>
      </c>
      <c r="H541" t="s">
        <v>2082</v>
      </c>
    </row>
    <row r="542" spans="1:8" x14ac:dyDescent="0.25">
      <c r="A542">
        <v>541</v>
      </c>
      <c r="D542" t="s">
        <v>2083</v>
      </c>
      <c r="E542" t="s">
        <v>2086</v>
      </c>
      <c r="F542" t="s">
        <v>2083</v>
      </c>
      <c r="H542" t="s">
        <v>148</v>
      </c>
    </row>
    <row r="543" spans="1:8" x14ac:dyDescent="0.25">
      <c r="A543">
        <v>542</v>
      </c>
      <c r="D543" t="s">
        <v>2090</v>
      </c>
      <c r="E543" t="s">
        <v>2093</v>
      </c>
      <c r="F543" t="s">
        <v>2092</v>
      </c>
      <c r="H543" t="s">
        <v>89</v>
      </c>
    </row>
    <row r="544" spans="1:8" x14ac:dyDescent="0.25">
      <c r="A544">
        <v>543</v>
      </c>
      <c r="D544" t="s">
        <v>2094</v>
      </c>
      <c r="E544" t="s">
        <v>2097</v>
      </c>
      <c r="F544" t="s">
        <v>2096</v>
      </c>
      <c r="H544" t="s">
        <v>2098</v>
      </c>
    </row>
    <row r="545" spans="1:8" x14ac:dyDescent="0.25">
      <c r="A545">
        <v>544</v>
      </c>
      <c r="D545" t="s">
        <v>2099</v>
      </c>
      <c r="E545" t="s">
        <v>2102</v>
      </c>
      <c r="F545" t="s">
        <v>2099</v>
      </c>
      <c r="H545" t="s">
        <v>1143</v>
      </c>
    </row>
    <row r="546" spans="1:8" x14ac:dyDescent="0.25">
      <c r="A546">
        <v>545</v>
      </c>
      <c r="D546" t="s">
        <v>2103</v>
      </c>
      <c r="E546" t="s">
        <v>2107</v>
      </c>
      <c r="F546" t="s">
        <v>2106</v>
      </c>
      <c r="H546" t="s">
        <v>2108</v>
      </c>
    </row>
    <row r="547" spans="1:8" x14ac:dyDescent="0.25">
      <c r="A547">
        <v>546</v>
      </c>
      <c r="D547" t="s">
        <v>2109</v>
      </c>
      <c r="E547" t="s">
        <v>4172</v>
      </c>
      <c r="F547" t="s">
        <v>4172</v>
      </c>
      <c r="H547" t="s">
        <v>875</v>
      </c>
    </row>
    <row r="548" spans="1:8" x14ac:dyDescent="0.25">
      <c r="A548">
        <v>547</v>
      </c>
      <c r="D548" t="s">
        <v>2111</v>
      </c>
      <c r="E548" t="s">
        <v>2114</v>
      </c>
      <c r="F548" t="s">
        <v>2113</v>
      </c>
      <c r="H548" t="s">
        <v>445</v>
      </c>
    </row>
    <row r="549" spans="1:8" x14ac:dyDescent="0.25">
      <c r="A549">
        <v>548</v>
      </c>
      <c r="D549" t="s">
        <v>2115</v>
      </c>
      <c r="E549" t="s">
        <v>2119</v>
      </c>
      <c r="F549" t="s">
        <v>2118</v>
      </c>
      <c r="H549" t="s">
        <v>2120</v>
      </c>
    </row>
    <row r="550" spans="1:8" x14ac:dyDescent="0.25">
      <c r="A550">
        <v>549</v>
      </c>
      <c r="D550" t="s">
        <v>2121</v>
      </c>
      <c r="E550" t="s">
        <v>2125</v>
      </c>
      <c r="F550" t="s">
        <v>2124</v>
      </c>
      <c r="H550" t="s">
        <v>2126</v>
      </c>
    </row>
    <row r="551" spans="1:8" x14ac:dyDescent="0.25">
      <c r="A551">
        <v>550</v>
      </c>
      <c r="D551" t="s">
        <v>2127</v>
      </c>
      <c r="E551" t="s">
        <v>2131</v>
      </c>
      <c r="F551" t="s">
        <v>2130</v>
      </c>
      <c r="H551" t="s">
        <v>2132</v>
      </c>
    </row>
    <row r="552" spans="1:8" x14ac:dyDescent="0.25">
      <c r="A552">
        <v>551</v>
      </c>
      <c r="D552" t="s">
        <v>2133</v>
      </c>
      <c r="E552" t="s">
        <v>2136</v>
      </c>
      <c r="F552" t="s">
        <v>2135</v>
      </c>
      <c r="H552" t="s">
        <v>2082</v>
      </c>
    </row>
    <row r="553" spans="1:8" x14ac:dyDescent="0.25">
      <c r="A553">
        <v>552</v>
      </c>
      <c r="D553" t="s">
        <v>2137</v>
      </c>
      <c r="E553" t="s">
        <v>2140</v>
      </c>
      <c r="F553" t="s">
        <v>2139</v>
      </c>
      <c r="H553" t="s">
        <v>148</v>
      </c>
    </row>
    <row r="554" spans="1:8" x14ac:dyDescent="0.25">
      <c r="A554">
        <v>553</v>
      </c>
      <c r="D554" t="s">
        <v>2141</v>
      </c>
      <c r="E554" t="s">
        <v>2143</v>
      </c>
      <c r="F554" t="s">
        <v>2141</v>
      </c>
      <c r="H554" t="s">
        <v>853</v>
      </c>
    </row>
    <row r="555" spans="1:8" x14ac:dyDescent="0.25">
      <c r="A555">
        <v>554</v>
      </c>
      <c r="D555" t="s">
        <v>2144</v>
      </c>
      <c r="E555" t="s">
        <v>2148</v>
      </c>
      <c r="F555" t="s">
        <v>2147</v>
      </c>
      <c r="H555" t="s">
        <v>2149</v>
      </c>
    </row>
    <row r="556" spans="1:8" x14ac:dyDescent="0.25">
      <c r="A556">
        <v>555</v>
      </c>
      <c r="D556" t="s">
        <v>2150</v>
      </c>
      <c r="E556" t="s">
        <v>2153</v>
      </c>
      <c r="F556" t="s">
        <v>2150</v>
      </c>
      <c r="H556" t="s">
        <v>2154</v>
      </c>
    </row>
    <row r="557" spans="1:8" x14ac:dyDescent="0.25">
      <c r="A557">
        <v>556</v>
      </c>
      <c r="D557" t="s">
        <v>2155</v>
      </c>
      <c r="E557" t="s">
        <v>147</v>
      </c>
      <c r="F557" t="s">
        <v>2155</v>
      </c>
      <c r="H557" t="s">
        <v>148</v>
      </c>
    </row>
    <row r="558" spans="1:8" x14ac:dyDescent="0.25">
      <c r="A558">
        <v>557</v>
      </c>
      <c r="D558" t="s">
        <v>2157</v>
      </c>
      <c r="E558" t="s">
        <v>2161</v>
      </c>
      <c r="F558" t="s">
        <v>2160</v>
      </c>
      <c r="H558" t="s">
        <v>2162</v>
      </c>
    </row>
    <row r="559" spans="1:8" x14ac:dyDescent="0.25">
      <c r="A559">
        <v>558</v>
      </c>
      <c r="D559" t="s">
        <v>120</v>
      </c>
      <c r="E559" t="s">
        <v>2165</v>
      </c>
      <c r="F559" t="s">
        <v>120</v>
      </c>
      <c r="H559" t="s">
        <v>148</v>
      </c>
    </row>
    <row r="560" spans="1:8" x14ac:dyDescent="0.25">
      <c r="A560">
        <v>559</v>
      </c>
      <c r="D560" t="s">
        <v>2166</v>
      </c>
      <c r="E560" t="s">
        <v>2171</v>
      </c>
      <c r="F560" t="s">
        <v>2170</v>
      </c>
      <c r="H560" t="s">
        <v>2172</v>
      </c>
    </row>
    <row r="561" spans="1:11" x14ac:dyDescent="0.25">
      <c r="A561">
        <v>560</v>
      </c>
      <c r="D561" t="s">
        <v>2173</v>
      </c>
      <c r="E561" t="s">
        <v>2176</v>
      </c>
      <c r="F561" t="s">
        <v>2173</v>
      </c>
      <c r="H561" t="s">
        <v>148</v>
      </c>
    </row>
    <row r="562" spans="1:11" x14ac:dyDescent="0.25">
      <c r="A562">
        <v>561</v>
      </c>
      <c r="D562" t="s">
        <v>2177</v>
      </c>
      <c r="E562" t="s">
        <v>2181</v>
      </c>
      <c r="F562" t="s">
        <v>2180</v>
      </c>
      <c r="H562" t="s">
        <v>2182</v>
      </c>
    </row>
    <row r="563" spans="1:11" x14ac:dyDescent="0.25">
      <c r="A563">
        <v>562</v>
      </c>
      <c r="D563" t="s">
        <v>2183</v>
      </c>
      <c r="E563" t="s">
        <v>4172</v>
      </c>
      <c r="F563" t="s">
        <v>2185</v>
      </c>
      <c r="H563" t="s">
        <v>89</v>
      </c>
    </row>
    <row r="564" spans="1:11" x14ac:dyDescent="0.25">
      <c r="A564">
        <v>563</v>
      </c>
      <c r="D564" t="s">
        <v>2186</v>
      </c>
      <c r="E564" t="s">
        <v>2189</v>
      </c>
      <c r="F564" t="s">
        <v>2186</v>
      </c>
      <c r="H564" t="s">
        <v>2190</v>
      </c>
    </row>
    <row r="565" spans="1:11" x14ac:dyDescent="0.25">
      <c r="A565">
        <v>564</v>
      </c>
      <c r="D565" t="s">
        <v>2191</v>
      </c>
      <c r="E565" t="s">
        <v>2194</v>
      </c>
      <c r="F565" t="s">
        <v>2193</v>
      </c>
      <c r="H565" t="s">
        <v>184</v>
      </c>
    </row>
    <row r="566" spans="1:11" x14ac:dyDescent="0.25">
      <c r="A566">
        <v>565</v>
      </c>
      <c r="D566" t="s">
        <v>2195</v>
      </c>
      <c r="E566" t="s">
        <v>2198</v>
      </c>
      <c r="F566" t="s">
        <v>2195</v>
      </c>
      <c r="H566" t="s">
        <v>2199</v>
      </c>
    </row>
    <row r="567" spans="1:11" x14ac:dyDescent="0.25">
      <c r="A567">
        <v>566</v>
      </c>
      <c r="D567" t="s">
        <v>2200</v>
      </c>
      <c r="E567" t="s">
        <v>2204</v>
      </c>
      <c r="F567" t="s">
        <v>2203</v>
      </c>
      <c r="H567" t="s">
        <v>148</v>
      </c>
    </row>
    <row r="568" spans="1:11" x14ac:dyDescent="0.25">
      <c r="A568">
        <v>567</v>
      </c>
      <c r="D568" t="s">
        <v>2205</v>
      </c>
      <c r="E568" t="s">
        <v>2209</v>
      </c>
      <c r="F568" t="s">
        <v>2208</v>
      </c>
      <c r="H568" t="s">
        <v>2210</v>
      </c>
    </row>
    <row r="569" spans="1:11" x14ac:dyDescent="0.25">
      <c r="A569">
        <v>568</v>
      </c>
      <c r="D569" t="s">
        <v>2211</v>
      </c>
      <c r="E569" t="s">
        <v>2213</v>
      </c>
      <c r="F569" t="s">
        <v>2211</v>
      </c>
      <c r="H569" t="s">
        <v>2214</v>
      </c>
    </row>
    <row r="570" spans="1:11" x14ac:dyDescent="0.25">
      <c r="A570">
        <v>569</v>
      </c>
      <c r="D570" t="s">
        <v>2215</v>
      </c>
      <c r="E570" t="s">
        <v>2218</v>
      </c>
      <c r="F570" t="s">
        <v>2217</v>
      </c>
      <c r="H570" t="s">
        <v>2219</v>
      </c>
    </row>
    <row r="571" spans="1:11" x14ac:dyDescent="0.25">
      <c r="A571">
        <v>570</v>
      </c>
      <c r="D571" t="s">
        <v>2220</v>
      </c>
      <c r="E571" t="s">
        <v>2224</v>
      </c>
      <c r="F571" t="s">
        <v>2223</v>
      </c>
      <c r="G571" t="s">
        <v>4172</v>
      </c>
      <c r="H571" t="s">
        <v>2225</v>
      </c>
      <c r="K571" t="s">
        <v>4172</v>
      </c>
    </row>
    <row r="572" spans="1:11" x14ac:dyDescent="0.25">
      <c r="A572">
        <v>571</v>
      </c>
      <c r="D572" t="s">
        <v>2226</v>
      </c>
      <c r="E572" t="s">
        <v>2229</v>
      </c>
      <c r="F572" t="s">
        <v>4172</v>
      </c>
      <c r="H572" t="s">
        <v>148</v>
      </c>
    </row>
    <row r="573" spans="1:11" x14ac:dyDescent="0.25">
      <c r="A573">
        <v>572</v>
      </c>
      <c r="D573" t="s">
        <v>2230</v>
      </c>
      <c r="E573" t="s">
        <v>2232</v>
      </c>
      <c r="F573" t="s">
        <v>4172</v>
      </c>
      <c r="H573" t="s">
        <v>875</v>
      </c>
    </row>
    <row r="574" spans="1:11" x14ac:dyDescent="0.25">
      <c r="A574">
        <v>573</v>
      </c>
      <c r="D574" t="s">
        <v>2233</v>
      </c>
      <c r="E574" t="s">
        <v>2236</v>
      </c>
      <c r="F574" t="s">
        <v>2235</v>
      </c>
      <c r="G574" t="s">
        <v>4172</v>
      </c>
      <c r="H574" t="s">
        <v>683</v>
      </c>
      <c r="K574" t="s">
        <v>4172</v>
      </c>
    </row>
    <row r="575" spans="1:11" x14ac:dyDescent="0.25">
      <c r="A575">
        <v>574</v>
      </c>
      <c r="D575" t="s">
        <v>2237</v>
      </c>
      <c r="E575" t="s">
        <v>2241</v>
      </c>
      <c r="F575" t="s">
        <v>2240</v>
      </c>
      <c r="H575" t="s">
        <v>256</v>
      </c>
    </row>
    <row r="576" spans="1:11" x14ac:dyDescent="0.25">
      <c r="A576">
        <v>575</v>
      </c>
      <c r="D576" t="s">
        <v>2242</v>
      </c>
      <c r="E576" t="s">
        <v>2244</v>
      </c>
      <c r="F576" t="s">
        <v>2242</v>
      </c>
      <c r="H576" t="s">
        <v>2120</v>
      </c>
    </row>
    <row r="577" spans="1:11" x14ac:dyDescent="0.25">
      <c r="A577">
        <v>576</v>
      </c>
      <c r="D577" t="s">
        <v>2245</v>
      </c>
      <c r="E577" t="s">
        <v>2250</v>
      </c>
      <c r="F577" t="s">
        <v>2249</v>
      </c>
      <c r="H577" t="s">
        <v>148</v>
      </c>
    </row>
    <row r="578" spans="1:11" x14ac:dyDescent="0.25">
      <c r="A578">
        <v>577</v>
      </c>
      <c r="D578" t="s">
        <v>2251</v>
      </c>
      <c r="E578" t="s">
        <v>2253</v>
      </c>
      <c r="F578" t="s">
        <v>2251</v>
      </c>
      <c r="H578" t="s">
        <v>2254</v>
      </c>
    </row>
    <row r="579" spans="1:11" x14ac:dyDescent="0.25">
      <c r="A579">
        <v>578</v>
      </c>
      <c r="D579" t="s">
        <v>2255</v>
      </c>
      <c r="E579" t="s">
        <v>2257</v>
      </c>
      <c r="F579" t="s">
        <v>2255</v>
      </c>
      <c r="H579" t="s">
        <v>2258</v>
      </c>
    </row>
    <row r="580" spans="1:11" x14ac:dyDescent="0.25">
      <c r="A580">
        <v>579</v>
      </c>
      <c r="D580" t="s">
        <v>2259</v>
      </c>
      <c r="E580" t="s">
        <v>2261</v>
      </c>
      <c r="F580" t="s">
        <v>2259</v>
      </c>
      <c r="H580" t="s">
        <v>818</v>
      </c>
    </row>
    <row r="581" spans="1:11" x14ac:dyDescent="0.25">
      <c r="A581">
        <v>580</v>
      </c>
      <c r="D581" t="s">
        <v>2262</v>
      </c>
      <c r="E581" t="s">
        <v>2264</v>
      </c>
      <c r="F581" t="s">
        <v>2262</v>
      </c>
      <c r="H581" t="s">
        <v>2082</v>
      </c>
    </row>
    <row r="582" spans="1:11" x14ac:dyDescent="0.25">
      <c r="A582">
        <v>581</v>
      </c>
      <c r="D582" t="s">
        <v>2265</v>
      </c>
      <c r="E582" t="s">
        <v>2268</v>
      </c>
      <c r="F582" t="s">
        <v>4172</v>
      </c>
      <c r="H582" t="s">
        <v>875</v>
      </c>
    </row>
    <row r="583" spans="1:11" x14ac:dyDescent="0.25">
      <c r="A583">
        <v>582</v>
      </c>
      <c r="D583" t="s">
        <v>2269</v>
      </c>
      <c r="E583" t="s">
        <v>2272</v>
      </c>
      <c r="F583" t="s">
        <v>2269</v>
      </c>
      <c r="H583" t="s">
        <v>2273</v>
      </c>
    </row>
    <row r="584" spans="1:11" x14ac:dyDescent="0.25">
      <c r="A584">
        <v>583</v>
      </c>
      <c r="D584" t="s">
        <v>2274</v>
      </c>
      <c r="E584" t="s">
        <v>2277</v>
      </c>
      <c r="F584" t="s">
        <v>2276</v>
      </c>
      <c r="H584" t="s">
        <v>2278</v>
      </c>
    </row>
    <row r="585" spans="1:11" x14ac:dyDescent="0.25">
      <c r="A585">
        <v>584</v>
      </c>
      <c r="D585" t="s">
        <v>2279</v>
      </c>
      <c r="E585" t="s">
        <v>2282</v>
      </c>
      <c r="F585" t="s">
        <v>2281</v>
      </c>
      <c r="G585" t="s">
        <v>143</v>
      </c>
      <c r="H585" t="s">
        <v>2283</v>
      </c>
      <c r="K585" t="s">
        <v>4172</v>
      </c>
    </row>
    <row r="586" spans="1:11" x14ac:dyDescent="0.25">
      <c r="A586">
        <v>585</v>
      </c>
      <c r="D586" t="s">
        <v>2284</v>
      </c>
      <c r="E586" t="s">
        <v>2286</v>
      </c>
      <c r="F586" t="s">
        <v>2284</v>
      </c>
      <c r="H586" t="s">
        <v>148</v>
      </c>
    </row>
    <row r="587" spans="1:11" x14ac:dyDescent="0.25">
      <c r="A587">
        <v>586</v>
      </c>
      <c r="D587" t="s">
        <v>2287</v>
      </c>
      <c r="E587" t="s">
        <v>2290</v>
      </c>
      <c r="F587" t="s">
        <v>4172</v>
      </c>
      <c r="H587" t="s">
        <v>2291</v>
      </c>
    </row>
    <row r="588" spans="1:11" x14ac:dyDescent="0.25">
      <c r="A588">
        <v>587</v>
      </c>
      <c r="D588" t="s">
        <v>2292</v>
      </c>
      <c r="E588" t="s">
        <v>2296</v>
      </c>
      <c r="F588" t="s">
        <v>2292</v>
      </c>
      <c r="H588" t="s">
        <v>148</v>
      </c>
    </row>
    <row r="589" spans="1:11" x14ac:dyDescent="0.25">
      <c r="A589">
        <v>588</v>
      </c>
      <c r="D589" t="s">
        <v>2297</v>
      </c>
      <c r="E589" t="s">
        <v>2302</v>
      </c>
      <c r="F589" t="s">
        <v>2301</v>
      </c>
      <c r="H589" t="s">
        <v>2303</v>
      </c>
    </row>
    <row r="590" spans="1:11" x14ac:dyDescent="0.25">
      <c r="A590">
        <v>589</v>
      </c>
      <c r="D590" t="s">
        <v>2304</v>
      </c>
      <c r="E590" t="s">
        <v>2307</v>
      </c>
      <c r="F590" t="s">
        <v>2306</v>
      </c>
      <c r="H590" t="s">
        <v>2219</v>
      </c>
    </row>
    <row r="591" spans="1:11" x14ac:dyDescent="0.25">
      <c r="A591">
        <v>590</v>
      </c>
      <c r="D591" t="s">
        <v>2308</v>
      </c>
      <c r="E591" t="s">
        <v>2311</v>
      </c>
      <c r="F591" t="s">
        <v>4172</v>
      </c>
      <c r="H591" t="s">
        <v>2312</v>
      </c>
    </row>
    <row r="592" spans="1:11" x14ac:dyDescent="0.25">
      <c r="A592">
        <v>591</v>
      </c>
      <c r="D592" t="s">
        <v>2313</v>
      </c>
      <c r="E592" t="s">
        <v>2316</v>
      </c>
      <c r="F592" t="s">
        <v>4172</v>
      </c>
      <c r="H592" t="s">
        <v>2317</v>
      </c>
    </row>
    <row r="593" spans="1:8" x14ac:dyDescent="0.25">
      <c r="A593">
        <v>592</v>
      </c>
      <c r="D593" t="s">
        <v>2318</v>
      </c>
      <c r="E593" t="s">
        <v>2321</v>
      </c>
      <c r="F593" t="s">
        <v>4172</v>
      </c>
      <c r="H593" t="s">
        <v>2219</v>
      </c>
    </row>
    <row r="594" spans="1:8" x14ac:dyDescent="0.25">
      <c r="A594">
        <v>593</v>
      </c>
      <c r="D594" t="s">
        <v>2322</v>
      </c>
      <c r="E594" t="s">
        <v>147</v>
      </c>
      <c r="F594" t="s">
        <v>2325</v>
      </c>
      <c r="H594" t="s">
        <v>1949</v>
      </c>
    </row>
    <row r="595" spans="1:8" x14ac:dyDescent="0.25">
      <c r="A595">
        <v>594</v>
      </c>
      <c r="D595" t="s">
        <v>2326</v>
      </c>
      <c r="E595" t="s">
        <v>2329</v>
      </c>
      <c r="F595" t="s">
        <v>2326</v>
      </c>
      <c r="H595" t="s">
        <v>2330</v>
      </c>
    </row>
    <row r="596" spans="1:8" x14ac:dyDescent="0.25">
      <c r="A596">
        <v>595</v>
      </c>
      <c r="D596" t="s">
        <v>2331</v>
      </c>
      <c r="E596" t="s">
        <v>2334</v>
      </c>
      <c r="F596" t="s">
        <v>2331</v>
      </c>
      <c r="H596" t="s">
        <v>2120</v>
      </c>
    </row>
    <row r="597" spans="1:8" x14ac:dyDescent="0.25">
      <c r="A597">
        <v>596</v>
      </c>
      <c r="D597" t="s">
        <v>2335</v>
      </c>
      <c r="E597" t="s">
        <v>2338</v>
      </c>
      <c r="F597" t="s">
        <v>2335</v>
      </c>
      <c r="H597" t="s">
        <v>2339</v>
      </c>
    </row>
    <row r="598" spans="1:8" x14ac:dyDescent="0.25">
      <c r="A598">
        <v>597</v>
      </c>
      <c r="D598" t="s">
        <v>2340</v>
      </c>
      <c r="E598" t="s">
        <v>2341</v>
      </c>
      <c r="F598" t="s">
        <v>2340</v>
      </c>
      <c r="H598" t="s">
        <v>683</v>
      </c>
    </row>
    <row r="599" spans="1:8" x14ac:dyDescent="0.25">
      <c r="A599">
        <v>598</v>
      </c>
      <c r="D599" t="s">
        <v>2342</v>
      </c>
      <c r="E599" t="s">
        <v>2345</v>
      </c>
      <c r="F599" t="s">
        <v>2344</v>
      </c>
      <c r="H599" t="s">
        <v>89</v>
      </c>
    </row>
    <row r="600" spans="1:8" x14ac:dyDescent="0.25">
      <c r="A600">
        <v>599</v>
      </c>
      <c r="D600" t="s">
        <v>2346</v>
      </c>
      <c r="E600" t="s">
        <v>2348</v>
      </c>
      <c r="F600" t="s">
        <v>2346</v>
      </c>
      <c r="H600" t="s">
        <v>148</v>
      </c>
    </row>
    <row r="601" spans="1:8" x14ac:dyDescent="0.25">
      <c r="A601">
        <v>600</v>
      </c>
      <c r="D601" t="s">
        <v>2349</v>
      </c>
      <c r="E601" t="s">
        <v>2352</v>
      </c>
      <c r="F601" t="s">
        <v>2349</v>
      </c>
      <c r="H601" t="s">
        <v>2353</v>
      </c>
    </row>
    <row r="602" spans="1:8" x14ac:dyDescent="0.25">
      <c r="A602">
        <v>601</v>
      </c>
      <c r="D602" t="s">
        <v>2354</v>
      </c>
      <c r="E602" t="s">
        <v>2356</v>
      </c>
      <c r="F602" t="s">
        <v>2354</v>
      </c>
      <c r="H602" t="s">
        <v>180</v>
      </c>
    </row>
    <row r="603" spans="1:8" x14ac:dyDescent="0.25">
      <c r="A603">
        <v>602</v>
      </c>
      <c r="D603" t="s">
        <v>2357</v>
      </c>
      <c r="E603" t="s">
        <v>2360</v>
      </c>
      <c r="F603" t="s">
        <v>2359</v>
      </c>
      <c r="H603" t="s">
        <v>445</v>
      </c>
    </row>
    <row r="604" spans="1:8" x14ac:dyDescent="0.25">
      <c r="A604">
        <v>603</v>
      </c>
      <c r="D604" t="s">
        <v>2361</v>
      </c>
      <c r="E604" t="s">
        <v>2363</v>
      </c>
      <c r="F604" t="s">
        <v>2361</v>
      </c>
      <c r="H604" t="s">
        <v>2364</v>
      </c>
    </row>
    <row r="605" spans="1:8" x14ac:dyDescent="0.25">
      <c r="A605">
        <v>604</v>
      </c>
      <c r="D605" t="s">
        <v>2365</v>
      </c>
      <c r="E605" t="s">
        <v>147</v>
      </c>
      <c r="F605" t="s">
        <v>2368</v>
      </c>
      <c r="H605" t="s">
        <v>256</v>
      </c>
    </row>
    <row r="606" spans="1:8" x14ac:dyDescent="0.25">
      <c r="A606">
        <v>605</v>
      </c>
      <c r="D606" t="s">
        <v>2369</v>
      </c>
      <c r="E606" t="s">
        <v>2373</v>
      </c>
      <c r="F606" t="s">
        <v>2372</v>
      </c>
      <c r="H606" t="s">
        <v>148</v>
      </c>
    </row>
    <row r="607" spans="1:8" x14ac:dyDescent="0.25">
      <c r="A607">
        <v>606</v>
      </c>
      <c r="D607" t="s">
        <v>2374</v>
      </c>
      <c r="E607" t="s">
        <v>2377</v>
      </c>
      <c r="F607" t="s">
        <v>4172</v>
      </c>
      <c r="H607" t="s">
        <v>2378</v>
      </c>
    </row>
    <row r="608" spans="1:8" x14ac:dyDescent="0.25">
      <c r="A608">
        <v>607</v>
      </c>
      <c r="D608" t="s">
        <v>2379</v>
      </c>
      <c r="E608" t="s">
        <v>2383</v>
      </c>
      <c r="F608" t="s">
        <v>2382</v>
      </c>
      <c r="H608" t="s">
        <v>2384</v>
      </c>
    </row>
    <row r="609" spans="1:11" x14ac:dyDescent="0.25">
      <c r="A609">
        <v>608</v>
      </c>
      <c r="D609" t="s">
        <v>2385</v>
      </c>
      <c r="E609" t="s">
        <v>2387</v>
      </c>
      <c r="F609" t="s">
        <v>2385</v>
      </c>
      <c r="H609" t="s">
        <v>818</v>
      </c>
    </row>
    <row r="610" spans="1:11" x14ac:dyDescent="0.25">
      <c r="A610">
        <v>609</v>
      </c>
      <c r="D610" t="s">
        <v>2390</v>
      </c>
      <c r="E610" t="s">
        <v>4172</v>
      </c>
      <c r="F610" t="s">
        <v>4172</v>
      </c>
      <c r="H610" t="s">
        <v>2392</v>
      </c>
    </row>
    <row r="611" spans="1:11" x14ac:dyDescent="0.25">
      <c r="A611">
        <v>610</v>
      </c>
      <c r="D611" t="s">
        <v>2393</v>
      </c>
      <c r="E611" t="s">
        <v>2397</v>
      </c>
      <c r="F611" t="s">
        <v>2396</v>
      </c>
      <c r="H611" t="s">
        <v>541</v>
      </c>
    </row>
    <row r="612" spans="1:11" x14ac:dyDescent="0.25">
      <c r="A612">
        <v>611</v>
      </c>
      <c r="D612" t="s">
        <v>2398</v>
      </c>
      <c r="E612" t="s">
        <v>147</v>
      </c>
      <c r="F612" t="s">
        <v>4172</v>
      </c>
      <c r="H612" t="s">
        <v>2120</v>
      </c>
    </row>
    <row r="613" spans="1:11" x14ac:dyDescent="0.25">
      <c r="A613">
        <v>612</v>
      </c>
      <c r="D613" t="s">
        <v>2400</v>
      </c>
      <c r="E613" t="s">
        <v>2403</v>
      </c>
      <c r="F613" t="s">
        <v>4172</v>
      </c>
      <c r="H613" t="s">
        <v>2225</v>
      </c>
    </row>
    <row r="614" spans="1:11" x14ac:dyDescent="0.25">
      <c r="A614">
        <v>613</v>
      </c>
      <c r="D614" t="s">
        <v>2404</v>
      </c>
      <c r="E614" t="s">
        <v>2406</v>
      </c>
      <c r="F614" t="s">
        <v>2404</v>
      </c>
      <c r="H614" t="s">
        <v>2082</v>
      </c>
    </row>
    <row r="615" spans="1:11" x14ac:dyDescent="0.25">
      <c r="A615">
        <v>614</v>
      </c>
      <c r="D615" t="s">
        <v>2407</v>
      </c>
      <c r="E615" t="s">
        <v>2411</v>
      </c>
      <c r="F615" t="s">
        <v>2407</v>
      </c>
      <c r="H615" t="s">
        <v>2412</v>
      </c>
    </row>
    <row r="616" spans="1:11" x14ac:dyDescent="0.25">
      <c r="A616">
        <v>615</v>
      </c>
      <c r="D616" t="s">
        <v>2413</v>
      </c>
      <c r="E616" t="s">
        <v>2416</v>
      </c>
      <c r="F616" t="s">
        <v>2413</v>
      </c>
      <c r="H616" t="s">
        <v>1668</v>
      </c>
    </row>
    <row r="617" spans="1:11" x14ac:dyDescent="0.25">
      <c r="A617">
        <v>616</v>
      </c>
      <c r="D617" t="s">
        <v>2417</v>
      </c>
      <c r="E617" t="s">
        <v>2420</v>
      </c>
      <c r="F617" t="s">
        <v>2417</v>
      </c>
      <c r="H617" t="s">
        <v>4172</v>
      </c>
    </row>
    <row r="618" spans="1:11" x14ac:dyDescent="0.25">
      <c r="A618">
        <v>617</v>
      </c>
      <c r="D618" t="s">
        <v>2421</v>
      </c>
      <c r="E618" t="s">
        <v>2423</v>
      </c>
      <c r="F618" t="s">
        <v>2421</v>
      </c>
      <c r="H618" t="s">
        <v>781</v>
      </c>
    </row>
    <row r="619" spans="1:11" x14ac:dyDescent="0.25">
      <c r="A619">
        <v>618</v>
      </c>
      <c r="D619" t="s">
        <v>2424</v>
      </c>
      <c r="E619" t="s">
        <v>2427</v>
      </c>
      <c r="F619" t="s">
        <v>2426</v>
      </c>
      <c r="G619" t="s">
        <v>4172</v>
      </c>
      <c r="H619" t="s">
        <v>2428</v>
      </c>
      <c r="K619" t="s">
        <v>4172</v>
      </c>
    </row>
    <row r="620" spans="1:11" x14ac:dyDescent="0.25">
      <c r="A620">
        <v>619</v>
      </c>
      <c r="D620" t="s">
        <v>2429</v>
      </c>
      <c r="E620" t="s">
        <v>2432</v>
      </c>
      <c r="F620" t="s">
        <v>2429</v>
      </c>
      <c r="H620" t="s">
        <v>2120</v>
      </c>
    </row>
    <row r="621" spans="1:11" x14ac:dyDescent="0.25">
      <c r="A621">
        <v>620</v>
      </c>
      <c r="D621" t="s">
        <v>2434</v>
      </c>
      <c r="E621" t="s">
        <v>2437</v>
      </c>
      <c r="F621" t="s">
        <v>2436</v>
      </c>
      <c r="H621" t="s">
        <v>2438</v>
      </c>
    </row>
    <row r="622" spans="1:11" x14ac:dyDescent="0.25">
      <c r="A622">
        <v>621</v>
      </c>
      <c r="D622" t="s">
        <v>2439</v>
      </c>
      <c r="E622" t="s">
        <v>2441</v>
      </c>
      <c r="F622" t="s">
        <v>2439</v>
      </c>
      <c r="H622" t="s">
        <v>2442</v>
      </c>
    </row>
    <row r="623" spans="1:11" x14ac:dyDescent="0.25">
      <c r="A623">
        <v>622</v>
      </c>
      <c r="D623" t="s">
        <v>2443</v>
      </c>
      <c r="E623" t="s">
        <v>2445</v>
      </c>
      <c r="F623" t="s">
        <v>2443</v>
      </c>
      <c r="H623" t="s">
        <v>2082</v>
      </c>
    </row>
    <row r="624" spans="1:11" x14ac:dyDescent="0.25">
      <c r="A624">
        <v>623</v>
      </c>
      <c r="D624" t="s">
        <v>2446</v>
      </c>
      <c r="E624" t="s">
        <v>2448</v>
      </c>
      <c r="F624" t="s">
        <v>2446</v>
      </c>
      <c r="H624" t="s">
        <v>2449</v>
      </c>
    </row>
    <row r="625" spans="1:11" x14ac:dyDescent="0.25">
      <c r="A625">
        <v>624</v>
      </c>
      <c r="D625" t="s">
        <v>2450</v>
      </c>
      <c r="E625" t="s">
        <v>2453</v>
      </c>
      <c r="F625" t="s">
        <v>2452</v>
      </c>
      <c r="H625" t="s">
        <v>2454</v>
      </c>
    </row>
    <row r="626" spans="1:11" x14ac:dyDescent="0.25">
      <c r="A626">
        <v>625</v>
      </c>
      <c r="D626" t="s">
        <v>2455</v>
      </c>
      <c r="E626">
        <v>1094912145</v>
      </c>
      <c r="H626" t="s">
        <v>2458</v>
      </c>
    </row>
    <row r="627" spans="1:11" x14ac:dyDescent="0.25">
      <c r="A627">
        <v>626</v>
      </c>
      <c r="D627" t="s">
        <v>2459</v>
      </c>
      <c r="H627" t="s">
        <v>2461</v>
      </c>
    </row>
    <row r="628" spans="1:11" x14ac:dyDescent="0.25">
      <c r="A628">
        <v>627</v>
      </c>
      <c r="D628" t="s">
        <v>2462</v>
      </c>
      <c r="H628" t="s">
        <v>4172</v>
      </c>
    </row>
    <row r="629" spans="1:11" x14ac:dyDescent="0.25">
      <c r="A629">
        <v>628</v>
      </c>
      <c r="C629">
        <v>1033682080</v>
      </c>
      <c r="D629" t="s">
        <v>2464</v>
      </c>
      <c r="E629" t="s">
        <v>4172</v>
      </c>
      <c r="F629" t="s">
        <v>4172</v>
      </c>
      <c r="G629" t="s">
        <v>143</v>
      </c>
      <c r="H629" t="s">
        <v>2467</v>
      </c>
      <c r="K629" t="s">
        <v>4172</v>
      </c>
    </row>
    <row r="630" spans="1:11" x14ac:dyDescent="0.25">
      <c r="A630">
        <v>629</v>
      </c>
      <c r="D630" t="s">
        <v>2468</v>
      </c>
      <c r="H630" t="s">
        <v>2471</v>
      </c>
    </row>
    <row r="631" spans="1:11" x14ac:dyDescent="0.25">
      <c r="A631">
        <v>630</v>
      </c>
      <c r="D631" t="s">
        <v>2472</v>
      </c>
      <c r="E631" t="s">
        <v>4172</v>
      </c>
      <c r="F631" t="s">
        <v>4172</v>
      </c>
      <c r="G631" t="s">
        <v>4172</v>
      </c>
      <c r="H631" t="s">
        <v>875</v>
      </c>
      <c r="K631" t="s">
        <v>4172</v>
      </c>
    </row>
    <row r="632" spans="1:11" x14ac:dyDescent="0.25">
      <c r="A632">
        <v>631</v>
      </c>
      <c r="D632" t="s">
        <v>2474</v>
      </c>
      <c r="H632" t="s">
        <v>311</v>
      </c>
    </row>
    <row r="633" spans="1:11" x14ac:dyDescent="0.25">
      <c r="A633">
        <v>632</v>
      </c>
      <c r="D633" t="s">
        <v>2475</v>
      </c>
      <c r="H633" t="s">
        <v>4172</v>
      </c>
    </row>
    <row r="634" spans="1:11" x14ac:dyDescent="0.25">
      <c r="A634">
        <v>633</v>
      </c>
      <c r="D634" t="s">
        <v>2476</v>
      </c>
      <c r="H634" t="s">
        <v>2478</v>
      </c>
    </row>
    <row r="635" spans="1:11" x14ac:dyDescent="0.25">
      <c r="A635">
        <v>634</v>
      </c>
      <c r="D635" t="s">
        <v>2479</v>
      </c>
      <c r="H635" t="s">
        <v>2480</v>
      </c>
    </row>
    <row r="636" spans="1:11" x14ac:dyDescent="0.25">
      <c r="A636">
        <v>635</v>
      </c>
      <c r="D636" t="s">
        <v>2481</v>
      </c>
      <c r="H636" t="s">
        <v>89</v>
      </c>
    </row>
    <row r="637" spans="1:11" x14ac:dyDescent="0.25">
      <c r="A637">
        <v>636</v>
      </c>
      <c r="D637" t="s">
        <v>2484</v>
      </c>
      <c r="H637" t="s">
        <v>2219</v>
      </c>
    </row>
    <row r="638" spans="1:11" x14ac:dyDescent="0.25">
      <c r="A638">
        <v>637</v>
      </c>
      <c r="D638" t="s">
        <v>2486</v>
      </c>
      <c r="H638" t="s">
        <v>2488</v>
      </c>
    </row>
    <row r="639" spans="1:11" x14ac:dyDescent="0.25">
      <c r="A639">
        <v>638</v>
      </c>
      <c r="D639" t="s">
        <v>2489</v>
      </c>
      <c r="H639" t="s">
        <v>4172</v>
      </c>
    </row>
    <row r="640" spans="1:11" x14ac:dyDescent="0.25">
      <c r="A640">
        <v>639</v>
      </c>
      <c r="D640" t="s">
        <v>2492</v>
      </c>
      <c r="H640" t="s">
        <v>311</v>
      </c>
    </row>
    <row r="641" spans="1:8" x14ac:dyDescent="0.25">
      <c r="A641">
        <v>640</v>
      </c>
      <c r="D641" t="s">
        <v>2495</v>
      </c>
      <c r="H641" t="s">
        <v>2498</v>
      </c>
    </row>
    <row r="642" spans="1:8" x14ac:dyDescent="0.25">
      <c r="A642">
        <v>641</v>
      </c>
      <c r="D642" t="s">
        <v>2499</v>
      </c>
      <c r="H642" t="s">
        <v>4172</v>
      </c>
    </row>
    <row r="643" spans="1:8" x14ac:dyDescent="0.25">
      <c r="A643">
        <v>642</v>
      </c>
      <c r="C643">
        <v>0</v>
      </c>
      <c r="D643" t="s">
        <v>2502</v>
      </c>
      <c r="E643">
        <v>0</v>
      </c>
      <c r="F643" t="s">
        <v>2504</v>
      </c>
      <c r="H643" t="s">
        <v>148</v>
      </c>
    </row>
    <row r="644" spans="1:8" x14ac:dyDescent="0.25">
      <c r="A644">
        <v>643</v>
      </c>
      <c r="D644" t="s">
        <v>2505</v>
      </c>
      <c r="H644" t="s">
        <v>2120</v>
      </c>
    </row>
    <row r="645" spans="1:8" x14ac:dyDescent="0.25">
      <c r="A645">
        <v>644</v>
      </c>
      <c r="D645" t="s">
        <v>2507</v>
      </c>
      <c r="H645" t="s">
        <v>148</v>
      </c>
    </row>
    <row r="646" spans="1:8" x14ac:dyDescent="0.25">
      <c r="A646">
        <v>645</v>
      </c>
      <c r="D646" t="s">
        <v>2509</v>
      </c>
      <c r="H646" t="s">
        <v>2512</v>
      </c>
    </row>
    <row r="647" spans="1:8" x14ac:dyDescent="0.25">
      <c r="A647">
        <v>646</v>
      </c>
      <c r="D647" t="s">
        <v>2513</v>
      </c>
      <c r="H647" t="s">
        <v>2516</v>
      </c>
    </row>
    <row r="648" spans="1:8" x14ac:dyDescent="0.25">
      <c r="A648">
        <v>647</v>
      </c>
      <c r="D648" t="s">
        <v>2517</v>
      </c>
      <c r="H648" t="s">
        <v>2520</v>
      </c>
    </row>
    <row r="649" spans="1:8" x14ac:dyDescent="0.25">
      <c r="A649">
        <v>648</v>
      </c>
      <c r="D649" t="s">
        <v>2521</v>
      </c>
      <c r="H649" t="s">
        <v>562</v>
      </c>
    </row>
    <row r="650" spans="1:8" x14ac:dyDescent="0.25">
      <c r="A650">
        <v>649</v>
      </c>
      <c r="D650" t="s">
        <v>2524</v>
      </c>
      <c r="H650" t="s">
        <v>148</v>
      </c>
    </row>
    <row r="651" spans="1:8" x14ac:dyDescent="0.25">
      <c r="A651">
        <v>650</v>
      </c>
      <c r="D651" t="s">
        <v>2526</v>
      </c>
      <c r="H651" t="s">
        <v>2082</v>
      </c>
    </row>
    <row r="652" spans="1:8" x14ac:dyDescent="0.25">
      <c r="A652">
        <v>651</v>
      </c>
      <c r="D652" t="s">
        <v>2528</v>
      </c>
      <c r="H652" t="s">
        <v>2120</v>
      </c>
    </row>
    <row r="653" spans="1:8" x14ac:dyDescent="0.25">
      <c r="A653">
        <v>652</v>
      </c>
      <c r="D653" t="s">
        <v>2530</v>
      </c>
      <c r="H653" t="s">
        <v>148</v>
      </c>
    </row>
    <row r="654" spans="1:8" x14ac:dyDescent="0.25">
      <c r="A654">
        <v>653</v>
      </c>
      <c r="D654" t="s">
        <v>2532</v>
      </c>
      <c r="H654" t="s">
        <v>148</v>
      </c>
    </row>
    <row r="655" spans="1:8" x14ac:dyDescent="0.25">
      <c r="A655">
        <v>654</v>
      </c>
      <c r="D655" t="s">
        <v>2535</v>
      </c>
      <c r="H655" t="s">
        <v>2210</v>
      </c>
    </row>
    <row r="656" spans="1:8" x14ac:dyDescent="0.25">
      <c r="A656">
        <v>655</v>
      </c>
      <c r="D656" t="s">
        <v>2537</v>
      </c>
      <c r="H656" t="s">
        <v>4172</v>
      </c>
    </row>
    <row r="657" spans="1:8" x14ac:dyDescent="0.25">
      <c r="A657">
        <v>656</v>
      </c>
      <c r="D657" t="s">
        <v>2539</v>
      </c>
      <c r="H657" t="s">
        <v>2540</v>
      </c>
    </row>
    <row r="658" spans="1:8" x14ac:dyDescent="0.25">
      <c r="A658">
        <v>657</v>
      </c>
      <c r="D658" t="s">
        <v>2541</v>
      </c>
      <c r="H658" t="s">
        <v>2543</v>
      </c>
    </row>
    <row r="659" spans="1:8" x14ac:dyDescent="0.25">
      <c r="A659">
        <v>658</v>
      </c>
      <c r="D659" t="s">
        <v>2544</v>
      </c>
      <c r="H659" t="s">
        <v>256</v>
      </c>
    </row>
    <row r="660" spans="1:8" x14ac:dyDescent="0.25">
      <c r="A660">
        <v>659</v>
      </c>
      <c r="D660" t="s">
        <v>2547</v>
      </c>
      <c r="H660" t="s">
        <v>311</v>
      </c>
    </row>
    <row r="661" spans="1:8" x14ac:dyDescent="0.25">
      <c r="A661">
        <v>660</v>
      </c>
      <c r="D661" t="s">
        <v>2548</v>
      </c>
      <c r="H661" t="s">
        <v>2551</v>
      </c>
    </row>
    <row r="662" spans="1:8" x14ac:dyDescent="0.25">
      <c r="A662">
        <v>661</v>
      </c>
      <c r="D662" t="s">
        <v>2552</v>
      </c>
      <c r="H662" t="s">
        <v>853</v>
      </c>
    </row>
    <row r="663" spans="1:8" x14ac:dyDescent="0.25">
      <c r="A663">
        <v>662</v>
      </c>
      <c r="D663" t="s">
        <v>2555</v>
      </c>
      <c r="H663" t="s">
        <v>2558</v>
      </c>
    </row>
    <row r="664" spans="1:8" x14ac:dyDescent="0.25">
      <c r="A664">
        <v>663</v>
      </c>
      <c r="D664" t="s">
        <v>2559</v>
      </c>
      <c r="H664" t="s">
        <v>2562</v>
      </c>
    </row>
    <row r="665" spans="1:8" x14ac:dyDescent="0.25">
      <c r="A665">
        <v>664</v>
      </c>
      <c r="D665" t="s">
        <v>2563</v>
      </c>
      <c r="H665" t="s">
        <v>2566</v>
      </c>
    </row>
    <row r="666" spans="1:8" x14ac:dyDescent="0.25">
      <c r="A666">
        <v>665</v>
      </c>
      <c r="D666" t="s">
        <v>2567</v>
      </c>
      <c r="H666" t="s">
        <v>2458</v>
      </c>
    </row>
    <row r="667" spans="1:8" x14ac:dyDescent="0.25">
      <c r="A667">
        <v>666</v>
      </c>
      <c r="D667" t="s">
        <v>2569</v>
      </c>
      <c r="H667" t="s">
        <v>2572</v>
      </c>
    </row>
    <row r="668" spans="1:8" x14ac:dyDescent="0.25">
      <c r="A668">
        <v>667</v>
      </c>
      <c r="D668" t="s">
        <v>2573</v>
      </c>
      <c r="H668" t="s">
        <v>2576</v>
      </c>
    </row>
    <row r="669" spans="1:8" x14ac:dyDescent="0.25">
      <c r="A669">
        <v>668</v>
      </c>
      <c r="D669" t="s">
        <v>2577</v>
      </c>
      <c r="H669" t="s">
        <v>2579</v>
      </c>
    </row>
    <row r="670" spans="1:8" x14ac:dyDescent="0.25">
      <c r="A670">
        <v>669</v>
      </c>
      <c r="D670" t="s">
        <v>2580</v>
      </c>
      <c r="H670" t="s">
        <v>2583</v>
      </c>
    </row>
    <row r="671" spans="1:8" x14ac:dyDescent="0.25">
      <c r="A671">
        <v>670</v>
      </c>
      <c r="D671" t="s">
        <v>2584</v>
      </c>
      <c r="H671" t="s">
        <v>2120</v>
      </c>
    </row>
    <row r="672" spans="1:8" x14ac:dyDescent="0.25">
      <c r="A672">
        <v>671</v>
      </c>
      <c r="D672" t="s">
        <v>2587</v>
      </c>
      <c r="H672" t="s">
        <v>2590</v>
      </c>
    </row>
    <row r="673" spans="1:11" x14ac:dyDescent="0.25">
      <c r="A673">
        <v>672</v>
      </c>
      <c r="D673" t="s">
        <v>2591</v>
      </c>
      <c r="H673" t="s">
        <v>683</v>
      </c>
    </row>
    <row r="674" spans="1:11" x14ac:dyDescent="0.25">
      <c r="A674">
        <v>673</v>
      </c>
      <c r="D674" t="s">
        <v>2593</v>
      </c>
      <c r="E674" t="s">
        <v>4172</v>
      </c>
      <c r="F674" t="s">
        <v>4172</v>
      </c>
      <c r="G674" t="s">
        <v>4172</v>
      </c>
      <c r="H674" t="s">
        <v>89</v>
      </c>
      <c r="K674" t="s">
        <v>4172</v>
      </c>
    </row>
    <row r="675" spans="1:11" x14ac:dyDescent="0.25">
      <c r="A675">
        <v>674</v>
      </c>
      <c r="D675" t="s">
        <v>2595</v>
      </c>
      <c r="H675" t="s">
        <v>2597</v>
      </c>
    </row>
    <row r="676" spans="1:11" x14ac:dyDescent="0.25">
      <c r="A676">
        <v>675</v>
      </c>
      <c r="D676" t="s">
        <v>2598</v>
      </c>
      <c r="H676" t="s">
        <v>2120</v>
      </c>
    </row>
    <row r="677" spans="1:11" x14ac:dyDescent="0.25">
      <c r="A677">
        <v>676</v>
      </c>
      <c r="D677" t="s">
        <v>2601</v>
      </c>
      <c r="H677" t="s">
        <v>311</v>
      </c>
    </row>
    <row r="678" spans="1:11" x14ac:dyDescent="0.25">
      <c r="A678">
        <v>677</v>
      </c>
      <c r="D678" t="s">
        <v>2603</v>
      </c>
      <c r="E678" t="s">
        <v>4172</v>
      </c>
      <c r="F678" t="s">
        <v>4172</v>
      </c>
      <c r="G678" t="s">
        <v>4172</v>
      </c>
      <c r="H678" t="s">
        <v>4172</v>
      </c>
      <c r="K678" t="s">
        <v>4172</v>
      </c>
    </row>
    <row r="679" spans="1:11" x14ac:dyDescent="0.25">
      <c r="A679">
        <v>678</v>
      </c>
      <c r="D679" t="s">
        <v>2605</v>
      </c>
      <c r="H679" t="s">
        <v>2607</v>
      </c>
    </row>
    <row r="680" spans="1:11" x14ac:dyDescent="0.25">
      <c r="A680">
        <v>679</v>
      </c>
      <c r="D680" t="s">
        <v>2608</v>
      </c>
      <c r="H680" t="s">
        <v>2471</v>
      </c>
    </row>
    <row r="681" spans="1:11" x14ac:dyDescent="0.25">
      <c r="A681">
        <v>680</v>
      </c>
      <c r="D681" t="s">
        <v>2611</v>
      </c>
      <c r="H681" t="s">
        <v>978</v>
      </c>
    </row>
    <row r="682" spans="1:11" x14ac:dyDescent="0.25">
      <c r="A682">
        <v>681</v>
      </c>
      <c r="D682" t="s">
        <v>2614</v>
      </c>
      <c r="H682" t="s">
        <v>2399</v>
      </c>
    </row>
    <row r="683" spans="1:11" x14ac:dyDescent="0.25">
      <c r="A683">
        <v>682</v>
      </c>
      <c r="D683" t="s">
        <v>2617</v>
      </c>
      <c r="H683" t="s">
        <v>2620</v>
      </c>
    </row>
    <row r="684" spans="1:11" x14ac:dyDescent="0.25">
      <c r="A684">
        <v>683</v>
      </c>
      <c r="D684" t="s">
        <v>2621</v>
      </c>
      <c r="H684" t="s">
        <v>2623</v>
      </c>
    </row>
    <row r="685" spans="1:11" x14ac:dyDescent="0.25">
      <c r="A685">
        <v>684</v>
      </c>
      <c r="D685" t="s">
        <v>2624</v>
      </c>
      <c r="H685" t="s">
        <v>2627</v>
      </c>
    </row>
    <row r="686" spans="1:11" x14ac:dyDescent="0.25">
      <c r="A686">
        <v>685</v>
      </c>
      <c r="D686" t="s">
        <v>2628</v>
      </c>
      <c r="H686" t="s">
        <v>2120</v>
      </c>
    </row>
    <row r="687" spans="1:11" x14ac:dyDescent="0.25">
      <c r="A687">
        <v>686</v>
      </c>
      <c r="C687">
        <v>0</v>
      </c>
      <c r="D687" t="s">
        <v>2631</v>
      </c>
      <c r="E687" t="s">
        <v>4172</v>
      </c>
      <c r="F687" t="s">
        <v>2632</v>
      </c>
      <c r="G687" t="s">
        <v>4172</v>
      </c>
      <c r="H687" t="s">
        <v>2219</v>
      </c>
      <c r="K687" t="s">
        <v>4172</v>
      </c>
    </row>
    <row r="688" spans="1:11" x14ac:dyDescent="0.25">
      <c r="A688">
        <v>687</v>
      </c>
      <c r="D688" t="s">
        <v>2633</v>
      </c>
      <c r="H688" t="s">
        <v>89</v>
      </c>
    </row>
    <row r="689" spans="1:11" x14ac:dyDescent="0.25">
      <c r="A689">
        <v>688</v>
      </c>
      <c r="D689" t="s">
        <v>2635</v>
      </c>
      <c r="H689" t="s">
        <v>4172</v>
      </c>
    </row>
    <row r="690" spans="1:11" x14ac:dyDescent="0.25">
      <c r="A690">
        <v>689</v>
      </c>
      <c r="D690" t="s">
        <v>2637</v>
      </c>
      <c r="H690" t="s">
        <v>2640</v>
      </c>
    </row>
    <row r="691" spans="1:11" x14ac:dyDescent="0.25">
      <c r="A691">
        <v>690</v>
      </c>
      <c r="D691" t="s">
        <v>2642</v>
      </c>
      <c r="H691" t="s">
        <v>1432</v>
      </c>
    </row>
    <row r="692" spans="1:11" x14ac:dyDescent="0.25">
      <c r="A692">
        <v>691</v>
      </c>
      <c r="D692" t="s">
        <v>2645</v>
      </c>
      <c r="H692" t="s">
        <v>2648</v>
      </c>
    </row>
    <row r="693" spans="1:11" x14ac:dyDescent="0.25">
      <c r="A693">
        <v>692</v>
      </c>
      <c r="D693" t="s">
        <v>2649</v>
      </c>
      <c r="H693" t="s">
        <v>2651</v>
      </c>
    </row>
    <row r="694" spans="1:11" x14ac:dyDescent="0.25">
      <c r="A694">
        <v>693</v>
      </c>
      <c r="C694">
        <v>79581510</v>
      </c>
      <c r="D694" t="s">
        <v>2652</v>
      </c>
      <c r="F694" t="s">
        <v>2654</v>
      </c>
      <c r="H694" t="s">
        <v>2655</v>
      </c>
    </row>
    <row r="695" spans="1:11" x14ac:dyDescent="0.25">
      <c r="A695">
        <v>694</v>
      </c>
      <c r="D695" t="s">
        <v>2656</v>
      </c>
      <c r="E695" t="s">
        <v>4172</v>
      </c>
      <c r="F695" t="s">
        <v>4172</v>
      </c>
      <c r="G695" t="s">
        <v>4172</v>
      </c>
      <c r="H695" t="s">
        <v>261</v>
      </c>
      <c r="I695" t="s">
        <v>4172</v>
      </c>
      <c r="J695" t="s">
        <v>4172</v>
      </c>
      <c r="K695" t="s">
        <v>4172</v>
      </c>
    </row>
    <row r="696" spans="1:11" x14ac:dyDescent="0.25">
      <c r="A696">
        <v>695</v>
      </c>
      <c r="C696">
        <v>39723350</v>
      </c>
      <c r="D696" t="s">
        <v>2657</v>
      </c>
      <c r="E696" t="s">
        <v>4172</v>
      </c>
      <c r="F696" t="s">
        <v>4172</v>
      </c>
      <c r="G696" t="s">
        <v>4172</v>
      </c>
      <c r="H696" t="s">
        <v>998</v>
      </c>
      <c r="I696" t="s">
        <v>4172</v>
      </c>
      <c r="J696" t="s">
        <v>4172</v>
      </c>
      <c r="K696" t="s">
        <v>4172</v>
      </c>
    </row>
    <row r="697" spans="1:11" x14ac:dyDescent="0.25">
      <c r="A697">
        <v>696</v>
      </c>
      <c r="C697">
        <v>72136118</v>
      </c>
      <c r="D697" t="s">
        <v>2659</v>
      </c>
      <c r="E697" t="s">
        <v>4172</v>
      </c>
      <c r="F697" t="s">
        <v>4172</v>
      </c>
      <c r="G697" t="s">
        <v>4172</v>
      </c>
      <c r="H697" t="s">
        <v>2662</v>
      </c>
      <c r="I697" t="s">
        <v>4172</v>
      </c>
      <c r="J697" t="s">
        <v>4172</v>
      </c>
      <c r="K697" t="s">
        <v>4172</v>
      </c>
    </row>
    <row r="698" spans="1:11" x14ac:dyDescent="0.25">
      <c r="A698">
        <v>697</v>
      </c>
      <c r="C698">
        <v>79737513</v>
      </c>
      <c r="D698" t="s">
        <v>2663</v>
      </c>
      <c r="E698" t="s">
        <v>4172</v>
      </c>
      <c r="F698" t="s">
        <v>4172</v>
      </c>
      <c r="G698" t="s">
        <v>4172</v>
      </c>
      <c r="H698" t="s">
        <v>2016</v>
      </c>
      <c r="I698" t="s">
        <v>4172</v>
      </c>
      <c r="J698" t="s">
        <v>4172</v>
      </c>
      <c r="K698" t="s">
        <v>4172</v>
      </c>
    </row>
    <row r="699" spans="1:11" x14ac:dyDescent="0.25">
      <c r="A699">
        <v>698</v>
      </c>
      <c r="C699">
        <v>52880290</v>
      </c>
      <c r="D699" t="s">
        <v>2666</v>
      </c>
      <c r="E699" t="s">
        <v>4172</v>
      </c>
      <c r="F699" t="s">
        <v>4172</v>
      </c>
      <c r="G699" t="s">
        <v>4172</v>
      </c>
      <c r="H699" t="s">
        <v>562</v>
      </c>
      <c r="I699" t="s">
        <v>4172</v>
      </c>
      <c r="J699" t="s">
        <v>4172</v>
      </c>
      <c r="K699" t="s">
        <v>4172</v>
      </c>
    </row>
    <row r="700" spans="1:11" x14ac:dyDescent="0.25">
      <c r="A700">
        <v>699</v>
      </c>
      <c r="C700">
        <v>52880290</v>
      </c>
      <c r="D700" t="s">
        <v>2669</v>
      </c>
      <c r="E700" t="s">
        <v>4172</v>
      </c>
      <c r="F700" t="s">
        <v>4172</v>
      </c>
      <c r="G700" t="s">
        <v>4172</v>
      </c>
      <c r="H700" t="s">
        <v>2399</v>
      </c>
      <c r="I700" t="s">
        <v>4172</v>
      </c>
      <c r="J700" t="s">
        <v>4172</v>
      </c>
      <c r="K700" t="s">
        <v>4172</v>
      </c>
    </row>
    <row r="701" spans="1:11" x14ac:dyDescent="0.25">
      <c r="A701">
        <v>700</v>
      </c>
      <c r="C701">
        <v>52880290</v>
      </c>
      <c r="D701" t="s">
        <v>2670</v>
      </c>
      <c r="E701" t="s">
        <v>4172</v>
      </c>
      <c r="F701" t="s">
        <v>4172</v>
      </c>
      <c r="G701" t="s">
        <v>4172</v>
      </c>
      <c r="H701" t="s">
        <v>2399</v>
      </c>
      <c r="I701" t="s">
        <v>4172</v>
      </c>
      <c r="J701" t="s">
        <v>4172</v>
      </c>
      <c r="K701" t="s">
        <v>4172</v>
      </c>
    </row>
    <row r="702" spans="1:11" x14ac:dyDescent="0.25">
      <c r="A702">
        <v>701</v>
      </c>
      <c r="C702">
        <v>0</v>
      </c>
      <c r="D702" t="s">
        <v>2671</v>
      </c>
      <c r="E702" t="s">
        <v>4172</v>
      </c>
      <c r="F702" t="s">
        <v>4172</v>
      </c>
      <c r="G702" t="s">
        <v>143</v>
      </c>
      <c r="H702" t="s">
        <v>2672</v>
      </c>
      <c r="K702" t="s">
        <v>4172</v>
      </c>
    </row>
    <row r="703" spans="1:11" x14ac:dyDescent="0.25">
      <c r="A703">
        <v>702</v>
      </c>
      <c r="C703">
        <v>0</v>
      </c>
      <c r="D703" t="s">
        <v>2673</v>
      </c>
      <c r="E703" t="s">
        <v>4172</v>
      </c>
      <c r="F703" t="s">
        <v>4172</v>
      </c>
      <c r="G703" t="s">
        <v>4172</v>
      </c>
      <c r="H703" t="s">
        <v>2399</v>
      </c>
      <c r="K703" t="s">
        <v>4172</v>
      </c>
    </row>
    <row r="704" spans="1:11" x14ac:dyDescent="0.25">
      <c r="A704">
        <v>703</v>
      </c>
      <c r="C704">
        <v>1033754068</v>
      </c>
      <c r="D704" t="s">
        <v>2675</v>
      </c>
      <c r="H704" t="s">
        <v>2677</v>
      </c>
    </row>
    <row r="705" spans="1:11" x14ac:dyDescent="0.25">
      <c r="A705">
        <v>704</v>
      </c>
      <c r="C705">
        <v>0</v>
      </c>
      <c r="D705" t="s">
        <v>2678</v>
      </c>
      <c r="H705" t="s">
        <v>2680</v>
      </c>
    </row>
    <row r="706" spans="1:11" x14ac:dyDescent="0.25">
      <c r="A706">
        <v>705</v>
      </c>
      <c r="C706">
        <v>0</v>
      </c>
      <c r="D706" t="s">
        <v>2681</v>
      </c>
      <c r="H706" t="s">
        <v>89</v>
      </c>
    </row>
    <row r="707" spans="1:11" x14ac:dyDescent="0.25">
      <c r="A707">
        <v>706</v>
      </c>
      <c r="C707">
        <v>13072263</v>
      </c>
      <c r="D707" t="s">
        <v>2683</v>
      </c>
      <c r="H707" t="s">
        <v>2520</v>
      </c>
    </row>
    <row r="708" spans="1:11" x14ac:dyDescent="0.25">
      <c r="A708">
        <v>707</v>
      </c>
      <c r="C708">
        <v>9600079</v>
      </c>
      <c r="D708" t="s">
        <v>2686</v>
      </c>
      <c r="H708" t="s">
        <v>148</v>
      </c>
    </row>
    <row r="709" spans="1:11" x14ac:dyDescent="0.25">
      <c r="A709">
        <v>708</v>
      </c>
      <c r="C709">
        <v>0</v>
      </c>
      <c r="D709" t="s">
        <v>2689</v>
      </c>
      <c r="E709" t="s">
        <v>147</v>
      </c>
      <c r="F709" t="s">
        <v>2692</v>
      </c>
      <c r="G709" t="s">
        <v>89</v>
      </c>
      <c r="H709" t="s">
        <v>2693</v>
      </c>
      <c r="I709" t="s">
        <v>2399</v>
      </c>
      <c r="J709" t="s">
        <v>2399</v>
      </c>
      <c r="K709" t="s">
        <v>2399</v>
      </c>
    </row>
    <row r="710" spans="1:11" x14ac:dyDescent="0.25">
      <c r="A710">
        <v>709</v>
      </c>
      <c r="C710">
        <v>93374765</v>
      </c>
      <c r="D710" t="s">
        <v>2694</v>
      </c>
      <c r="F710" t="s">
        <v>2697</v>
      </c>
      <c r="H710" t="s">
        <v>158</v>
      </c>
    </row>
    <row r="711" spans="1:11" x14ac:dyDescent="0.25">
      <c r="A711">
        <v>710</v>
      </c>
      <c r="C711">
        <v>3137250322</v>
      </c>
      <c r="D711" t="s">
        <v>2698</v>
      </c>
      <c r="E711" t="s">
        <v>4172</v>
      </c>
      <c r="F711" t="s">
        <v>2399</v>
      </c>
      <c r="G711" t="s">
        <v>143</v>
      </c>
      <c r="H711" t="s">
        <v>2700</v>
      </c>
      <c r="I711" t="s">
        <v>4172</v>
      </c>
      <c r="J711" t="s">
        <v>4172</v>
      </c>
      <c r="K711" t="s">
        <v>4172</v>
      </c>
    </row>
    <row r="712" spans="1:11" x14ac:dyDescent="0.25">
      <c r="A712">
        <v>711</v>
      </c>
      <c r="C712">
        <v>80833738</v>
      </c>
      <c r="D712" t="s">
        <v>2701</v>
      </c>
      <c r="E712" t="s">
        <v>2704</v>
      </c>
      <c r="F712" t="s">
        <v>2701</v>
      </c>
      <c r="G712" t="s">
        <v>143</v>
      </c>
      <c r="H712" t="s">
        <v>2705</v>
      </c>
      <c r="I712" t="s">
        <v>4172</v>
      </c>
      <c r="J712" t="s">
        <v>4172</v>
      </c>
      <c r="K712" t="s">
        <v>2399</v>
      </c>
    </row>
    <row r="713" spans="1:11" x14ac:dyDescent="0.25">
      <c r="A713">
        <v>712</v>
      </c>
      <c r="C713">
        <v>52858505</v>
      </c>
      <c r="D713" t="s">
        <v>2706</v>
      </c>
      <c r="E713" t="s">
        <v>4172</v>
      </c>
      <c r="F713" t="s">
        <v>4172</v>
      </c>
      <c r="G713" t="s">
        <v>143</v>
      </c>
      <c r="H713" t="s">
        <v>2709</v>
      </c>
      <c r="I713" t="s">
        <v>4172</v>
      </c>
      <c r="J713" t="s">
        <v>4172</v>
      </c>
      <c r="K713" t="s">
        <v>4172</v>
      </c>
    </row>
    <row r="714" spans="1:11" x14ac:dyDescent="0.25">
      <c r="A714">
        <v>713</v>
      </c>
      <c r="C714">
        <v>79515032</v>
      </c>
      <c r="D714" t="s">
        <v>2710</v>
      </c>
      <c r="E714" t="s">
        <v>2713</v>
      </c>
      <c r="F714" t="s">
        <v>2712</v>
      </c>
      <c r="G714" t="s">
        <v>143</v>
      </c>
      <c r="H714" t="s">
        <v>2714</v>
      </c>
      <c r="I714" t="s">
        <v>978</v>
      </c>
      <c r="J714" t="s">
        <v>2715</v>
      </c>
      <c r="K714" t="s">
        <v>4172</v>
      </c>
    </row>
    <row r="715" spans="1:11" x14ac:dyDescent="0.25">
      <c r="A715">
        <v>714</v>
      </c>
      <c r="C715">
        <v>8085107</v>
      </c>
      <c r="D715" t="s">
        <v>2716</v>
      </c>
      <c r="E715" t="s">
        <v>4172</v>
      </c>
      <c r="F715" t="s">
        <v>4172</v>
      </c>
      <c r="G715" t="s">
        <v>143</v>
      </c>
      <c r="H715" t="s">
        <v>2718</v>
      </c>
      <c r="I715" t="s">
        <v>4172</v>
      </c>
      <c r="J715" t="s">
        <v>4172</v>
      </c>
      <c r="K715" t="s">
        <v>4172</v>
      </c>
    </row>
    <row r="716" spans="1:11" x14ac:dyDescent="0.25">
      <c r="A716">
        <v>715</v>
      </c>
      <c r="C716">
        <v>19434299</v>
      </c>
      <c r="D716" t="s">
        <v>2719</v>
      </c>
      <c r="E716" t="s">
        <v>4172</v>
      </c>
      <c r="F716" t="s">
        <v>4172</v>
      </c>
      <c r="G716" t="s">
        <v>143</v>
      </c>
      <c r="H716" t="s">
        <v>2721</v>
      </c>
      <c r="I716" t="s">
        <v>4172</v>
      </c>
      <c r="J716" t="s">
        <v>4172</v>
      </c>
      <c r="K716" t="s">
        <v>4172</v>
      </c>
    </row>
    <row r="717" spans="1:11" x14ac:dyDescent="0.25">
      <c r="A717">
        <v>716</v>
      </c>
      <c r="D717" t="s">
        <v>2722</v>
      </c>
      <c r="E717" t="s">
        <v>2727</v>
      </c>
      <c r="F717" t="s">
        <v>2726</v>
      </c>
      <c r="G717" t="s">
        <v>143</v>
      </c>
      <c r="H717" t="s">
        <v>1082</v>
      </c>
      <c r="I717" t="s">
        <v>2728</v>
      </c>
      <c r="J717" t="s">
        <v>2729</v>
      </c>
      <c r="K717" t="s">
        <v>2730</v>
      </c>
    </row>
    <row r="718" spans="1:11" x14ac:dyDescent="0.25">
      <c r="A718">
        <v>717</v>
      </c>
      <c r="C718">
        <v>0</v>
      </c>
      <c r="D718" t="s">
        <v>2731</v>
      </c>
      <c r="E718" t="s">
        <v>2735</v>
      </c>
      <c r="F718" t="s">
        <v>2734</v>
      </c>
      <c r="G718" t="s">
        <v>143</v>
      </c>
      <c r="H718" t="s">
        <v>2705</v>
      </c>
      <c r="I718" t="s">
        <v>2736</v>
      </c>
      <c r="J718" t="s">
        <v>2715</v>
      </c>
      <c r="K718" t="s">
        <v>2737</v>
      </c>
    </row>
    <row r="719" spans="1:11" x14ac:dyDescent="0.25">
      <c r="A719">
        <v>718</v>
      </c>
      <c r="C719">
        <v>51728558</v>
      </c>
      <c r="D719" t="s">
        <v>2738</v>
      </c>
      <c r="E719" t="s">
        <v>4172</v>
      </c>
      <c r="F719" t="s">
        <v>4172</v>
      </c>
      <c r="G719" t="s">
        <v>143</v>
      </c>
      <c r="H719" t="s">
        <v>2740</v>
      </c>
      <c r="I719" t="s">
        <v>4172</v>
      </c>
      <c r="J719" t="s">
        <v>2741</v>
      </c>
      <c r="K719" t="s">
        <v>4172</v>
      </c>
    </row>
    <row r="720" spans="1:11" x14ac:dyDescent="0.25">
      <c r="A720">
        <v>719</v>
      </c>
      <c r="C720">
        <v>79494750</v>
      </c>
      <c r="D720" t="s">
        <v>2742</v>
      </c>
      <c r="E720" t="s">
        <v>4172</v>
      </c>
      <c r="F720" t="s">
        <v>4172</v>
      </c>
      <c r="G720" t="s">
        <v>143</v>
      </c>
      <c r="H720" t="s">
        <v>978</v>
      </c>
      <c r="K720" t="s">
        <v>4172</v>
      </c>
    </row>
    <row r="721" spans="1:11" x14ac:dyDescent="0.25">
      <c r="A721">
        <v>720</v>
      </c>
      <c r="C721">
        <v>41607002</v>
      </c>
      <c r="D721" t="s">
        <v>2744</v>
      </c>
      <c r="E721" t="s">
        <v>4172</v>
      </c>
      <c r="F721" t="s">
        <v>2399</v>
      </c>
      <c r="G721" t="s">
        <v>143</v>
      </c>
      <c r="H721" t="s">
        <v>1048</v>
      </c>
      <c r="I721" t="s">
        <v>2728</v>
      </c>
      <c r="J721" t="s">
        <v>4172</v>
      </c>
      <c r="K721" t="s">
        <v>4172</v>
      </c>
    </row>
    <row r="722" spans="1:11" x14ac:dyDescent="0.25">
      <c r="A722">
        <v>721</v>
      </c>
      <c r="C722">
        <v>93348624</v>
      </c>
      <c r="D722" t="s">
        <v>2746</v>
      </c>
      <c r="E722" t="s">
        <v>2749</v>
      </c>
      <c r="F722" t="s">
        <v>2746</v>
      </c>
      <c r="G722" t="s">
        <v>143</v>
      </c>
      <c r="H722" t="s">
        <v>2750</v>
      </c>
      <c r="I722" t="s">
        <v>2751</v>
      </c>
      <c r="J722" t="s">
        <v>2752</v>
      </c>
      <c r="K722" t="s">
        <v>2753</v>
      </c>
    </row>
    <row r="723" spans="1:11" x14ac:dyDescent="0.25">
      <c r="A723">
        <v>722</v>
      </c>
      <c r="D723" t="s">
        <v>2754</v>
      </c>
      <c r="E723" t="s">
        <v>4172</v>
      </c>
      <c r="F723" t="s">
        <v>4172</v>
      </c>
      <c r="G723" t="s">
        <v>143</v>
      </c>
      <c r="H723" t="s">
        <v>4172</v>
      </c>
      <c r="I723" t="s">
        <v>4172</v>
      </c>
      <c r="J723" t="s">
        <v>4172</v>
      </c>
      <c r="K723" t="s">
        <v>4172</v>
      </c>
    </row>
    <row r="724" spans="1:11" x14ac:dyDescent="0.25">
      <c r="A724">
        <v>723</v>
      </c>
      <c r="C724">
        <v>80749742</v>
      </c>
      <c r="D724" t="s">
        <v>2756</v>
      </c>
      <c r="E724" t="s">
        <v>4172</v>
      </c>
      <c r="F724" t="s">
        <v>4172</v>
      </c>
      <c r="G724" t="s">
        <v>143</v>
      </c>
      <c r="H724" t="s">
        <v>2750</v>
      </c>
      <c r="I724" t="s">
        <v>4172</v>
      </c>
      <c r="J724" t="s">
        <v>4172</v>
      </c>
      <c r="K724" t="s">
        <v>4172</v>
      </c>
    </row>
    <row r="725" spans="1:11" x14ac:dyDescent="0.25">
      <c r="A725">
        <v>724</v>
      </c>
      <c r="C725">
        <v>1024508903</v>
      </c>
      <c r="D725" t="s">
        <v>2758</v>
      </c>
      <c r="E725" t="s">
        <v>4172</v>
      </c>
      <c r="F725" t="s">
        <v>4172</v>
      </c>
      <c r="G725" t="s">
        <v>143</v>
      </c>
      <c r="H725" t="s">
        <v>2760</v>
      </c>
      <c r="I725" t="s">
        <v>4172</v>
      </c>
      <c r="J725" t="s">
        <v>4172</v>
      </c>
      <c r="K725" t="s">
        <v>4172</v>
      </c>
    </row>
    <row r="726" spans="1:11" x14ac:dyDescent="0.25">
      <c r="A726">
        <v>725</v>
      </c>
      <c r="C726">
        <v>52842677</v>
      </c>
      <c r="D726" t="s">
        <v>2754</v>
      </c>
      <c r="E726" t="s">
        <v>4172</v>
      </c>
      <c r="F726" t="s">
        <v>4172</v>
      </c>
      <c r="G726" t="s">
        <v>143</v>
      </c>
      <c r="H726" t="s">
        <v>2709</v>
      </c>
      <c r="I726" t="s">
        <v>4172</v>
      </c>
      <c r="J726" t="s">
        <v>4172</v>
      </c>
      <c r="K726" t="s">
        <v>4172</v>
      </c>
    </row>
    <row r="727" spans="1:11" x14ac:dyDescent="0.25">
      <c r="A727">
        <v>726</v>
      </c>
      <c r="D727" t="s">
        <v>2762</v>
      </c>
      <c r="F727" t="s">
        <v>541</v>
      </c>
      <c r="G727" t="s">
        <v>143</v>
      </c>
      <c r="H727" t="s">
        <v>2764</v>
      </c>
    </row>
    <row r="728" spans="1:11" x14ac:dyDescent="0.25">
      <c r="A728">
        <v>727</v>
      </c>
      <c r="C728">
        <v>52162297</v>
      </c>
      <c r="D728" t="s">
        <v>2765</v>
      </c>
      <c r="F728" t="s">
        <v>1988</v>
      </c>
      <c r="G728" t="s">
        <v>143</v>
      </c>
      <c r="H728" t="s">
        <v>1988</v>
      </c>
    </row>
    <row r="729" spans="1:11" x14ac:dyDescent="0.25">
      <c r="A729">
        <v>728</v>
      </c>
      <c r="C729">
        <v>79620305</v>
      </c>
      <c r="D729" t="s">
        <v>2767</v>
      </c>
      <c r="F729" t="s">
        <v>256</v>
      </c>
      <c r="G729" t="s">
        <v>143</v>
      </c>
    </row>
    <row r="730" spans="1:11" x14ac:dyDescent="0.25">
      <c r="A730">
        <v>729</v>
      </c>
      <c r="D730" t="s">
        <v>2768</v>
      </c>
      <c r="E730" t="s">
        <v>4172</v>
      </c>
      <c r="F730" t="s">
        <v>4172</v>
      </c>
      <c r="G730" t="s">
        <v>143</v>
      </c>
      <c r="H730" t="s">
        <v>4172</v>
      </c>
      <c r="K730" t="s">
        <v>4172</v>
      </c>
    </row>
    <row r="731" spans="1:11" x14ac:dyDescent="0.25">
      <c r="A731">
        <v>730</v>
      </c>
      <c r="D731" t="s">
        <v>2769</v>
      </c>
      <c r="E731" t="s">
        <v>4172</v>
      </c>
      <c r="F731" t="s">
        <v>4172</v>
      </c>
      <c r="G731" t="s">
        <v>143</v>
      </c>
      <c r="H731" t="s">
        <v>1082</v>
      </c>
      <c r="I731" t="s">
        <v>4172</v>
      </c>
      <c r="J731" t="s">
        <v>4172</v>
      </c>
      <c r="K731" t="s">
        <v>4172</v>
      </c>
    </row>
    <row r="732" spans="1:11" x14ac:dyDescent="0.25">
      <c r="A732">
        <v>731</v>
      </c>
      <c r="C732">
        <v>15437326</v>
      </c>
      <c r="D732" t="s">
        <v>2772</v>
      </c>
      <c r="E732" t="s">
        <v>4172</v>
      </c>
      <c r="F732" t="s">
        <v>4172</v>
      </c>
      <c r="G732" t="s">
        <v>143</v>
      </c>
      <c r="H732" t="s">
        <v>4172</v>
      </c>
      <c r="I732" t="s">
        <v>4172</v>
      </c>
      <c r="J732" t="s">
        <v>4172</v>
      </c>
      <c r="K732" t="s">
        <v>4172</v>
      </c>
    </row>
    <row r="733" spans="1:11" x14ac:dyDescent="0.25">
      <c r="A733">
        <v>732</v>
      </c>
      <c r="C733" t="s">
        <v>2775</v>
      </c>
      <c r="D733" t="s">
        <v>2774</v>
      </c>
      <c r="F733" t="s">
        <v>2778</v>
      </c>
      <c r="G733" t="s">
        <v>143</v>
      </c>
      <c r="H733" t="s">
        <v>2779</v>
      </c>
    </row>
    <row r="734" spans="1:11" x14ac:dyDescent="0.25">
      <c r="A734">
        <v>733</v>
      </c>
      <c r="D734" t="s">
        <v>2780</v>
      </c>
      <c r="E734" t="s">
        <v>2784</v>
      </c>
      <c r="F734" t="s">
        <v>2783</v>
      </c>
      <c r="G734" t="s">
        <v>143</v>
      </c>
      <c r="H734" t="s">
        <v>1949</v>
      </c>
      <c r="I734" t="s">
        <v>4172</v>
      </c>
      <c r="J734" t="s">
        <v>4172</v>
      </c>
      <c r="K734" t="s">
        <v>4172</v>
      </c>
    </row>
    <row r="735" spans="1:11" x14ac:dyDescent="0.25">
      <c r="A735">
        <v>734</v>
      </c>
      <c r="D735" t="s">
        <v>2785</v>
      </c>
      <c r="E735" t="s">
        <v>4172</v>
      </c>
      <c r="F735" t="s">
        <v>2787</v>
      </c>
      <c r="G735" t="s">
        <v>143</v>
      </c>
      <c r="H735" t="s">
        <v>2705</v>
      </c>
      <c r="I735" t="s">
        <v>4172</v>
      </c>
      <c r="J735" t="s">
        <v>4172</v>
      </c>
      <c r="K735" t="s">
        <v>4172</v>
      </c>
    </row>
    <row r="736" spans="1:11" x14ac:dyDescent="0.25">
      <c r="A736">
        <v>735</v>
      </c>
      <c r="C736">
        <v>79496055</v>
      </c>
      <c r="D736" t="s">
        <v>2788</v>
      </c>
      <c r="E736" t="s">
        <v>2792</v>
      </c>
      <c r="F736" t="s">
        <v>2791</v>
      </c>
      <c r="G736" t="s">
        <v>143</v>
      </c>
      <c r="H736" t="s">
        <v>2793</v>
      </c>
      <c r="I736" t="s">
        <v>4172</v>
      </c>
      <c r="J736" t="s">
        <v>4172</v>
      </c>
      <c r="K736" t="s">
        <v>4172</v>
      </c>
    </row>
    <row r="737" spans="1:11" x14ac:dyDescent="0.25">
      <c r="A737">
        <v>736</v>
      </c>
      <c r="C737">
        <v>1022345419</v>
      </c>
      <c r="D737" t="s">
        <v>2794</v>
      </c>
      <c r="E737" t="s">
        <v>4172</v>
      </c>
      <c r="F737" t="s">
        <v>4172</v>
      </c>
      <c r="G737" t="s">
        <v>143</v>
      </c>
      <c r="H737" t="s">
        <v>2705</v>
      </c>
      <c r="I737" t="s">
        <v>4172</v>
      </c>
      <c r="J737" t="s">
        <v>4172</v>
      </c>
      <c r="K737" t="s">
        <v>4172</v>
      </c>
    </row>
    <row r="738" spans="1:11" x14ac:dyDescent="0.25">
      <c r="A738">
        <v>737</v>
      </c>
      <c r="C738">
        <v>19492362</v>
      </c>
      <c r="D738" t="s">
        <v>2796</v>
      </c>
      <c r="E738" t="s">
        <v>4172</v>
      </c>
      <c r="F738" t="s">
        <v>4172</v>
      </c>
      <c r="G738" t="s">
        <v>143</v>
      </c>
      <c r="H738" t="s">
        <v>2705</v>
      </c>
      <c r="I738" t="s">
        <v>4172</v>
      </c>
      <c r="J738" t="s">
        <v>4172</v>
      </c>
      <c r="K738" t="s">
        <v>4172</v>
      </c>
    </row>
    <row r="739" spans="1:11" x14ac:dyDescent="0.25">
      <c r="A739">
        <v>738</v>
      </c>
      <c r="C739">
        <v>19226927</v>
      </c>
      <c r="D739" t="s">
        <v>2798</v>
      </c>
      <c r="E739" t="s">
        <v>4172</v>
      </c>
      <c r="F739" t="s">
        <v>4172</v>
      </c>
      <c r="G739" t="s">
        <v>143</v>
      </c>
      <c r="H739" t="s">
        <v>2801</v>
      </c>
      <c r="I739" t="s">
        <v>2728</v>
      </c>
      <c r="J739" t="s">
        <v>4172</v>
      </c>
      <c r="K739" t="s">
        <v>4172</v>
      </c>
    </row>
    <row r="740" spans="1:11" x14ac:dyDescent="0.25">
      <c r="A740">
        <v>739</v>
      </c>
      <c r="C740">
        <v>19414842</v>
      </c>
      <c r="D740" t="s">
        <v>2802</v>
      </c>
      <c r="E740" t="s">
        <v>4172</v>
      </c>
      <c r="F740" t="s">
        <v>2804</v>
      </c>
      <c r="G740" t="s">
        <v>143</v>
      </c>
      <c r="H740" t="s">
        <v>2120</v>
      </c>
      <c r="I740" t="s">
        <v>4172</v>
      </c>
      <c r="J740" t="s">
        <v>4172</v>
      </c>
      <c r="K740" t="s">
        <v>4172</v>
      </c>
    </row>
    <row r="741" spans="1:11" x14ac:dyDescent="0.25">
      <c r="A741">
        <v>740</v>
      </c>
      <c r="C741">
        <v>1024447172</v>
      </c>
      <c r="D741" t="s">
        <v>2805</v>
      </c>
      <c r="E741" t="s">
        <v>4172</v>
      </c>
      <c r="F741" t="s">
        <v>4172</v>
      </c>
      <c r="G741" t="s">
        <v>143</v>
      </c>
      <c r="H741" t="s">
        <v>2607</v>
      </c>
      <c r="I741" t="s">
        <v>4172</v>
      </c>
      <c r="J741" t="s">
        <v>4172</v>
      </c>
      <c r="K741" t="s">
        <v>4172</v>
      </c>
    </row>
    <row r="742" spans="1:11" x14ac:dyDescent="0.25">
      <c r="A742">
        <v>741</v>
      </c>
      <c r="C742">
        <v>51939504</v>
      </c>
      <c r="D742" t="s">
        <v>2806</v>
      </c>
      <c r="E742" t="s">
        <v>4172</v>
      </c>
      <c r="F742" t="s">
        <v>2808</v>
      </c>
      <c r="G742" t="s">
        <v>143</v>
      </c>
      <c r="H742" t="s">
        <v>236</v>
      </c>
      <c r="I742" t="s">
        <v>4172</v>
      </c>
      <c r="J742" t="s">
        <v>4172</v>
      </c>
      <c r="K742" t="s">
        <v>4172</v>
      </c>
    </row>
    <row r="743" spans="1:11" x14ac:dyDescent="0.25">
      <c r="A743">
        <v>742</v>
      </c>
      <c r="D743" t="s">
        <v>2809</v>
      </c>
      <c r="E743" t="s">
        <v>2813</v>
      </c>
      <c r="F743" t="s">
        <v>2812</v>
      </c>
      <c r="G743" t="s">
        <v>143</v>
      </c>
      <c r="H743" t="s">
        <v>2814</v>
      </c>
      <c r="I743" t="s">
        <v>4172</v>
      </c>
      <c r="J743" t="s">
        <v>4172</v>
      </c>
      <c r="K743" t="s">
        <v>4172</v>
      </c>
    </row>
    <row r="744" spans="1:11" x14ac:dyDescent="0.25">
      <c r="A744">
        <v>743</v>
      </c>
      <c r="C744">
        <v>1032442586</v>
      </c>
      <c r="D744" t="s">
        <v>2815</v>
      </c>
      <c r="E744" t="s">
        <v>4172</v>
      </c>
      <c r="F744" t="s">
        <v>4172</v>
      </c>
      <c r="G744" t="s">
        <v>143</v>
      </c>
      <c r="H744" t="s">
        <v>2126</v>
      </c>
      <c r="I744" t="s">
        <v>4172</v>
      </c>
      <c r="J744" t="s">
        <v>4172</v>
      </c>
      <c r="K744" t="s">
        <v>4172</v>
      </c>
    </row>
    <row r="745" spans="1:11" x14ac:dyDescent="0.25">
      <c r="A745">
        <v>744</v>
      </c>
      <c r="C745">
        <v>87063827</v>
      </c>
      <c r="D745" t="s">
        <v>2816</v>
      </c>
      <c r="E745" t="s">
        <v>4172</v>
      </c>
      <c r="F745" t="s">
        <v>2818</v>
      </c>
      <c r="G745" t="s">
        <v>143</v>
      </c>
      <c r="H745" t="s">
        <v>311</v>
      </c>
      <c r="I745" t="s">
        <v>4172</v>
      </c>
      <c r="J745" t="s">
        <v>4172</v>
      </c>
      <c r="K745" t="s">
        <v>4172</v>
      </c>
    </row>
    <row r="746" spans="1:11" x14ac:dyDescent="0.25">
      <c r="A746">
        <v>745</v>
      </c>
      <c r="C746">
        <v>19413840</v>
      </c>
      <c r="D746" t="s">
        <v>2819</v>
      </c>
      <c r="E746" t="s">
        <v>4172</v>
      </c>
      <c r="F746" t="s">
        <v>2819</v>
      </c>
      <c r="G746" t="s">
        <v>143</v>
      </c>
      <c r="H746" t="s">
        <v>311</v>
      </c>
      <c r="K746" t="s">
        <v>4172</v>
      </c>
    </row>
    <row r="747" spans="1:11" x14ac:dyDescent="0.25">
      <c r="A747">
        <v>746</v>
      </c>
      <c r="C747">
        <v>79141325</v>
      </c>
      <c r="D747" t="s">
        <v>2822</v>
      </c>
      <c r="E747" t="s">
        <v>2825</v>
      </c>
      <c r="F747" t="s">
        <v>2824</v>
      </c>
      <c r="G747" t="s">
        <v>143</v>
      </c>
      <c r="H747" t="s">
        <v>2283</v>
      </c>
      <c r="I747" t="s">
        <v>2826</v>
      </c>
      <c r="J747" t="s">
        <v>4172</v>
      </c>
      <c r="K747" t="s">
        <v>4172</v>
      </c>
    </row>
    <row r="748" spans="1:11" x14ac:dyDescent="0.25">
      <c r="A748">
        <v>747</v>
      </c>
      <c r="C748">
        <v>1013577530</v>
      </c>
      <c r="D748" t="s">
        <v>2828</v>
      </c>
      <c r="E748" t="s">
        <v>4172</v>
      </c>
      <c r="F748" t="s">
        <v>4172</v>
      </c>
      <c r="G748" t="s">
        <v>143</v>
      </c>
      <c r="H748" t="s">
        <v>89</v>
      </c>
      <c r="I748" t="s">
        <v>4172</v>
      </c>
      <c r="J748" t="s">
        <v>4172</v>
      </c>
      <c r="K748" t="s">
        <v>4172</v>
      </c>
    </row>
    <row r="749" spans="1:11" x14ac:dyDescent="0.25">
      <c r="A749">
        <v>748</v>
      </c>
      <c r="C749">
        <v>80057049</v>
      </c>
      <c r="D749" t="s">
        <v>2830</v>
      </c>
      <c r="E749" t="s">
        <v>4172</v>
      </c>
      <c r="F749" t="s">
        <v>2832</v>
      </c>
      <c r="G749" t="s">
        <v>143</v>
      </c>
      <c r="H749" t="s">
        <v>2833</v>
      </c>
      <c r="I749" t="s">
        <v>4172</v>
      </c>
      <c r="J749" t="s">
        <v>4172</v>
      </c>
      <c r="K749" t="s">
        <v>4172</v>
      </c>
    </row>
    <row r="750" spans="1:11" x14ac:dyDescent="0.25">
      <c r="A750">
        <v>749</v>
      </c>
      <c r="C750">
        <v>10157546</v>
      </c>
      <c r="D750" t="s">
        <v>2834</v>
      </c>
      <c r="E750" t="s">
        <v>4172</v>
      </c>
      <c r="F750" t="s">
        <v>4172</v>
      </c>
      <c r="G750" t="s">
        <v>143</v>
      </c>
      <c r="H750" t="s">
        <v>4172</v>
      </c>
      <c r="I750" t="s">
        <v>4172</v>
      </c>
      <c r="J750" t="s">
        <v>4172</v>
      </c>
      <c r="K750" t="s">
        <v>4172</v>
      </c>
    </row>
    <row r="751" spans="1:11" x14ac:dyDescent="0.25">
      <c r="A751">
        <v>750</v>
      </c>
      <c r="C751">
        <v>830138241</v>
      </c>
      <c r="D751" t="s">
        <v>2836</v>
      </c>
      <c r="E751" t="s">
        <v>2838</v>
      </c>
      <c r="F751" t="s">
        <v>2837</v>
      </c>
      <c r="G751" t="s">
        <v>143</v>
      </c>
      <c r="H751" t="s">
        <v>1082</v>
      </c>
      <c r="I751" t="s">
        <v>978</v>
      </c>
      <c r="J751" t="s">
        <v>2839</v>
      </c>
      <c r="K751" t="s">
        <v>2840</v>
      </c>
    </row>
    <row r="752" spans="1:11" x14ac:dyDescent="0.25">
      <c r="A752">
        <v>751</v>
      </c>
      <c r="C752">
        <v>51947589</v>
      </c>
      <c r="D752" t="s">
        <v>2841</v>
      </c>
      <c r="E752" t="s">
        <v>2845</v>
      </c>
      <c r="F752" t="s">
        <v>2844</v>
      </c>
      <c r="G752" t="s">
        <v>143</v>
      </c>
      <c r="H752" t="s">
        <v>1082</v>
      </c>
      <c r="I752" t="s">
        <v>978</v>
      </c>
      <c r="J752" t="s">
        <v>2120</v>
      </c>
      <c r="K752" t="s">
        <v>2840</v>
      </c>
    </row>
    <row r="753" spans="1:11" x14ac:dyDescent="0.25">
      <c r="A753">
        <v>752</v>
      </c>
      <c r="D753" t="s">
        <v>2846</v>
      </c>
      <c r="E753" t="s">
        <v>2850</v>
      </c>
      <c r="F753" t="s">
        <v>2849</v>
      </c>
      <c r="G753" t="s">
        <v>143</v>
      </c>
      <c r="H753" t="s">
        <v>2705</v>
      </c>
      <c r="I753" t="s">
        <v>2736</v>
      </c>
      <c r="J753" t="s">
        <v>2715</v>
      </c>
      <c r="K753" t="s">
        <v>2851</v>
      </c>
    </row>
    <row r="754" spans="1:11" x14ac:dyDescent="0.25">
      <c r="A754">
        <v>753</v>
      </c>
      <c r="D754" t="s">
        <v>2852</v>
      </c>
      <c r="E754" t="s">
        <v>2854</v>
      </c>
      <c r="F754" t="s">
        <v>4172</v>
      </c>
      <c r="G754" t="s">
        <v>143</v>
      </c>
      <c r="H754" t="s">
        <v>2126</v>
      </c>
      <c r="I754" t="s">
        <v>2855</v>
      </c>
      <c r="J754" t="s">
        <v>261</v>
      </c>
      <c r="K754" t="s">
        <v>2856</v>
      </c>
    </row>
    <row r="755" spans="1:11" x14ac:dyDescent="0.25">
      <c r="A755">
        <v>754</v>
      </c>
      <c r="C755">
        <v>1026285387</v>
      </c>
      <c r="D755" t="s">
        <v>2857</v>
      </c>
      <c r="E755" t="s">
        <v>4172</v>
      </c>
      <c r="F755" t="s">
        <v>4172</v>
      </c>
      <c r="G755" t="s">
        <v>143</v>
      </c>
      <c r="H755" t="s">
        <v>2860</v>
      </c>
      <c r="I755" t="s">
        <v>2826</v>
      </c>
      <c r="J755" t="s">
        <v>2861</v>
      </c>
      <c r="K755" t="s">
        <v>4172</v>
      </c>
    </row>
    <row r="756" spans="1:11" x14ac:dyDescent="0.25">
      <c r="A756">
        <v>755</v>
      </c>
      <c r="C756">
        <v>79739650</v>
      </c>
      <c r="D756" t="s">
        <v>2862</v>
      </c>
      <c r="E756" t="s">
        <v>4172</v>
      </c>
      <c r="F756" t="s">
        <v>4172</v>
      </c>
      <c r="G756" t="s">
        <v>143</v>
      </c>
      <c r="H756" t="s">
        <v>2082</v>
      </c>
      <c r="I756" t="s">
        <v>4172</v>
      </c>
      <c r="J756" t="s">
        <v>4172</v>
      </c>
      <c r="K756" t="s">
        <v>4172</v>
      </c>
    </row>
    <row r="757" spans="1:11" x14ac:dyDescent="0.25">
      <c r="A757">
        <v>756</v>
      </c>
      <c r="C757">
        <v>80435166</v>
      </c>
      <c r="D757" t="s">
        <v>2865</v>
      </c>
      <c r="E757" t="s">
        <v>4172</v>
      </c>
      <c r="F757" t="s">
        <v>2867</v>
      </c>
      <c r="G757" t="s">
        <v>143</v>
      </c>
      <c r="H757" t="s">
        <v>2705</v>
      </c>
      <c r="I757" t="s">
        <v>4172</v>
      </c>
      <c r="J757" t="s">
        <v>4172</v>
      </c>
      <c r="K757" t="s">
        <v>4172</v>
      </c>
    </row>
    <row r="758" spans="1:11" x14ac:dyDescent="0.25">
      <c r="A758">
        <v>757</v>
      </c>
      <c r="C758">
        <v>79486385</v>
      </c>
      <c r="D758" t="s">
        <v>2868</v>
      </c>
      <c r="E758" t="s">
        <v>2872</v>
      </c>
      <c r="F758" t="s">
        <v>2868</v>
      </c>
      <c r="G758" t="s">
        <v>143</v>
      </c>
      <c r="H758" t="s">
        <v>2873</v>
      </c>
      <c r="I758" t="s">
        <v>4172</v>
      </c>
      <c r="J758" t="s">
        <v>4172</v>
      </c>
      <c r="K758" t="s">
        <v>4172</v>
      </c>
    </row>
    <row r="759" spans="1:11" x14ac:dyDescent="0.25">
      <c r="A759">
        <v>758</v>
      </c>
      <c r="D759" t="s">
        <v>2874</v>
      </c>
      <c r="E759" t="s">
        <v>4172</v>
      </c>
      <c r="F759" t="s">
        <v>2875</v>
      </c>
      <c r="G759" t="s">
        <v>143</v>
      </c>
      <c r="H759" t="s">
        <v>1082</v>
      </c>
      <c r="I759" t="s">
        <v>2728</v>
      </c>
      <c r="J759" t="s">
        <v>2752</v>
      </c>
      <c r="K759" t="s">
        <v>2737</v>
      </c>
    </row>
    <row r="760" spans="1:11" x14ac:dyDescent="0.25">
      <c r="A760">
        <v>759</v>
      </c>
      <c r="C760">
        <v>18938959</v>
      </c>
      <c r="D760" t="s">
        <v>2876</v>
      </c>
      <c r="E760" t="s">
        <v>4172</v>
      </c>
      <c r="F760" t="s">
        <v>2876</v>
      </c>
      <c r="G760" t="s">
        <v>143</v>
      </c>
      <c r="H760" t="s">
        <v>2705</v>
      </c>
      <c r="I760" t="s">
        <v>2736</v>
      </c>
      <c r="J760" t="s">
        <v>4172</v>
      </c>
      <c r="K760" t="s">
        <v>4172</v>
      </c>
    </row>
    <row r="761" spans="1:11" x14ac:dyDescent="0.25">
      <c r="A761">
        <v>760</v>
      </c>
      <c r="C761">
        <v>98325878</v>
      </c>
      <c r="D761" t="s">
        <v>2879</v>
      </c>
      <c r="E761" t="s">
        <v>4172</v>
      </c>
      <c r="F761" t="s">
        <v>4172</v>
      </c>
      <c r="G761" t="s">
        <v>143</v>
      </c>
      <c r="H761" t="s">
        <v>2881</v>
      </c>
      <c r="I761" t="s">
        <v>4172</v>
      </c>
      <c r="J761" t="s">
        <v>4172</v>
      </c>
      <c r="K761" t="s">
        <v>4172</v>
      </c>
    </row>
    <row r="762" spans="1:11" x14ac:dyDescent="0.25">
      <c r="A762">
        <v>761</v>
      </c>
      <c r="C762">
        <v>52440521</v>
      </c>
      <c r="D762" t="s">
        <v>2882</v>
      </c>
      <c r="E762" t="s">
        <v>4172</v>
      </c>
      <c r="F762" t="s">
        <v>4172</v>
      </c>
      <c r="G762" t="s">
        <v>143</v>
      </c>
      <c r="H762" t="s">
        <v>2705</v>
      </c>
      <c r="I762" t="s">
        <v>1949</v>
      </c>
      <c r="J762" t="s">
        <v>2729</v>
      </c>
      <c r="K762" t="s">
        <v>4172</v>
      </c>
    </row>
    <row r="763" spans="1:11" x14ac:dyDescent="0.25">
      <c r="A763">
        <v>762</v>
      </c>
      <c r="C763">
        <v>19250465</v>
      </c>
      <c r="D763" t="s">
        <v>2884</v>
      </c>
      <c r="E763" t="s">
        <v>4172</v>
      </c>
      <c r="F763" t="s">
        <v>4172</v>
      </c>
      <c r="G763" t="s">
        <v>143</v>
      </c>
      <c r="H763" t="s">
        <v>2705</v>
      </c>
      <c r="I763" t="s">
        <v>4172</v>
      </c>
      <c r="J763" t="s">
        <v>4172</v>
      </c>
      <c r="K763" t="s">
        <v>4172</v>
      </c>
    </row>
    <row r="764" spans="1:11" x14ac:dyDescent="0.25">
      <c r="A764">
        <v>763</v>
      </c>
      <c r="C764">
        <v>79857385</v>
      </c>
      <c r="D764" t="s">
        <v>2421</v>
      </c>
      <c r="E764" t="s">
        <v>2423</v>
      </c>
      <c r="F764" t="s">
        <v>2421</v>
      </c>
      <c r="G764" t="s">
        <v>143</v>
      </c>
      <c r="H764" t="s">
        <v>781</v>
      </c>
      <c r="I764" t="s">
        <v>4172</v>
      </c>
      <c r="J764" t="s">
        <v>4172</v>
      </c>
      <c r="K764" t="s">
        <v>4172</v>
      </c>
    </row>
    <row r="765" spans="1:11" x14ac:dyDescent="0.25">
      <c r="A765">
        <v>764</v>
      </c>
      <c r="C765">
        <v>3157400410</v>
      </c>
      <c r="D765" t="s">
        <v>2886</v>
      </c>
      <c r="E765" t="s">
        <v>4172</v>
      </c>
      <c r="F765" t="s">
        <v>4172</v>
      </c>
      <c r="G765" t="s">
        <v>143</v>
      </c>
      <c r="H765" t="s">
        <v>2607</v>
      </c>
      <c r="I765" t="s">
        <v>4172</v>
      </c>
      <c r="J765" t="s">
        <v>4172</v>
      </c>
      <c r="K765" t="s">
        <v>4172</v>
      </c>
    </row>
    <row r="766" spans="1:11" x14ac:dyDescent="0.25">
      <c r="A766">
        <v>765</v>
      </c>
      <c r="C766">
        <v>82393321</v>
      </c>
      <c r="D766" t="s">
        <v>2889</v>
      </c>
      <c r="E766" t="s">
        <v>2891</v>
      </c>
      <c r="F766" t="s">
        <v>2890</v>
      </c>
      <c r="G766" t="s">
        <v>143</v>
      </c>
      <c r="H766" t="s">
        <v>2384</v>
      </c>
      <c r="I766" t="s">
        <v>978</v>
      </c>
      <c r="J766" t="s">
        <v>4172</v>
      </c>
      <c r="K766" t="s">
        <v>4172</v>
      </c>
    </row>
    <row r="767" spans="1:11" x14ac:dyDescent="0.25">
      <c r="A767">
        <v>766</v>
      </c>
      <c r="C767">
        <v>52775469</v>
      </c>
      <c r="D767" t="s">
        <v>2892</v>
      </c>
      <c r="E767" t="s">
        <v>4172</v>
      </c>
      <c r="F767" t="s">
        <v>4172</v>
      </c>
      <c r="G767" t="s">
        <v>143</v>
      </c>
      <c r="H767" t="s">
        <v>2750</v>
      </c>
      <c r="I767" t="s">
        <v>978</v>
      </c>
      <c r="J767" t="s">
        <v>2895</v>
      </c>
      <c r="K767" t="s">
        <v>2856</v>
      </c>
    </row>
    <row r="768" spans="1:11" x14ac:dyDescent="0.25">
      <c r="A768">
        <v>767</v>
      </c>
      <c r="C768">
        <v>19421625</v>
      </c>
      <c r="D768" t="s">
        <v>2896</v>
      </c>
      <c r="E768" t="s">
        <v>4172</v>
      </c>
      <c r="F768" t="s">
        <v>4172</v>
      </c>
      <c r="G768" t="s">
        <v>143</v>
      </c>
      <c r="H768" t="s">
        <v>1143</v>
      </c>
      <c r="I768" t="s">
        <v>4172</v>
      </c>
      <c r="J768" t="s">
        <v>4172</v>
      </c>
      <c r="K768" t="s">
        <v>4172</v>
      </c>
    </row>
    <row r="769" spans="1:11" x14ac:dyDescent="0.25">
      <c r="A769">
        <v>768</v>
      </c>
      <c r="C769">
        <v>80438905</v>
      </c>
      <c r="D769" t="s">
        <v>2898</v>
      </c>
      <c r="E769" t="s">
        <v>4172</v>
      </c>
      <c r="F769" t="s">
        <v>4172</v>
      </c>
      <c r="G769" t="s">
        <v>143</v>
      </c>
      <c r="H769" t="s">
        <v>4172</v>
      </c>
      <c r="I769" t="s">
        <v>4172</v>
      </c>
      <c r="J769" t="s">
        <v>4172</v>
      </c>
      <c r="K769" t="s">
        <v>4172</v>
      </c>
    </row>
    <row r="770" spans="1:11" x14ac:dyDescent="0.25">
      <c r="A770">
        <v>769</v>
      </c>
      <c r="C770">
        <v>1110494662</v>
      </c>
      <c r="D770" t="s">
        <v>2901</v>
      </c>
      <c r="E770" t="s">
        <v>2904</v>
      </c>
      <c r="F770" t="s">
        <v>2903</v>
      </c>
      <c r="G770" t="s">
        <v>143</v>
      </c>
      <c r="H770" t="s">
        <v>2705</v>
      </c>
      <c r="I770" t="s">
        <v>4172</v>
      </c>
      <c r="J770" t="s">
        <v>4172</v>
      </c>
      <c r="K770" t="s">
        <v>4172</v>
      </c>
    </row>
    <row r="771" spans="1:11" x14ac:dyDescent="0.25">
      <c r="A771">
        <v>770</v>
      </c>
      <c r="C771">
        <v>18598322</v>
      </c>
      <c r="D771" t="s">
        <v>2905</v>
      </c>
      <c r="E771" t="s">
        <v>2909</v>
      </c>
      <c r="F771" t="s">
        <v>2908</v>
      </c>
      <c r="G771" t="s">
        <v>143</v>
      </c>
      <c r="H771" t="s">
        <v>2910</v>
      </c>
      <c r="I771" t="s">
        <v>2855</v>
      </c>
      <c r="J771" t="s">
        <v>4172</v>
      </c>
      <c r="K771" t="s">
        <v>2737</v>
      </c>
    </row>
    <row r="772" spans="1:11" x14ac:dyDescent="0.25">
      <c r="A772">
        <v>771</v>
      </c>
      <c r="C772">
        <v>80365983</v>
      </c>
      <c r="D772" t="s">
        <v>2911</v>
      </c>
      <c r="E772" t="s">
        <v>4172</v>
      </c>
      <c r="F772" t="s">
        <v>4172</v>
      </c>
      <c r="G772" t="s">
        <v>143</v>
      </c>
      <c r="H772" t="s">
        <v>4172</v>
      </c>
      <c r="I772" t="s">
        <v>4172</v>
      </c>
      <c r="J772" t="s">
        <v>4172</v>
      </c>
      <c r="K772" t="s">
        <v>4172</v>
      </c>
    </row>
    <row r="773" spans="1:11" x14ac:dyDescent="0.25">
      <c r="A773">
        <v>772</v>
      </c>
      <c r="C773">
        <v>79522256</v>
      </c>
      <c r="D773" t="s">
        <v>2913</v>
      </c>
      <c r="E773" t="s">
        <v>4172</v>
      </c>
      <c r="F773" t="s">
        <v>4172</v>
      </c>
      <c r="G773" t="s">
        <v>143</v>
      </c>
      <c r="H773" t="s">
        <v>2705</v>
      </c>
      <c r="I773" t="s">
        <v>4172</v>
      </c>
      <c r="J773" t="s">
        <v>4172</v>
      </c>
      <c r="K773" t="s">
        <v>4172</v>
      </c>
    </row>
    <row r="774" spans="1:11" x14ac:dyDescent="0.25">
      <c r="A774">
        <v>773</v>
      </c>
      <c r="C774">
        <v>1031147331</v>
      </c>
      <c r="D774" t="s">
        <v>2915</v>
      </c>
      <c r="E774" t="s">
        <v>4172</v>
      </c>
      <c r="F774" t="s">
        <v>4172</v>
      </c>
      <c r="G774" t="s">
        <v>143</v>
      </c>
      <c r="H774" t="s">
        <v>978</v>
      </c>
      <c r="I774" t="s">
        <v>4172</v>
      </c>
      <c r="J774" t="s">
        <v>4172</v>
      </c>
      <c r="K774" t="s">
        <v>4172</v>
      </c>
    </row>
    <row r="775" spans="1:11" x14ac:dyDescent="0.25">
      <c r="A775">
        <v>774</v>
      </c>
      <c r="C775">
        <v>80236721</v>
      </c>
      <c r="D775" t="s">
        <v>2917</v>
      </c>
      <c r="E775" t="s">
        <v>4172</v>
      </c>
      <c r="F775" t="s">
        <v>4172</v>
      </c>
      <c r="G775" t="s">
        <v>143</v>
      </c>
      <c r="H775" t="s">
        <v>2705</v>
      </c>
      <c r="I775" t="s">
        <v>2728</v>
      </c>
      <c r="J775" t="s">
        <v>2729</v>
      </c>
      <c r="K775" t="s">
        <v>4172</v>
      </c>
    </row>
    <row r="776" spans="1:11" x14ac:dyDescent="0.25">
      <c r="A776">
        <v>775</v>
      </c>
      <c r="C776">
        <v>5947147</v>
      </c>
      <c r="D776" t="s">
        <v>2920</v>
      </c>
      <c r="E776" t="s">
        <v>2923</v>
      </c>
      <c r="F776" t="s">
        <v>2922</v>
      </c>
      <c r="G776" t="s">
        <v>143</v>
      </c>
      <c r="H776" t="s">
        <v>184</v>
      </c>
      <c r="I776" t="s">
        <v>4172</v>
      </c>
      <c r="J776" t="s">
        <v>4172</v>
      </c>
      <c r="K776" t="s">
        <v>4172</v>
      </c>
    </row>
    <row r="777" spans="1:11" x14ac:dyDescent="0.25">
      <c r="A777">
        <v>776</v>
      </c>
      <c r="C777">
        <v>79883326</v>
      </c>
      <c r="D777" t="s">
        <v>2924</v>
      </c>
      <c r="E777" t="s">
        <v>2927</v>
      </c>
      <c r="F777" t="s">
        <v>2926</v>
      </c>
      <c r="G777" t="s">
        <v>143</v>
      </c>
      <c r="H777" t="s">
        <v>2384</v>
      </c>
      <c r="I777" t="s">
        <v>978</v>
      </c>
      <c r="J777" t="s">
        <v>4172</v>
      </c>
      <c r="K777" t="s">
        <v>4172</v>
      </c>
    </row>
    <row r="778" spans="1:11" x14ac:dyDescent="0.25">
      <c r="A778">
        <v>777</v>
      </c>
      <c r="D778" t="s">
        <v>2007</v>
      </c>
      <c r="E778" t="s">
        <v>2928</v>
      </c>
      <c r="F778" t="s">
        <v>2007</v>
      </c>
      <c r="G778" t="s">
        <v>143</v>
      </c>
      <c r="H778" t="s">
        <v>2929</v>
      </c>
      <c r="I778" t="s">
        <v>4172</v>
      </c>
      <c r="J778" t="s">
        <v>4172</v>
      </c>
      <c r="K778" t="s">
        <v>4172</v>
      </c>
    </row>
    <row r="779" spans="1:11" x14ac:dyDescent="0.25">
      <c r="A779">
        <v>778</v>
      </c>
      <c r="C779">
        <v>79607138</v>
      </c>
      <c r="D779" t="s">
        <v>2930</v>
      </c>
      <c r="E779" t="s">
        <v>4172</v>
      </c>
      <c r="F779" t="s">
        <v>2932</v>
      </c>
      <c r="G779" t="s">
        <v>89</v>
      </c>
      <c r="H779" t="s">
        <v>2705</v>
      </c>
      <c r="I779" t="s">
        <v>4172</v>
      </c>
      <c r="J779" t="s">
        <v>4172</v>
      </c>
      <c r="K779" t="s">
        <v>4172</v>
      </c>
    </row>
    <row r="780" spans="1:11" x14ac:dyDescent="0.25">
      <c r="A780">
        <v>779</v>
      </c>
      <c r="C780">
        <v>0</v>
      </c>
      <c r="D780" t="s">
        <v>2933</v>
      </c>
      <c r="E780" t="s">
        <v>4172</v>
      </c>
      <c r="F780" t="s">
        <v>4172</v>
      </c>
      <c r="G780" t="s">
        <v>143</v>
      </c>
      <c r="H780" t="s">
        <v>4172</v>
      </c>
      <c r="K780" t="s">
        <v>4172</v>
      </c>
    </row>
    <row r="781" spans="1:11" x14ac:dyDescent="0.25">
      <c r="A781">
        <v>780</v>
      </c>
      <c r="C781">
        <v>80236440</v>
      </c>
      <c r="D781" t="s">
        <v>2935</v>
      </c>
      <c r="E781" t="s">
        <v>2938</v>
      </c>
      <c r="F781" t="s">
        <v>2937</v>
      </c>
      <c r="G781" t="s">
        <v>143</v>
      </c>
      <c r="H781" t="s">
        <v>2750</v>
      </c>
      <c r="I781" t="s">
        <v>4172</v>
      </c>
      <c r="J781" t="s">
        <v>4172</v>
      </c>
      <c r="K781" t="s">
        <v>4172</v>
      </c>
    </row>
    <row r="782" spans="1:11" x14ac:dyDescent="0.25">
      <c r="A782">
        <v>781</v>
      </c>
      <c r="C782">
        <v>79398701</v>
      </c>
      <c r="D782" t="s">
        <v>2939</v>
      </c>
      <c r="E782" t="s">
        <v>2943</v>
      </c>
      <c r="F782" t="s">
        <v>2942</v>
      </c>
      <c r="G782" t="s">
        <v>143</v>
      </c>
      <c r="H782" t="s">
        <v>2944</v>
      </c>
      <c r="I782" t="s">
        <v>4172</v>
      </c>
      <c r="J782" t="s">
        <v>4172</v>
      </c>
      <c r="K782" t="s">
        <v>4172</v>
      </c>
    </row>
    <row r="783" spans="1:11" x14ac:dyDescent="0.25">
      <c r="A783">
        <v>782</v>
      </c>
      <c r="C783">
        <v>51566234</v>
      </c>
      <c r="D783" t="s">
        <v>2945</v>
      </c>
      <c r="E783" t="s">
        <v>2948</v>
      </c>
      <c r="F783" t="s">
        <v>2947</v>
      </c>
      <c r="G783" t="s">
        <v>89</v>
      </c>
      <c r="H783" t="s">
        <v>2438</v>
      </c>
      <c r="I783" t="s">
        <v>4172</v>
      </c>
      <c r="J783" t="s">
        <v>4172</v>
      </c>
      <c r="K783" t="s">
        <v>4172</v>
      </c>
    </row>
    <row r="784" spans="1:11" x14ac:dyDescent="0.25">
      <c r="A784">
        <v>783</v>
      </c>
      <c r="C784">
        <v>52180112</v>
      </c>
      <c r="D784" t="s">
        <v>2949</v>
      </c>
      <c r="E784" t="s">
        <v>4172</v>
      </c>
      <c r="F784" t="s">
        <v>2949</v>
      </c>
      <c r="G784" t="s">
        <v>143</v>
      </c>
      <c r="H784" t="s">
        <v>4172</v>
      </c>
      <c r="I784" t="s">
        <v>4172</v>
      </c>
      <c r="J784" t="s">
        <v>4172</v>
      </c>
      <c r="K784" t="s">
        <v>4172</v>
      </c>
    </row>
    <row r="785" spans="1:11" x14ac:dyDescent="0.25">
      <c r="A785">
        <v>784</v>
      </c>
      <c r="C785">
        <v>19385698</v>
      </c>
      <c r="D785" t="s">
        <v>2952</v>
      </c>
      <c r="E785" t="s">
        <v>4172</v>
      </c>
      <c r="F785" t="s">
        <v>4172</v>
      </c>
      <c r="G785" t="s">
        <v>143</v>
      </c>
      <c r="H785" t="s">
        <v>2384</v>
      </c>
      <c r="I785" t="s">
        <v>2956</v>
      </c>
      <c r="J785" t="s">
        <v>4172</v>
      </c>
      <c r="K785" t="s">
        <v>4172</v>
      </c>
    </row>
    <row r="786" spans="1:11" x14ac:dyDescent="0.25">
      <c r="A786">
        <v>785</v>
      </c>
      <c r="C786">
        <v>900657904</v>
      </c>
      <c r="D786" t="s">
        <v>2957</v>
      </c>
      <c r="E786" t="s">
        <v>2961</v>
      </c>
      <c r="F786" t="s">
        <v>2960</v>
      </c>
      <c r="G786" t="s">
        <v>143</v>
      </c>
      <c r="H786" t="s">
        <v>2962</v>
      </c>
      <c r="I786" t="s">
        <v>4172</v>
      </c>
      <c r="J786" t="s">
        <v>4172</v>
      </c>
      <c r="K786" t="s">
        <v>4172</v>
      </c>
    </row>
    <row r="787" spans="1:11" x14ac:dyDescent="0.25">
      <c r="A787">
        <v>786</v>
      </c>
      <c r="C787">
        <v>1024511694</v>
      </c>
      <c r="D787" t="s">
        <v>2963</v>
      </c>
      <c r="E787" t="s">
        <v>4172</v>
      </c>
      <c r="F787" t="s">
        <v>4172</v>
      </c>
      <c r="G787" t="s">
        <v>143</v>
      </c>
      <c r="H787" t="s">
        <v>2438</v>
      </c>
      <c r="I787" t="s">
        <v>4172</v>
      </c>
      <c r="J787" t="s">
        <v>4172</v>
      </c>
      <c r="K787" t="s">
        <v>4172</v>
      </c>
    </row>
    <row r="788" spans="1:11" x14ac:dyDescent="0.25">
      <c r="A788">
        <v>787</v>
      </c>
      <c r="C788">
        <v>19493522</v>
      </c>
      <c r="D788" t="s">
        <v>2966</v>
      </c>
      <c r="E788" t="s">
        <v>2969</v>
      </c>
      <c r="F788" t="s">
        <v>2968</v>
      </c>
      <c r="G788" t="s">
        <v>143</v>
      </c>
      <c r="H788" t="s">
        <v>2970</v>
      </c>
      <c r="I788" t="s">
        <v>4172</v>
      </c>
      <c r="J788" t="s">
        <v>4172</v>
      </c>
      <c r="K788" t="s">
        <v>4172</v>
      </c>
    </row>
    <row r="789" spans="1:11" x14ac:dyDescent="0.25">
      <c r="A789">
        <v>788</v>
      </c>
      <c r="C789">
        <v>39704540</v>
      </c>
      <c r="D789" t="s">
        <v>2971</v>
      </c>
      <c r="E789" t="s">
        <v>4172</v>
      </c>
      <c r="F789" t="s">
        <v>4172</v>
      </c>
      <c r="G789" t="s">
        <v>143</v>
      </c>
      <c r="H789" t="s">
        <v>2705</v>
      </c>
      <c r="I789" t="s">
        <v>4172</v>
      </c>
      <c r="J789" t="s">
        <v>4172</v>
      </c>
      <c r="K789" t="s">
        <v>4172</v>
      </c>
    </row>
    <row r="790" spans="1:11" x14ac:dyDescent="0.25">
      <c r="A790">
        <v>789</v>
      </c>
      <c r="C790">
        <v>74281379</v>
      </c>
      <c r="D790" t="s">
        <v>2972</v>
      </c>
      <c r="E790" t="s">
        <v>2975</v>
      </c>
      <c r="F790" t="s">
        <v>2974</v>
      </c>
      <c r="G790" t="s">
        <v>143</v>
      </c>
      <c r="H790" t="s">
        <v>2976</v>
      </c>
      <c r="I790" t="s">
        <v>978</v>
      </c>
      <c r="J790" t="s">
        <v>1908</v>
      </c>
      <c r="K790" t="s">
        <v>4172</v>
      </c>
    </row>
    <row r="791" spans="1:11" x14ac:dyDescent="0.25">
      <c r="A791">
        <v>790</v>
      </c>
      <c r="C791">
        <v>1070958789</v>
      </c>
      <c r="D791" t="s">
        <v>2977</v>
      </c>
      <c r="E791" t="s">
        <v>2980</v>
      </c>
      <c r="F791" t="s">
        <v>2977</v>
      </c>
      <c r="G791" t="s">
        <v>143</v>
      </c>
      <c r="H791" t="s">
        <v>2981</v>
      </c>
      <c r="I791" t="s">
        <v>4172</v>
      </c>
      <c r="J791" t="s">
        <v>4172</v>
      </c>
      <c r="K791" t="s">
        <v>4172</v>
      </c>
    </row>
    <row r="792" spans="1:11" x14ac:dyDescent="0.25">
      <c r="A792">
        <v>791</v>
      </c>
      <c r="C792">
        <v>80220802</v>
      </c>
      <c r="D792" t="s">
        <v>2982</v>
      </c>
      <c r="E792" t="s">
        <v>2986</v>
      </c>
      <c r="F792" t="s">
        <v>2985</v>
      </c>
      <c r="G792" t="s">
        <v>143</v>
      </c>
      <c r="H792" t="s">
        <v>4172</v>
      </c>
      <c r="I792" t="s">
        <v>4172</v>
      </c>
      <c r="J792" t="s">
        <v>4172</v>
      </c>
      <c r="K792" t="s">
        <v>4172</v>
      </c>
    </row>
    <row r="793" spans="1:11" x14ac:dyDescent="0.25">
      <c r="A793">
        <v>792</v>
      </c>
      <c r="C793">
        <v>19154753</v>
      </c>
      <c r="D793" t="s">
        <v>2987</v>
      </c>
      <c r="E793" t="s">
        <v>2990</v>
      </c>
      <c r="F793" t="s">
        <v>2989</v>
      </c>
      <c r="G793" t="s">
        <v>143</v>
      </c>
      <c r="H793" t="s">
        <v>2991</v>
      </c>
      <c r="I793" t="s">
        <v>4172</v>
      </c>
      <c r="J793" t="s">
        <v>4172</v>
      </c>
      <c r="K793" t="s">
        <v>4172</v>
      </c>
    </row>
    <row r="794" spans="1:11" x14ac:dyDescent="0.25">
      <c r="A794">
        <v>793</v>
      </c>
      <c r="C794">
        <v>80433811</v>
      </c>
      <c r="D794" t="s">
        <v>2992</v>
      </c>
      <c r="E794" t="s">
        <v>4172</v>
      </c>
      <c r="F794" t="s">
        <v>2994</v>
      </c>
      <c r="G794" t="s">
        <v>143</v>
      </c>
      <c r="H794" t="s">
        <v>2291</v>
      </c>
      <c r="I794" t="s">
        <v>4172</v>
      </c>
      <c r="J794" t="s">
        <v>4172</v>
      </c>
      <c r="K794" t="s">
        <v>4172</v>
      </c>
    </row>
    <row r="795" spans="1:11" x14ac:dyDescent="0.25">
      <c r="A795">
        <v>794</v>
      </c>
      <c r="C795">
        <v>19246476</v>
      </c>
      <c r="D795" t="s">
        <v>2995</v>
      </c>
      <c r="E795" t="s">
        <v>4172</v>
      </c>
      <c r="F795" t="s">
        <v>2996</v>
      </c>
      <c r="G795" t="s">
        <v>143</v>
      </c>
      <c r="H795" t="s">
        <v>1082</v>
      </c>
      <c r="I795" t="s">
        <v>2826</v>
      </c>
      <c r="J795" t="s">
        <v>541</v>
      </c>
      <c r="K795" t="s">
        <v>4172</v>
      </c>
    </row>
    <row r="796" spans="1:11" x14ac:dyDescent="0.25">
      <c r="A796">
        <v>795</v>
      </c>
      <c r="C796">
        <v>19192317</v>
      </c>
      <c r="D796" t="s">
        <v>2997</v>
      </c>
      <c r="E796" t="s">
        <v>2999</v>
      </c>
      <c r="F796" t="s">
        <v>2998</v>
      </c>
      <c r="G796" t="s">
        <v>143</v>
      </c>
      <c r="H796" t="s">
        <v>3000</v>
      </c>
      <c r="I796" t="s">
        <v>4172</v>
      </c>
      <c r="J796" t="s">
        <v>4172</v>
      </c>
      <c r="K796" t="s">
        <v>4172</v>
      </c>
    </row>
    <row r="797" spans="1:11" x14ac:dyDescent="0.25">
      <c r="A797">
        <v>796</v>
      </c>
      <c r="C797">
        <v>71618796</v>
      </c>
      <c r="D797" t="s">
        <v>3001</v>
      </c>
      <c r="E797" t="s">
        <v>4172</v>
      </c>
      <c r="F797" t="s">
        <v>4172</v>
      </c>
      <c r="G797" t="s">
        <v>143</v>
      </c>
      <c r="H797" t="s">
        <v>1949</v>
      </c>
      <c r="I797" t="s">
        <v>1949</v>
      </c>
      <c r="J797" t="s">
        <v>184</v>
      </c>
      <c r="K797" t="s">
        <v>4172</v>
      </c>
    </row>
    <row r="798" spans="1:11" x14ac:dyDescent="0.25">
      <c r="A798">
        <v>797</v>
      </c>
      <c r="C798">
        <v>1033791527</v>
      </c>
      <c r="D798" t="s">
        <v>3003</v>
      </c>
      <c r="E798" t="s">
        <v>4172</v>
      </c>
      <c r="F798" t="s">
        <v>3006</v>
      </c>
      <c r="G798" t="s">
        <v>89</v>
      </c>
      <c r="H798" t="s">
        <v>2283</v>
      </c>
      <c r="K798" t="s">
        <v>4172</v>
      </c>
    </row>
    <row r="799" spans="1:11" x14ac:dyDescent="0.25">
      <c r="A799">
        <v>798</v>
      </c>
      <c r="C799">
        <v>79470349</v>
      </c>
      <c r="D799" t="s">
        <v>3007</v>
      </c>
      <c r="E799" t="s">
        <v>3010</v>
      </c>
      <c r="F799" t="s">
        <v>3009</v>
      </c>
      <c r="G799" t="s">
        <v>143</v>
      </c>
      <c r="H799" t="s">
        <v>2860</v>
      </c>
      <c r="I799" t="s">
        <v>2826</v>
      </c>
      <c r="J799" t="s">
        <v>3011</v>
      </c>
      <c r="K799" t="s">
        <v>4172</v>
      </c>
    </row>
    <row r="800" spans="1:11" x14ac:dyDescent="0.25">
      <c r="A800">
        <v>799</v>
      </c>
      <c r="C800">
        <v>93287520</v>
      </c>
      <c r="D800" t="s">
        <v>3012</v>
      </c>
      <c r="E800" t="s">
        <v>4172</v>
      </c>
      <c r="F800" t="s">
        <v>4172</v>
      </c>
      <c r="G800" t="s">
        <v>143</v>
      </c>
      <c r="H800" t="s">
        <v>2705</v>
      </c>
      <c r="I800" t="s">
        <v>4172</v>
      </c>
      <c r="J800" t="s">
        <v>4172</v>
      </c>
      <c r="K800" t="s">
        <v>4172</v>
      </c>
    </row>
    <row r="801" spans="1:11" x14ac:dyDescent="0.25">
      <c r="A801">
        <v>800</v>
      </c>
      <c r="C801">
        <v>79213222</v>
      </c>
      <c r="D801" t="s">
        <v>3014</v>
      </c>
      <c r="E801" t="s">
        <v>4172</v>
      </c>
      <c r="F801" t="s">
        <v>4172</v>
      </c>
      <c r="G801" t="s">
        <v>143</v>
      </c>
      <c r="H801" t="s">
        <v>4172</v>
      </c>
      <c r="I801" t="s">
        <v>4172</v>
      </c>
      <c r="J801" t="s">
        <v>4172</v>
      </c>
      <c r="K801" t="s">
        <v>4172</v>
      </c>
    </row>
    <row r="802" spans="1:11" x14ac:dyDescent="0.25">
      <c r="A802">
        <v>801</v>
      </c>
      <c r="C802">
        <v>1004441716</v>
      </c>
      <c r="D802" t="s">
        <v>3015</v>
      </c>
      <c r="E802" t="s">
        <v>4172</v>
      </c>
      <c r="F802" t="s">
        <v>4172</v>
      </c>
      <c r="G802" t="s">
        <v>143</v>
      </c>
      <c r="H802" t="s">
        <v>2120</v>
      </c>
      <c r="I802" t="s">
        <v>4172</v>
      </c>
      <c r="J802" t="s">
        <v>4172</v>
      </c>
      <c r="K802" t="s">
        <v>4172</v>
      </c>
    </row>
    <row r="803" spans="1:11" x14ac:dyDescent="0.25">
      <c r="A803">
        <v>802</v>
      </c>
      <c r="C803">
        <v>0</v>
      </c>
      <c r="D803" t="s">
        <v>3017</v>
      </c>
      <c r="E803" t="s">
        <v>4172</v>
      </c>
      <c r="F803" t="s">
        <v>3019</v>
      </c>
      <c r="G803" t="s">
        <v>89</v>
      </c>
      <c r="H803" t="s">
        <v>256</v>
      </c>
      <c r="I803" t="s">
        <v>4172</v>
      </c>
      <c r="J803" t="s">
        <v>4172</v>
      </c>
      <c r="K803" t="s">
        <v>4172</v>
      </c>
    </row>
    <row r="804" spans="1:11" x14ac:dyDescent="0.25">
      <c r="A804">
        <v>803</v>
      </c>
      <c r="D804" t="s">
        <v>3020</v>
      </c>
      <c r="E804" t="s">
        <v>4172</v>
      </c>
      <c r="F804" t="s">
        <v>4172</v>
      </c>
      <c r="G804" t="s">
        <v>143</v>
      </c>
      <c r="H804" t="s">
        <v>4172</v>
      </c>
      <c r="I804" t="s">
        <v>4172</v>
      </c>
      <c r="J804" t="s">
        <v>4172</v>
      </c>
      <c r="K804" t="s">
        <v>4172</v>
      </c>
    </row>
    <row r="805" spans="1:11" x14ac:dyDescent="0.25">
      <c r="A805">
        <v>804</v>
      </c>
      <c r="C805">
        <v>0</v>
      </c>
      <c r="D805" t="s">
        <v>3021</v>
      </c>
      <c r="E805" t="s">
        <v>4172</v>
      </c>
      <c r="F805" t="s">
        <v>4172</v>
      </c>
      <c r="G805" t="s">
        <v>143</v>
      </c>
      <c r="H805" t="s">
        <v>4172</v>
      </c>
      <c r="I805" t="s">
        <v>4172</v>
      </c>
      <c r="J805" t="s">
        <v>4172</v>
      </c>
      <c r="K805" t="s">
        <v>4172</v>
      </c>
    </row>
    <row r="806" spans="1:11" x14ac:dyDescent="0.25">
      <c r="A806">
        <v>805</v>
      </c>
      <c r="C806">
        <v>0</v>
      </c>
      <c r="D806" t="s">
        <v>3023</v>
      </c>
      <c r="E806" t="s">
        <v>4172</v>
      </c>
      <c r="F806" t="s">
        <v>4172</v>
      </c>
      <c r="G806" t="s">
        <v>89</v>
      </c>
      <c r="H806" t="s">
        <v>4172</v>
      </c>
      <c r="I806" t="s">
        <v>4172</v>
      </c>
      <c r="J806" t="s">
        <v>4172</v>
      </c>
      <c r="K806" t="s">
        <v>4172</v>
      </c>
    </row>
    <row r="807" spans="1:11" x14ac:dyDescent="0.25">
      <c r="A807">
        <v>806</v>
      </c>
      <c r="C807">
        <v>0</v>
      </c>
      <c r="D807" t="s">
        <v>3024</v>
      </c>
      <c r="E807" t="s">
        <v>4172</v>
      </c>
      <c r="F807" t="s">
        <v>4172</v>
      </c>
      <c r="G807" t="s">
        <v>143</v>
      </c>
      <c r="H807" t="s">
        <v>4172</v>
      </c>
      <c r="I807" t="s">
        <v>4172</v>
      </c>
      <c r="J807" t="s">
        <v>4172</v>
      </c>
      <c r="K807" t="s">
        <v>4172</v>
      </c>
    </row>
    <row r="808" spans="1:11" x14ac:dyDescent="0.25">
      <c r="A808">
        <v>807</v>
      </c>
      <c r="C808">
        <v>0</v>
      </c>
      <c r="D808" t="s">
        <v>3025</v>
      </c>
      <c r="E808" t="s">
        <v>4172</v>
      </c>
      <c r="F808" t="s">
        <v>4172</v>
      </c>
      <c r="G808" t="s">
        <v>143</v>
      </c>
      <c r="H808" t="s">
        <v>4172</v>
      </c>
      <c r="I808" t="s">
        <v>4172</v>
      </c>
      <c r="J808" t="s">
        <v>4172</v>
      </c>
      <c r="K808" t="s">
        <v>4172</v>
      </c>
    </row>
    <row r="809" spans="1:11" x14ac:dyDescent="0.25">
      <c r="A809">
        <v>808</v>
      </c>
      <c r="C809">
        <v>0</v>
      </c>
      <c r="D809" t="s">
        <v>3026</v>
      </c>
      <c r="E809" t="s">
        <v>4172</v>
      </c>
      <c r="F809" t="s">
        <v>4172</v>
      </c>
      <c r="G809" t="s">
        <v>143</v>
      </c>
      <c r="H809" t="s">
        <v>4172</v>
      </c>
      <c r="I809" t="s">
        <v>4172</v>
      </c>
      <c r="J809" t="s">
        <v>4172</v>
      </c>
      <c r="K809" t="s">
        <v>4172</v>
      </c>
    </row>
    <row r="810" spans="1:11" x14ac:dyDescent="0.25">
      <c r="A810">
        <v>809</v>
      </c>
      <c r="D810" t="s">
        <v>3027</v>
      </c>
      <c r="E810" t="s">
        <v>4172</v>
      </c>
      <c r="F810" t="s">
        <v>4172</v>
      </c>
      <c r="G810" t="s">
        <v>143</v>
      </c>
      <c r="H810" t="s">
        <v>4172</v>
      </c>
      <c r="I810" t="s">
        <v>4172</v>
      </c>
      <c r="J810" t="s">
        <v>4172</v>
      </c>
      <c r="K810" t="s">
        <v>4172</v>
      </c>
    </row>
    <row r="811" spans="1:11" x14ac:dyDescent="0.25">
      <c r="A811">
        <v>810</v>
      </c>
      <c r="D811" t="s">
        <v>3028</v>
      </c>
      <c r="E811" t="s">
        <v>4172</v>
      </c>
      <c r="F811" t="s">
        <v>4172</v>
      </c>
      <c r="G811" t="s">
        <v>143</v>
      </c>
      <c r="H811" t="s">
        <v>4172</v>
      </c>
      <c r="I811" t="s">
        <v>4172</v>
      </c>
      <c r="J811" t="s">
        <v>4172</v>
      </c>
      <c r="K811" t="s">
        <v>4172</v>
      </c>
    </row>
    <row r="812" spans="1:11" x14ac:dyDescent="0.25">
      <c r="A812">
        <v>811</v>
      </c>
      <c r="D812" t="s">
        <v>3029</v>
      </c>
      <c r="E812" t="s">
        <v>4172</v>
      </c>
      <c r="F812" t="s">
        <v>3031</v>
      </c>
      <c r="G812" t="s">
        <v>143</v>
      </c>
      <c r="H812" t="s">
        <v>4172</v>
      </c>
      <c r="I812" t="s">
        <v>4172</v>
      </c>
      <c r="J812" t="s">
        <v>4172</v>
      </c>
      <c r="K812" t="s">
        <v>4172</v>
      </c>
    </row>
    <row r="813" spans="1:11" x14ac:dyDescent="0.25">
      <c r="A813">
        <v>812</v>
      </c>
      <c r="C813">
        <v>0</v>
      </c>
      <c r="D813" t="s">
        <v>3032</v>
      </c>
      <c r="E813" t="s">
        <v>4172</v>
      </c>
      <c r="F813" t="s">
        <v>4172</v>
      </c>
      <c r="G813" t="s">
        <v>143</v>
      </c>
      <c r="H813" t="s">
        <v>2705</v>
      </c>
      <c r="I813" t="s">
        <v>4172</v>
      </c>
      <c r="J813" t="s">
        <v>4172</v>
      </c>
      <c r="K813" t="s">
        <v>4172</v>
      </c>
    </row>
    <row r="814" spans="1:11" x14ac:dyDescent="0.25">
      <c r="A814">
        <v>813</v>
      </c>
      <c r="D814" t="s">
        <v>3034</v>
      </c>
      <c r="E814" t="s">
        <v>4172</v>
      </c>
      <c r="F814" t="s">
        <v>4172</v>
      </c>
      <c r="G814" t="s">
        <v>89</v>
      </c>
      <c r="H814" t="s">
        <v>4172</v>
      </c>
      <c r="I814" t="s">
        <v>4172</v>
      </c>
      <c r="J814" t="s">
        <v>4172</v>
      </c>
      <c r="K814" t="s">
        <v>4172</v>
      </c>
    </row>
    <row r="815" spans="1:11" x14ac:dyDescent="0.25">
      <c r="A815">
        <v>814</v>
      </c>
      <c r="C815">
        <v>0</v>
      </c>
      <c r="D815" t="s">
        <v>3035</v>
      </c>
      <c r="E815" t="s">
        <v>4172</v>
      </c>
      <c r="F815" t="s">
        <v>4172</v>
      </c>
      <c r="G815" t="s">
        <v>143</v>
      </c>
      <c r="H815" t="s">
        <v>2384</v>
      </c>
      <c r="I815" t="s">
        <v>4172</v>
      </c>
      <c r="J815" t="s">
        <v>4172</v>
      </c>
      <c r="K815" t="s">
        <v>4172</v>
      </c>
    </row>
    <row r="816" spans="1:11" x14ac:dyDescent="0.25">
      <c r="A816">
        <v>815</v>
      </c>
      <c r="D816" t="s">
        <v>3036</v>
      </c>
      <c r="E816" t="s">
        <v>4172</v>
      </c>
      <c r="F816" t="s">
        <v>4172</v>
      </c>
      <c r="G816" t="s">
        <v>143</v>
      </c>
      <c r="H816" t="s">
        <v>2705</v>
      </c>
      <c r="I816" t="s">
        <v>4172</v>
      </c>
      <c r="J816" t="s">
        <v>4172</v>
      </c>
      <c r="K816" t="s">
        <v>3039</v>
      </c>
    </row>
    <row r="817" spans="1:11" x14ac:dyDescent="0.25">
      <c r="A817">
        <v>816</v>
      </c>
      <c r="D817" t="s">
        <v>3040</v>
      </c>
      <c r="E817" t="s">
        <v>4172</v>
      </c>
      <c r="F817" t="s">
        <v>2</v>
      </c>
      <c r="G817" t="s">
        <v>143</v>
      </c>
      <c r="H817" t="s">
        <v>2705</v>
      </c>
      <c r="I817" t="s">
        <v>4172</v>
      </c>
      <c r="J817" t="s">
        <v>4172</v>
      </c>
      <c r="K817" t="s">
        <v>4172</v>
      </c>
    </row>
    <row r="818" spans="1:11" x14ac:dyDescent="0.25">
      <c r="A818">
        <v>817</v>
      </c>
      <c r="D818" t="s">
        <v>3041</v>
      </c>
      <c r="E818" t="s">
        <v>4172</v>
      </c>
      <c r="F818" t="s">
        <v>4172</v>
      </c>
      <c r="G818" t="s">
        <v>4172</v>
      </c>
      <c r="H818" t="s">
        <v>4172</v>
      </c>
      <c r="K818" t="s">
        <v>4172</v>
      </c>
    </row>
    <row r="819" spans="1:11" x14ac:dyDescent="0.25">
      <c r="A819">
        <v>818</v>
      </c>
      <c r="C819">
        <v>0</v>
      </c>
      <c r="D819" t="s">
        <v>3042</v>
      </c>
      <c r="E819" t="s">
        <v>4172</v>
      </c>
      <c r="F819" t="s">
        <v>4172</v>
      </c>
      <c r="G819" t="s">
        <v>143</v>
      </c>
      <c r="H819" t="s">
        <v>4172</v>
      </c>
      <c r="I819" t="s">
        <v>4172</v>
      </c>
      <c r="J819" t="s">
        <v>4172</v>
      </c>
      <c r="K819" t="s">
        <v>4172</v>
      </c>
    </row>
    <row r="820" spans="1:11" x14ac:dyDescent="0.25">
      <c r="A820">
        <v>819</v>
      </c>
      <c r="C820">
        <v>0</v>
      </c>
      <c r="D820" t="s">
        <v>3043</v>
      </c>
      <c r="E820" t="s">
        <v>4172</v>
      </c>
      <c r="F820" t="s">
        <v>4172</v>
      </c>
      <c r="G820" t="s">
        <v>143</v>
      </c>
      <c r="H820" t="s">
        <v>4172</v>
      </c>
      <c r="I820" t="s">
        <v>4172</v>
      </c>
      <c r="J820" t="s">
        <v>4172</v>
      </c>
      <c r="K820" t="s">
        <v>4172</v>
      </c>
    </row>
    <row r="821" spans="1:11" x14ac:dyDescent="0.25">
      <c r="A821">
        <v>820</v>
      </c>
      <c r="C821">
        <v>0</v>
      </c>
      <c r="D821" t="s">
        <v>3044</v>
      </c>
      <c r="E821" t="s">
        <v>4172</v>
      </c>
      <c r="F821" t="s">
        <v>4172</v>
      </c>
      <c r="G821" t="s">
        <v>143</v>
      </c>
      <c r="H821" t="s">
        <v>4172</v>
      </c>
      <c r="I821" t="s">
        <v>4172</v>
      </c>
      <c r="J821" t="s">
        <v>4172</v>
      </c>
      <c r="K821" t="s">
        <v>4172</v>
      </c>
    </row>
    <row r="822" spans="1:11" x14ac:dyDescent="0.25">
      <c r="A822">
        <v>821</v>
      </c>
      <c r="D822" t="s">
        <v>3045</v>
      </c>
      <c r="E822" t="s">
        <v>4172</v>
      </c>
      <c r="F822" t="s">
        <v>4172</v>
      </c>
      <c r="G822" t="s">
        <v>143</v>
      </c>
      <c r="H822" t="s">
        <v>4172</v>
      </c>
      <c r="I822" t="s">
        <v>4172</v>
      </c>
      <c r="J822" t="s">
        <v>4172</v>
      </c>
      <c r="K822" t="s">
        <v>4172</v>
      </c>
    </row>
    <row r="823" spans="1:11" x14ac:dyDescent="0.25">
      <c r="A823">
        <v>822</v>
      </c>
      <c r="C823">
        <v>0</v>
      </c>
      <c r="D823" t="s">
        <v>3046</v>
      </c>
      <c r="E823" t="s">
        <v>4172</v>
      </c>
      <c r="F823" t="s">
        <v>4172</v>
      </c>
      <c r="G823" t="s">
        <v>143</v>
      </c>
      <c r="H823" t="s">
        <v>4172</v>
      </c>
      <c r="I823" t="s">
        <v>4172</v>
      </c>
      <c r="J823" t="s">
        <v>4172</v>
      </c>
      <c r="K823" t="s">
        <v>4172</v>
      </c>
    </row>
    <row r="824" spans="1:11" x14ac:dyDescent="0.25">
      <c r="A824">
        <v>823</v>
      </c>
      <c r="C824">
        <v>0</v>
      </c>
      <c r="D824" t="s">
        <v>3047</v>
      </c>
      <c r="E824" t="s">
        <v>4172</v>
      </c>
      <c r="F824" t="s">
        <v>4172</v>
      </c>
      <c r="G824" t="s">
        <v>143</v>
      </c>
      <c r="H824" t="s">
        <v>4172</v>
      </c>
      <c r="I824" t="s">
        <v>4172</v>
      </c>
      <c r="J824" t="s">
        <v>4172</v>
      </c>
      <c r="K824" t="s">
        <v>4172</v>
      </c>
    </row>
    <row r="825" spans="1:11" x14ac:dyDescent="0.25">
      <c r="A825">
        <v>824</v>
      </c>
      <c r="C825">
        <v>0</v>
      </c>
      <c r="D825" t="s">
        <v>3048</v>
      </c>
      <c r="E825" t="s">
        <v>3050</v>
      </c>
      <c r="F825" t="s">
        <v>3048</v>
      </c>
      <c r="G825" t="s">
        <v>89</v>
      </c>
      <c r="H825" t="s">
        <v>4172</v>
      </c>
      <c r="I825" t="s">
        <v>4172</v>
      </c>
      <c r="J825" t="s">
        <v>4172</v>
      </c>
      <c r="K825" t="s">
        <v>4172</v>
      </c>
    </row>
    <row r="826" spans="1:11" x14ac:dyDescent="0.25">
      <c r="A826">
        <v>825</v>
      </c>
      <c r="C826">
        <v>0</v>
      </c>
      <c r="D826" t="s">
        <v>3051</v>
      </c>
      <c r="E826" t="s">
        <v>4172</v>
      </c>
      <c r="F826" t="s">
        <v>4172</v>
      </c>
      <c r="G826" t="s">
        <v>89</v>
      </c>
      <c r="H826" t="s">
        <v>4172</v>
      </c>
      <c r="I826" t="s">
        <v>4172</v>
      </c>
      <c r="J826" t="s">
        <v>4172</v>
      </c>
      <c r="K826" t="s">
        <v>4172</v>
      </c>
    </row>
    <row r="827" spans="1:11" x14ac:dyDescent="0.25">
      <c r="A827">
        <v>826</v>
      </c>
      <c r="D827" t="s">
        <v>3052</v>
      </c>
      <c r="E827" t="s">
        <v>4172</v>
      </c>
      <c r="F827" t="s">
        <v>4172</v>
      </c>
      <c r="G827" t="s">
        <v>143</v>
      </c>
      <c r="H827" t="s">
        <v>4172</v>
      </c>
      <c r="I827" t="s">
        <v>4172</v>
      </c>
      <c r="J827" t="s">
        <v>4172</v>
      </c>
      <c r="K827" t="s">
        <v>4172</v>
      </c>
    </row>
    <row r="828" spans="1:11" x14ac:dyDescent="0.25">
      <c r="A828">
        <v>827</v>
      </c>
      <c r="C828">
        <v>19318231</v>
      </c>
      <c r="D828" t="s">
        <v>3053</v>
      </c>
      <c r="E828" t="s">
        <v>4172</v>
      </c>
      <c r="F828" t="s">
        <v>4172</v>
      </c>
      <c r="G828" t="s">
        <v>89</v>
      </c>
      <c r="H828" t="s">
        <v>2384</v>
      </c>
      <c r="I828" t="s">
        <v>2751</v>
      </c>
      <c r="J828" t="s">
        <v>3054</v>
      </c>
      <c r="K828" t="s">
        <v>2737</v>
      </c>
    </row>
    <row r="829" spans="1:11" x14ac:dyDescent="0.25">
      <c r="A829">
        <v>828</v>
      </c>
      <c r="D829" t="s">
        <v>3055</v>
      </c>
      <c r="E829" t="s">
        <v>4172</v>
      </c>
      <c r="F829" t="s">
        <v>3056</v>
      </c>
      <c r="G829" t="s">
        <v>143</v>
      </c>
      <c r="H829" t="s">
        <v>4172</v>
      </c>
      <c r="I829" t="s">
        <v>4172</v>
      </c>
      <c r="J829" t="s">
        <v>4172</v>
      </c>
      <c r="K829" t="s">
        <v>4172</v>
      </c>
    </row>
    <row r="830" spans="1:11" x14ac:dyDescent="0.25">
      <c r="A830">
        <v>829</v>
      </c>
      <c r="C830">
        <v>0</v>
      </c>
      <c r="D830" t="s">
        <v>3057</v>
      </c>
      <c r="E830" t="s">
        <v>4172</v>
      </c>
      <c r="F830" t="s">
        <v>4172</v>
      </c>
      <c r="G830" t="s">
        <v>4172</v>
      </c>
      <c r="H830" t="s">
        <v>4172</v>
      </c>
      <c r="I830" t="s">
        <v>4172</v>
      </c>
      <c r="J830" t="s">
        <v>4172</v>
      </c>
      <c r="K830" t="s">
        <v>4172</v>
      </c>
    </row>
    <row r="831" spans="1:11" x14ac:dyDescent="0.25">
      <c r="A831">
        <v>830</v>
      </c>
      <c r="C831">
        <v>0</v>
      </c>
      <c r="D831" t="s">
        <v>3059</v>
      </c>
      <c r="E831" t="s">
        <v>4172</v>
      </c>
      <c r="F831" t="s">
        <v>4172</v>
      </c>
      <c r="G831" t="s">
        <v>143</v>
      </c>
      <c r="H831" t="s">
        <v>4172</v>
      </c>
      <c r="I831" t="s">
        <v>4172</v>
      </c>
      <c r="J831" t="s">
        <v>4172</v>
      </c>
      <c r="K831" t="s">
        <v>4172</v>
      </c>
    </row>
    <row r="832" spans="1:11" x14ac:dyDescent="0.25">
      <c r="A832">
        <v>831</v>
      </c>
      <c r="C832">
        <v>0</v>
      </c>
      <c r="D832" t="s">
        <v>3060</v>
      </c>
      <c r="E832" t="s">
        <v>3063</v>
      </c>
      <c r="F832" t="s">
        <v>3062</v>
      </c>
      <c r="G832" t="s">
        <v>89</v>
      </c>
      <c r="H832" t="s">
        <v>2705</v>
      </c>
      <c r="I832" t="s">
        <v>2736</v>
      </c>
      <c r="J832" t="s">
        <v>4172</v>
      </c>
      <c r="K832" t="s">
        <v>4172</v>
      </c>
    </row>
    <row r="833" spans="1:11" x14ac:dyDescent="0.25">
      <c r="A833">
        <v>832</v>
      </c>
      <c r="C833">
        <v>79053773</v>
      </c>
      <c r="D833" t="s">
        <v>3064</v>
      </c>
      <c r="E833" t="s">
        <v>3067</v>
      </c>
      <c r="F833" t="s">
        <v>3066</v>
      </c>
      <c r="G833" t="s">
        <v>143</v>
      </c>
      <c r="H833" t="s">
        <v>3068</v>
      </c>
      <c r="I833" t="s">
        <v>4172</v>
      </c>
      <c r="J833" t="s">
        <v>4172</v>
      </c>
      <c r="K833" t="s">
        <v>4172</v>
      </c>
    </row>
    <row r="834" spans="1:11" x14ac:dyDescent="0.25">
      <c r="A834">
        <v>833</v>
      </c>
      <c r="D834" t="s">
        <v>3069</v>
      </c>
      <c r="E834" t="s">
        <v>4172</v>
      </c>
      <c r="F834" t="s">
        <v>4172</v>
      </c>
      <c r="G834" t="s">
        <v>143</v>
      </c>
      <c r="H834" t="s">
        <v>2705</v>
      </c>
      <c r="I834" t="s">
        <v>4172</v>
      </c>
      <c r="J834" t="s">
        <v>4172</v>
      </c>
      <c r="K834" t="s">
        <v>4172</v>
      </c>
    </row>
    <row r="835" spans="1:11" x14ac:dyDescent="0.25">
      <c r="A835">
        <v>834</v>
      </c>
      <c r="D835" t="s">
        <v>3070</v>
      </c>
      <c r="E835" t="s">
        <v>4172</v>
      </c>
      <c r="F835" t="s">
        <v>4172</v>
      </c>
      <c r="G835" t="s">
        <v>143</v>
      </c>
      <c r="H835" t="s">
        <v>2705</v>
      </c>
      <c r="I835" t="s">
        <v>4172</v>
      </c>
      <c r="J835" t="s">
        <v>4172</v>
      </c>
      <c r="K835" t="s">
        <v>4172</v>
      </c>
    </row>
    <row r="836" spans="1:11" x14ac:dyDescent="0.25">
      <c r="A836">
        <v>835</v>
      </c>
      <c r="D836" t="s">
        <v>3071</v>
      </c>
      <c r="E836" t="s">
        <v>4172</v>
      </c>
      <c r="F836" t="s">
        <v>4172</v>
      </c>
      <c r="G836" t="s">
        <v>143</v>
      </c>
      <c r="H836" t="s">
        <v>1949</v>
      </c>
      <c r="I836" t="s">
        <v>4172</v>
      </c>
      <c r="J836" t="s">
        <v>4172</v>
      </c>
      <c r="K836" t="s">
        <v>4172</v>
      </c>
    </row>
    <row r="837" spans="1:11" x14ac:dyDescent="0.25">
      <c r="A837">
        <v>836</v>
      </c>
      <c r="D837" t="s">
        <v>3074</v>
      </c>
      <c r="E837" t="s">
        <v>4172</v>
      </c>
      <c r="F837" t="s">
        <v>3073</v>
      </c>
      <c r="G837" t="s">
        <v>89</v>
      </c>
      <c r="H837" t="s">
        <v>2438</v>
      </c>
      <c r="I837" t="s">
        <v>4172</v>
      </c>
      <c r="J837" t="s">
        <v>4172</v>
      </c>
      <c r="K837" t="s">
        <v>4172</v>
      </c>
    </row>
    <row r="838" spans="1:11" x14ac:dyDescent="0.25">
      <c r="A838">
        <v>837</v>
      </c>
      <c r="D838" t="s">
        <v>3075</v>
      </c>
      <c r="E838" t="s">
        <v>4172</v>
      </c>
      <c r="F838" t="s">
        <v>4172</v>
      </c>
      <c r="G838" t="s">
        <v>143</v>
      </c>
      <c r="H838" t="s">
        <v>2705</v>
      </c>
      <c r="I838" t="s">
        <v>4172</v>
      </c>
      <c r="J838" t="s">
        <v>4172</v>
      </c>
      <c r="K838" t="s">
        <v>4172</v>
      </c>
    </row>
    <row r="839" spans="1:11" x14ac:dyDescent="0.25">
      <c r="A839">
        <v>838</v>
      </c>
      <c r="D839" t="s">
        <v>3078</v>
      </c>
      <c r="E839" t="s">
        <v>4172</v>
      </c>
      <c r="F839" t="s">
        <v>4172</v>
      </c>
      <c r="G839" t="s">
        <v>143</v>
      </c>
      <c r="H839" t="s">
        <v>4172</v>
      </c>
      <c r="I839" t="s">
        <v>4172</v>
      </c>
      <c r="J839" t="s">
        <v>4172</v>
      </c>
      <c r="K839" t="s">
        <v>4172</v>
      </c>
    </row>
    <row r="840" spans="1:11" x14ac:dyDescent="0.25">
      <c r="A840">
        <v>839</v>
      </c>
      <c r="C840">
        <v>0</v>
      </c>
      <c r="D840" t="s">
        <v>3080</v>
      </c>
      <c r="E840" t="s">
        <v>4172</v>
      </c>
      <c r="F840" t="s">
        <v>4172</v>
      </c>
      <c r="G840" t="s">
        <v>143</v>
      </c>
      <c r="H840" t="s">
        <v>4172</v>
      </c>
      <c r="I840" t="s">
        <v>4172</v>
      </c>
      <c r="J840" t="s">
        <v>4172</v>
      </c>
      <c r="K840" t="s">
        <v>4172</v>
      </c>
    </row>
    <row r="841" spans="1:11" x14ac:dyDescent="0.25">
      <c r="A841">
        <v>840</v>
      </c>
      <c r="C841">
        <v>0</v>
      </c>
      <c r="D841" t="s">
        <v>3081</v>
      </c>
      <c r="E841" t="s">
        <v>4172</v>
      </c>
      <c r="F841" t="s">
        <v>4172</v>
      </c>
      <c r="G841" t="s">
        <v>143</v>
      </c>
      <c r="H841" t="s">
        <v>3082</v>
      </c>
      <c r="I841" t="s">
        <v>4172</v>
      </c>
      <c r="J841" t="s">
        <v>4172</v>
      </c>
      <c r="K841" t="s">
        <v>4172</v>
      </c>
    </row>
    <row r="842" spans="1:11" x14ac:dyDescent="0.25">
      <c r="A842">
        <v>841</v>
      </c>
      <c r="C842">
        <v>0</v>
      </c>
      <c r="D842" t="s">
        <v>3083</v>
      </c>
      <c r="E842" t="s">
        <v>4172</v>
      </c>
      <c r="F842" t="s">
        <v>4172</v>
      </c>
      <c r="G842" t="s">
        <v>143</v>
      </c>
      <c r="H842" t="s">
        <v>4172</v>
      </c>
      <c r="I842" t="s">
        <v>4172</v>
      </c>
      <c r="J842" t="s">
        <v>4172</v>
      </c>
      <c r="K842" t="s">
        <v>4172</v>
      </c>
    </row>
    <row r="843" spans="1:11" x14ac:dyDescent="0.25">
      <c r="A843">
        <v>842</v>
      </c>
      <c r="C843">
        <v>0</v>
      </c>
      <c r="D843" t="s">
        <v>3084</v>
      </c>
      <c r="E843" t="s">
        <v>4172</v>
      </c>
      <c r="F843" t="s">
        <v>4172</v>
      </c>
      <c r="G843" t="s">
        <v>143</v>
      </c>
      <c r="H843" t="s">
        <v>4172</v>
      </c>
      <c r="I843" t="s">
        <v>4172</v>
      </c>
      <c r="J843" t="s">
        <v>4172</v>
      </c>
      <c r="K843" t="s">
        <v>4172</v>
      </c>
    </row>
    <row r="844" spans="1:11" x14ac:dyDescent="0.25">
      <c r="A844">
        <v>843</v>
      </c>
      <c r="D844" t="s">
        <v>3085</v>
      </c>
      <c r="E844" t="s">
        <v>3087</v>
      </c>
      <c r="F844" t="s">
        <v>3085</v>
      </c>
      <c r="G844" t="s">
        <v>143</v>
      </c>
      <c r="H844" t="s">
        <v>1048</v>
      </c>
      <c r="I844" t="s">
        <v>4172</v>
      </c>
      <c r="J844" t="s">
        <v>4172</v>
      </c>
      <c r="K844" t="s">
        <v>4172</v>
      </c>
    </row>
    <row r="845" spans="1:11" x14ac:dyDescent="0.25">
      <c r="A845">
        <v>844</v>
      </c>
      <c r="C845">
        <v>0</v>
      </c>
      <c r="D845" t="s">
        <v>3088</v>
      </c>
      <c r="E845" t="s">
        <v>4172</v>
      </c>
      <c r="F845" t="s">
        <v>4172</v>
      </c>
      <c r="G845" t="s">
        <v>143</v>
      </c>
      <c r="H845" t="s">
        <v>4172</v>
      </c>
      <c r="I845" t="s">
        <v>4172</v>
      </c>
      <c r="J845" t="s">
        <v>4172</v>
      </c>
      <c r="K845" t="s">
        <v>4172</v>
      </c>
    </row>
    <row r="846" spans="1:11" x14ac:dyDescent="0.25">
      <c r="A846">
        <v>845</v>
      </c>
      <c r="C846">
        <v>0</v>
      </c>
      <c r="D846" t="s">
        <v>3089</v>
      </c>
      <c r="E846" t="s">
        <v>4172</v>
      </c>
      <c r="F846" t="s">
        <v>4172</v>
      </c>
      <c r="G846" t="s">
        <v>143</v>
      </c>
      <c r="H846" t="s">
        <v>4172</v>
      </c>
      <c r="I846" t="s">
        <v>4172</v>
      </c>
      <c r="J846" t="s">
        <v>4172</v>
      </c>
      <c r="K846" t="s">
        <v>4172</v>
      </c>
    </row>
    <row r="847" spans="1:11" x14ac:dyDescent="0.25">
      <c r="A847">
        <v>846</v>
      </c>
      <c r="C847">
        <v>0</v>
      </c>
      <c r="D847" t="s">
        <v>3090</v>
      </c>
      <c r="E847" t="s">
        <v>4172</v>
      </c>
      <c r="F847" t="s">
        <v>4172</v>
      </c>
      <c r="G847" t="s">
        <v>143</v>
      </c>
      <c r="H847" t="s">
        <v>4172</v>
      </c>
      <c r="I847" t="s">
        <v>4172</v>
      </c>
      <c r="J847" t="s">
        <v>4172</v>
      </c>
      <c r="K847" t="s">
        <v>4172</v>
      </c>
    </row>
    <row r="848" spans="1:11" x14ac:dyDescent="0.25">
      <c r="A848">
        <v>847</v>
      </c>
      <c r="C848">
        <v>0</v>
      </c>
      <c r="D848" t="s">
        <v>3091</v>
      </c>
      <c r="E848" t="s">
        <v>4172</v>
      </c>
      <c r="F848" t="s">
        <v>3094</v>
      </c>
      <c r="G848" t="s">
        <v>143</v>
      </c>
      <c r="H848" t="s">
        <v>3095</v>
      </c>
      <c r="I848" t="s">
        <v>4172</v>
      </c>
      <c r="J848" t="s">
        <v>4172</v>
      </c>
      <c r="K848" t="s">
        <v>4172</v>
      </c>
    </row>
    <row r="849" spans="1:11" x14ac:dyDescent="0.25">
      <c r="A849">
        <v>848</v>
      </c>
      <c r="C849">
        <v>0</v>
      </c>
      <c r="D849" t="s">
        <v>3096</v>
      </c>
      <c r="E849" t="s">
        <v>4172</v>
      </c>
      <c r="F849" t="s">
        <v>4172</v>
      </c>
      <c r="G849" t="s">
        <v>143</v>
      </c>
      <c r="H849" t="s">
        <v>4172</v>
      </c>
      <c r="I849" t="s">
        <v>4172</v>
      </c>
      <c r="J849" t="s">
        <v>4172</v>
      </c>
      <c r="K849" t="s">
        <v>4172</v>
      </c>
    </row>
    <row r="850" spans="1:11" x14ac:dyDescent="0.25">
      <c r="A850">
        <v>849</v>
      </c>
      <c r="D850" t="s">
        <v>3097</v>
      </c>
      <c r="E850" t="s">
        <v>4172</v>
      </c>
      <c r="F850" t="s">
        <v>4172</v>
      </c>
      <c r="G850" t="s">
        <v>143</v>
      </c>
      <c r="H850" t="s">
        <v>4172</v>
      </c>
      <c r="I850" t="s">
        <v>4172</v>
      </c>
      <c r="J850" t="s">
        <v>4172</v>
      </c>
      <c r="K850" t="s">
        <v>4172</v>
      </c>
    </row>
    <row r="851" spans="1:11" x14ac:dyDescent="0.25">
      <c r="A851">
        <v>850</v>
      </c>
      <c r="D851" t="s">
        <v>3098</v>
      </c>
      <c r="E851" t="s">
        <v>4172</v>
      </c>
      <c r="F851" t="s">
        <v>3100</v>
      </c>
      <c r="G851" t="s">
        <v>143</v>
      </c>
      <c r="H851" t="s">
        <v>562</v>
      </c>
      <c r="I851" t="s">
        <v>4172</v>
      </c>
      <c r="J851" t="s">
        <v>4172</v>
      </c>
      <c r="K851" t="s">
        <v>4172</v>
      </c>
    </row>
    <row r="852" spans="1:11" x14ac:dyDescent="0.25">
      <c r="A852">
        <v>851</v>
      </c>
      <c r="D852" t="s">
        <v>3101</v>
      </c>
      <c r="E852" t="s">
        <v>4172</v>
      </c>
      <c r="F852" t="s">
        <v>3103</v>
      </c>
      <c r="G852" t="s">
        <v>89</v>
      </c>
      <c r="H852" t="s">
        <v>425</v>
      </c>
      <c r="I852" t="s">
        <v>4172</v>
      </c>
      <c r="J852" t="s">
        <v>4172</v>
      </c>
      <c r="K852" t="s">
        <v>4172</v>
      </c>
    </row>
    <row r="853" spans="1:11" x14ac:dyDescent="0.25">
      <c r="A853">
        <v>852</v>
      </c>
      <c r="D853" t="s">
        <v>3104</v>
      </c>
      <c r="E853" t="s">
        <v>4172</v>
      </c>
      <c r="F853" t="s">
        <v>4172</v>
      </c>
      <c r="G853" t="s">
        <v>143</v>
      </c>
      <c r="H853" t="s">
        <v>4172</v>
      </c>
      <c r="I853" t="s">
        <v>4172</v>
      </c>
      <c r="J853" t="s">
        <v>4172</v>
      </c>
      <c r="K853" t="s">
        <v>4172</v>
      </c>
    </row>
    <row r="854" spans="1:11" x14ac:dyDescent="0.25">
      <c r="A854">
        <v>853</v>
      </c>
      <c r="C854">
        <v>900455800</v>
      </c>
      <c r="D854" t="s">
        <v>3106</v>
      </c>
      <c r="E854" t="s">
        <v>3109</v>
      </c>
      <c r="F854" t="s">
        <v>3108</v>
      </c>
      <c r="G854" t="s">
        <v>143</v>
      </c>
      <c r="H854" t="s">
        <v>978</v>
      </c>
      <c r="I854" t="s">
        <v>4172</v>
      </c>
      <c r="J854" t="s">
        <v>4172</v>
      </c>
      <c r="K854" t="s">
        <v>4172</v>
      </c>
    </row>
    <row r="855" spans="1:11" x14ac:dyDescent="0.25">
      <c r="A855">
        <v>854</v>
      </c>
      <c r="C855">
        <v>0</v>
      </c>
      <c r="D855" t="s">
        <v>3110</v>
      </c>
      <c r="E855" t="s">
        <v>4172</v>
      </c>
      <c r="F855" t="s">
        <v>147</v>
      </c>
      <c r="G855" t="s">
        <v>143</v>
      </c>
      <c r="H855" t="s">
        <v>4172</v>
      </c>
      <c r="I855" t="s">
        <v>4172</v>
      </c>
      <c r="J855" t="s">
        <v>4172</v>
      </c>
      <c r="K855" t="s">
        <v>4172</v>
      </c>
    </row>
    <row r="856" spans="1:11" x14ac:dyDescent="0.25">
      <c r="A856">
        <v>855</v>
      </c>
      <c r="C856">
        <v>39799511</v>
      </c>
      <c r="D856" t="s">
        <v>3111</v>
      </c>
      <c r="E856" t="s">
        <v>4172</v>
      </c>
      <c r="F856" t="s">
        <v>4172</v>
      </c>
      <c r="G856" t="s">
        <v>143</v>
      </c>
      <c r="H856" t="s">
        <v>3113</v>
      </c>
      <c r="I856" t="s">
        <v>978</v>
      </c>
      <c r="J856" t="s">
        <v>3114</v>
      </c>
      <c r="K856" t="s">
        <v>4172</v>
      </c>
    </row>
    <row r="857" spans="1:11" x14ac:dyDescent="0.25">
      <c r="A857">
        <v>856</v>
      </c>
      <c r="C857">
        <v>79632704</v>
      </c>
      <c r="D857" t="s">
        <v>3115</v>
      </c>
      <c r="E857" t="s">
        <v>4172</v>
      </c>
      <c r="F857" t="s">
        <v>4172</v>
      </c>
      <c r="G857" t="s">
        <v>143</v>
      </c>
      <c r="H857" t="s">
        <v>3054</v>
      </c>
      <c r="I857" t="s">
        <v>4172</v>
      </c>
      <c r="J857" t="s">
        <v>4172</v>
      </c>
      <c r="K857" t="s">
        <v>4172</v>
      </c>
    </row>
    <row r="858" spans="1:11" x14ac:dyDescent="0.25">
      <c r="A858">
        <v>857</v>
      </c>
      <c r="D858" t="s">
        <v>3117</v>
      </c>
      <c r="E858" t="s">
        <v>4172</v>
      </c>
      <c r="F858" t="s">
        <v>4172</v>
      </c>
      <c r="G858" t="s">
        <v>143</v>
      </c>
      <c r="H858" t="s">
        <v>4172</v>
      </c>
      <c r="I858" t="s">
        <v>4172</v>
      </c>
      <c r="J858" t="s">
        <v>4172</v>
      </c>
      <c r="K858" t="s">
        <v>4172</v>
      </c>
    </row>
    <row r="859" spans="1:11" x14ac:dyDescent="0.25">
      <c r="A859">
        <v>858</v>
      </c>
      <c r="C859">
        <v>0</v>
      </c>
      <c r="D859" t="s">
        <v>3119</v>
      </c>
      <c r="E859" t="s">
        <v>4172</v>
      </c>
      <c r="F859" t="s">
        <v>4172</v>
      </c>
      <c r="G859" t="s">
        <v>143</v>
      </c>
      <c r="H859" t="s">
        <v>2199</v>
      </c>
      <c r="I859" t="s">
        <v>4172</v>
      </c>
      <c r="J859" t="s">
        <v>4172</v>
      </c>
      <c r="K859" t="s">
        <v>4172</v>
      </c>
    </row>
    <row r="860" spans="1:11" x14ac:dyDescent="0.25">
      <c r="A860">
        <v>859</v>
      </c>
      <c r="C860">
        <v>19298787</v>
      </c>
      <c r="D860" t="s">
        <v>3122</v>
      </c>
      <c r="E860" t="s">
        <v>4172</v>
      </c>
      <c r="F860" t="s">
        <v>4172</v>
      </c>
      <c r="G860" t="s">
        <v>143</v>
      </c>
      <c r="H860" t="s">
        <v>2705</v>
      </c>
      <c r="I860" t="s">
        <v>978</v>
      </c>
      <c r="J860" t="s">
        <v>2715</v>
      </c>
      <c r="K860" t="s">
        <v>4172</v>
      </c>
    </row>
    <row r="861" spans="1:11" x14ac:dyDescent="0.25">
      <c r="A861">
        <v>860</v>
      </c>
      <c r="C861">
        <v>1031154915</v>
      </c>
      <c r="D861" t="s">
        <v>3125</v>
      </c>
      <c r="E861" t="s">
        <v>4172</v>
      </c>
      <c r="F861" t="s">
        <v>4172</v>
      </c>
      <c r="G861" t="s">
        <v>143</v>
      </c>
      <c r="H861" t="s">
        <v>2976</v>
      </c>
      <c r="I861" t="s">
        <v>978</v>
      </c>
      <c r="J861" t="s">
        <v>4172</v>
      </c>
      <c r="K861" t="s">
        <v>4172</v>
      </c>
    </row>
    <row r="862" spans="1:11" x14ac:dyDescent="0.25">
      <c r="A862">
        <v>861</v>
      </c>
      <c r="C862">
        <v>1024499415</v>
      </c>
      <c r="D862" t="s">
        <v>3127</v>
      </c>
      <c r="E862" t="s">
        <v>3129</v>
      </c>
      <c r="F862" t="s">
        <v>3127</v>
      </c>
      <c r="G862" t="s">
        <v>143</v>
      </c>
      <c r="H862" t="s">
        <v>1082</v>
      </c>
      <c r="I862" t="s">
        <v>978</v>
      </c>
      <c r="J862" t="s">
        <v>2715</v>
      </c>
      <c r="K862" t="s">
        <v>4172</v>
      </c>
    </row>
    <row r="863" spans="1:11" x14ac:dyDescent="0.25">
      <c r="A863">
        <v>862</v>
      </c>
      <c r="C863">
        <v>93389540</v>
      </c>
      <c r="D863" t="s">
        <v>3130</v>
      </c>
      <c r="E863" t="s">
        <v>4172</v>
      </c>
      <c r="F863" t="s">
        <v>4172</v>
      </c>
      <c r="G863" t="s">
        <v>143</v>
      </c>
      <c r="H863" t="s">
        <v>2705</v>
      </c>
      <c r="I863" t="s">
        <v>978</v>
      </c>
      <c r="J863" t="s">
        <v>2729</v>
      </c>
      <c r="K863" t="s">
        <v>4172</v>
      </c>
    </row>
    <row r="864" spans="1:11" x14ac:dyDescent="0.25">
      <c r="A864">
        <v>863</v>
      </c>
      <c r="C864">
        <v>110560925</v>
      </c>
      <c r="D864" t="s">
        <v>3132</v>
      </c>
      <c r="E864" t="s">
        <v>3134</v>
      </c>
      <c r="F864" t="s">
        <v>4172</v>
      </c>
      <c r="G864" t="s">
        <v>143</v>
      </c>
      <c r="H864" t="s">
        <v>425</v>
      </c>
      <c r="I864" t="s">
        <v>4172</v>
      </c>
      <c r="J864" t="s">
        <v>4172</v>
      </c>
      <c r="K864" t="s">
        <v>4172</v>
      </c>
    </row>
    <row r="865" spans="1:11" x14ac:dyDescent="0.25">
      <c r="A865">
        <v>864</v>
      </c>
      <c r="C865">
        <v>110560925</v>
      </c>
      <c r="D865" t="s">
        <v>3135</v>
      </c>
      <c r="E865" t="s">
        <v>4172</v>
      </c>
      <c r="F865" t="s">
        <v>4172</v>
      </c>
      <c r="G865" t="s">
        <v>143</v>
      </c>
      <c r="H865" t="s">
        <v>2283</v>
      </c>
      <c r="I865" t="s">
        <v>4172</v>
      </c>
      <c r="J865" t="s">
        <v>4172</v>
      </c>
      <c r="K865" t="s">
        <v>4172</v>
      </c>
    </row>
    <row r="866" spans="1:11" x14ac:dyDescent="0.25">
      <c r="A866">
        <v>865</v>
      </c>
      <c r="C866">
        <v>52803627</v>
      </c>
      <c r="D866" t="s">
        <v>3137</v>
      </c>
      <c r="E866" t="s">
        <v>3140</v>
      </c>
      <c r="F866" t="s">
        <v>3139</v>
      </c>
      <c r="G866" t="s">
        <v>143</v>
      </c>
      <c r="H866" t="s">
        <v>4172</v>
      </c>
      <c r="I866" t="s">
        <v>4172</v>
      </c>
      <c r="J866" t="s">
        <v>4172</v>
      </c>
      <c r="K866" t="s">
        <v>4172</v>
      </c>
    </row>
    <row r="867" spans="1:11" x14ac:dyDescent="0.25">
      <c r="A867">
        <v>866</v>
      </c>
      <c r="C867">
        <v>1013638354</v>
      </c>
      <c r="D867" t="s">
        <v>3141</v>
      </c>
      <c r="E867" t="s">
        <v>4172</v>
      </c>
      <c r="F867" t="s">
        <v>4172</v>
      </c>
      <c r="G867" t="s">
        <v>143</v>
      </c>
      <c r="H867" t="s">
        <v>4172</v>
      </c>
      <c r="I867" t="s">
        <v>4172</v>
      </c>
      <c r="J867" t="s">
        <v>4172</v>
      </c>
      <c r="K867" t="s">
        <v>4172</v>
      </c>
    </row>
    <row r="868" spans="1:11" x14ac:dyDescent="0.25">
      <c r="A868">
        <v>867</v>
      </c>
      <c r="C868">
        <v>18388106</v>
      </c>
      <c r="D868" t="s">
        <v>3143</v>
      </c>
      <c r="E868" t="s">
        <v>3146</v>
      </c>
      <c r="F868" t="s">
        <v>3145</v>
      </c>
      <c r="G868" t="s">
        <v>143</v>
      </c>
      <c r="H868" t="s">
        <v>4172</v>
      </c>
      <c r="I868" t="s">
        <v>4172</v>
      </c>
      <c r="J868" t="s">
        <v>4172</v>
      </c>
      <c r="K868" t="s">
        <v>4172</v>
      </c>
    </row>
    <row r="869" spans="1:11" x14ac:dyDescent="0.25">
      <c r="A869">
        <v>868</v>
      </c>
      <c r="C869">
        <v>19413380</v>
      </c>
      <c r="D869" t="s">
        <v>3147</v>
      </c>
      <c r="E869" t="s">
        <v>4172</v>
      </c>
      <c r="F869" t="s">
        <v>4172</v>
      </c>
      <c r="G869" t="s">
        <v>143</v>
      </c>
      <c r="H869" t="s">
        <v>3149</v>
      </c>
      <c r="I869" t="s">
        <v>978</v>
      </c>
      <c r="J869" t="s">
        <v>3150</v>
      </c>
      <c r="K869" t="s">
        <v>4172</v>
      </c>
    </row>
    <row r="870" spans="1:11" x14ac:dyDescent="0.25">
      <c r="A870">
        <v>869</v>
      </c>
      <c r="C870">
        <v>88207527</v>
      </c>
      <c r="D870" t="s">
        <v>3151</v>
      </c>
      <c r="E870" t="s">
        <v>4172</v>
      </c>
      <c r="F870" t="s">
        <v>4172</v>
      </c>
      <c r="G870" t="s">
        <v>143</v>
      </c>
      <c r="H870" t="s">
        <v>2709</v>
      </c>
      <c r="I870" t="s">
        <v>978</v>
      </c>
      <c r="J870" t="s">
        <v>3150</v>
      </c>
      <c r="K870" t="s">
        <v>4172</v>
      </c>
    </row>
    <row r="871" spans="1:11" x14ac:dyDescent="0.25">
      <c r="A871">
        <v>870</v>
      </c>
      <c r="C871">
        <v>0</v>
      </c>
      <c r="D871" t="s">
        <v>3154</v>
      </c>
      <c r="E871" t="s">
        <v>4172</v>
      </c>
      <c r="F871" t="s">
        <v>4172</v>
      </c>
      <c r="G871" t="s">
        <v>143</v>
      </c>
      <c r="H871" t="s">
        <v>4172</v>
      </c>
      <c r="I871" t="s">
        <v>4172</v>
      </c>
      <c r="J871" t="s">
        <v>4172</v>
      </c>
      <c r="K871" t="s">
        <v>4172</v>
      </c>
    </row>
    <row r="872" spans="1:11" x14ac:dyDescent="0.25">
      <c r="A872">
        <v>871</v>
      </c>
      <c r="C872">
        <v>42759447</v>
      </c>
      <c r="D872" t="s">
        <v>3156</v>
      </c>
      <c r="E872" t="s">
        <v>4172</v>
      </c>
      <c r="F872" t="s">
        <v>4172</v>
      </c>
      <c r="G872" t="s">
        <v>143</v>
      </c>
      <c r="H872" t="s">
        <v>3157</v>
      </c>
      <c r="I872" t="s">
        <v>978</v>
      </c>
      <c r="J872" t="s">
        <v>3158</v>
      </c>
      <c r="K872" t="s">
        <v>4172</v>
      </c>
    </row>
    <row r="873" spans="1:11" x14ac:dyDescent="0.25">
      <c r="A873">
        <v>872</v>
      </c>
      <c r="C873">
        <v>0</v>
      </c>
      <c r="D873" t="s">
        <v>3159</v>
      </c>
      <c r="E873" t="s">
        <v>4172</v>
      </c>
      <c r="F873" t="s">
        <v>4172</v>
      </c>
      <c r="G873" t="s">
        <v>143</v>
      </c>
      <c r="H873" t="s">
        <v>818</v>
      </c>
      <c r="I873" t="s">
        <v>4172</v>
      </c>
      <c r="J873" t="s">
        <v>4172</v>
      </c>
      <c r="K873" t="s">
        <v>4172</v>
      </c>
    </row>
    <row r="874" spans="1:11" x14ac:dyDescent="0.25">
      <c r="A874">
        <v>873</v>
      </c>
      <c r="C874">
        <v>80125643</v>
      </c>
      <c r="D874" t="s">
        <v>3160</v>
      </c>
      <c r="E874" t="s">
        <v>4172</v>
      </c>
      <c r="F874" t="s">
        <v>4172</v>
      </c>
      <c r="G874" t="s">
        <v>143</v>
      </c>
      <c r="H874" t="s">
        <v>2705</v>
      </c>
      <c r="I874" t="s">
        <v>978</v>
      </c>
      <c r="J874" t="s">
        <v>2729</v>
      </c>
      <c r="K874" t="s">
        <v>4172</v>
      </c>
    </row>
    <row r="875" spans="1:11" x14ac:dyDescent="0.25">
      <c r="A875">
        <v>874</v>
      </c>
      <c r="D875" t="s">
        <v>3162</v>
      </c>
      <c r="E875" t="s">
        <v>4172</v>
      </c>
      <c r="F875" t="s">
        <v>3163</v>
      </c>
      <c r="G875" t="s">
        <v>89</v>
      </c>
      <c r="H875" t="s">
        <v>4172</v>
      </c>
      <c r="I875" t="s">
        <v>4172</v>
      </c>
      <c r="J875" t="s">
        <v>4172</v>
      </c>
      <c r="K875" t="s">
        <v>4172</v>
      </c>
    </row>
    <row r="876" spans="1:11" x14ac:dyDescent="0.25">
      <c r="A876">
        <v>875</v>
      </c>
      <c r="C876">
        <v>1024473381</v>
      </c>
      <c r="D876" t="s">
        <v>3164</v>
      </c>
      <c r="E876" t="s">
        <v>4172</v>
      </c>
      <c r="F876" t="s">
        <v>4172</v>
      </c>
      <c r="G876" t="s">
        <v>143</v>
      </c>
      <c r="H876" t="s">
        <v>3166</v>
      </c>
      <c r="I876" t="s">
        <v>4172</v>
      </c>
      <c r="J876" t="s">
        <v>4172</v>
      </c>
      <c r="K876" t="s">
        <v>4172</v>
      </c>
    </row>
    <row r="877" spans="1:11" x14ac:dyDescent="0.25">
      <c r="A877">
        <v>876</v>
      </c>
      <c r="C877">
        <v>52202762</v>
      </c>
      <c r="D877" t="s">
        <v>3167</v>
      </c>
      <c r="E877" t="s">
        <v>4172</v>
      </c>
      <c r="F877" t="s">
        <v>4172</v>
      </c>
      <c r="G877" t="s">
        <v>143</v>
      </c>
      <c r="H877" t="s">
        <v>4172</v>
      </c>
      <c r="I877" t="s">
        <v>4172</v>
      </c>
      <c r="J877" t="s">
        <v>4172</v>
      </c>
      <c r="K877" t="s">
        <v>4172</v>
      </c>
    </row>
    <row r="878" spans="1:11" x14ac:dyDescent="0.25">
      <c r="A878">
        <v>877</v>
      </c>
      <c r="C878">
        <v>1039473530</v>
      </c>
      <c r="D878" t="s">
        <v>3168</v>
      </c>
      <c r="E878" t="s">
        <v>4172</v>
      </c>
      <c r="F878" t="s">
        <v>2787</v>
      </c>
      <c r="G878" t="s">
        <v>143</v>
      </c>
      <c r="H878" t="s">
        <v>2705</v>
      </c>
      <c r="I878" t="s">
        <v>2736</v>
      </c>
      <c r="J878" t="s">
        <v>4172</v>
      </c>
      <c r="K878" t="s">
        <v>4172</v>
      </c>
    </row>
    <row r="879" spans="1:11" x14ac:dyDescent="0.25">
      <c r="A879">
        <v>878</v>
      </c>
      <c r="D879" t="s">
        <v>3170</v>
      </c>
      <c r="E879" t="s">
        <v>4172</v>
      </c>
      <c r="F879" t="s">
        <v>4172</v>
      </c>
      <c r="G879" t="s">
        <v>89</v>
      </c>
      <c r="H879" t="s">
        <v>4172</v>
      </c>
      <c r="I879" t="s">
        <v>4172</v>
      </c>
      <c r="J879" t="s">
        <v>4172</v>
      </c>
      <c r="K879" t="s">
        <v>4172</v>
      </c>
    </row>
    <row r="880" spans="1:11" x14ac:dyDescent="0.25">
      <c r="A880">
        <v>879</v>
      </c>
      <c r="C880">
        <v>0</v>
      </c>
      <c r="D880" t="s">
        <v>3171</v>
      </c>
      <c r="E880" t="s">
        <v>147</v>
      </c>
      <c r="F880" t="s">
        <v>4172</v>
      </c>
      <c r="G880" t="s">
        <v>143</v>
      </c>
      <c r="H880" t="s">
        <v>1082</v>
      </c>
      <c r="I880" t="s">
        <v>4172</v>
      </c>
      <c r="J880" t="s">
        <v>4172</v>
      </c>
      <c r="K880" t="s">
        <v>4172</v>
      </c>
    </row>
    <row r="881" spans="1:11" x14ac:dyDescent="0.25">
      <c r="A881">
        <v>880</v>
      </c>
      <c r="C881">
        <v>79698358</v>
      </c>
      <c r="D881" t="s">
        <v>3173</v>
      </c>
      <c r="E881" t="s">
        <v>4172</v>
      </c>
      <c r="F881" t="s">
        <v>4172</v>
      </c>
      <c r="G881" t="s">
        <v>143</v>
      </c>
      <c r="H881" t="s">
        <v>4172</v>
      </c>
      <c r="I881" t="s">
        <v>4172</v>
      </c>
      <c r="J881" t="s">
        <v>4172</v>
      </c>
      <c r="K881" t="s">
        <v>4172</v>
      </c>
    </row>
    <row r="882" spans="1:11" x14ac:dyDescent="0.25">
      <c r="A882">
        <v>881</v>
      </c>
      <c r="D882" t="s">
        <v>3176</v>
      </c>
      <c r="E882" t="s">
        <v>4172</v>
      </c>
      <c r="F882" t="s">
        <v>4172</v>
      </c>
      <c r="G882" t="s">
        <v>4172</v>
      </c>
      <c r="H882" t="s">
        <v>4172</v>
      </c>
      <c r="K882" t="s">
        <v>4172</v>
      </c>
    </row>
    <row r="883" spans="1:11" x14ac:dyDescent="0.25">
      <c r="A883">
        <v>882</v>
      </c>
      <c r="C883">
        <v>80497569</v>
      </c>
      <c r="D883" t="s">
        <v>3178</v>
      </c>
      <c r="E883" t="s">
        <v>4172</v>
      </c>
      <c r="F883" t="s">
        <v>4172</v>
      </c>
      <c r="G883" t="s">
        <v>143</v>
      </c>
      <c r="H883" t="s">
        <v>1082</v>
      </c>
      <c r="I883" t="s">
        <v>4172</v>
      </c>
      <c r="J883" t="s">
        <v>4172</v>
      </c>
      <c r="K883" t="s">
        <v>4172</v>
      </c>
    </row>
    <row r="884" spans="1:11" x14ac:dyDescent="0.25">
      <c r="A884">
        <v>883</v>
      </c>
      <c r="D884" t="s">
        <v>3181</v>
      </c>
      <c r="E884" t="s">
        <v>4172</v>
      </c>
      <c r="F884" t="s">
        <v>4172</v>
      </c>
      <c r="G884" t="s">
        <v>143</v>
      </c>
      <c r="H884" t="s">
        <v>2718</v>
      </c>
      <c r="I884" t="s">
        <v>4172</v>
      </c>
      <c r="J884" t="s">
        <v>4172</v>
      </c>
      <c r="K884" t="s">
        <v>4172</v>
      </c>
    </row>
    <row r="885" spans="1:11" x14ac:dyDescent="0.25">
      <c r="A885">
        <v>884</v>
      </c>
      <c r="C885">
        <v>19246476</v>
      </c>
      <c r="D885" t="s">
        <v>3184</v>
      </c>
      <c r="E885" t="s">
        <v>4172</v>
      </c>
      <c r="F885" t="s">
        <v>4172</v>
      </c>
      <c r="G885" t="s">
        <v>143</v>
      </c>
      <c r="H885" t="s">
        <v>4172</v>
      </c>
      <c r="I885" t="s">
        <v>4172</v>
      </c>
      <c r="J885" t="s">
        <v>4172</v>
      </c>
      <c r="K885" t="s">
        <v>4172</v>
      </c>
    </row>
    <row r="886" spans="1:11" x14ac:dyDescent="0.25">
      <c r="A886">
        <v>885</v>
      </c>
      <c r="C886">
        <v>1013612591</v>
      </c>
      <c r="D886" t="s">
        <v>3185</v>
      </c>
      <c r="E886" t="s">
        <v>4172</v>
      </c>
      <c r="F886" t="s">
        <v>4172</v>
      </c>
      <c r="G886" t="s">
        <v>143</v>
      </c>
      <c r="H886" t="s">
        <v>2705</v>
      </c>
      <c r="I886" t="s">
        <v>978</v>
      </c>
      <c r="J886" t="s">
        <v>2729</v>
      </c>
      <c r="K886" t="s">
        <v>4172</v>
      </c>
    </row>
    <row r="887" spans="1:11" x14ac:dyDescent="0.25">
      <c r="A887">
        <v>886</v>
      </c>
      <c r="C887">
        <v>19172681</v>
      </c>
      <c r="D887" t="s">
        <v>3187</v>
      </c>
      <c r="E887" t="s">
        <v>4172</v>
      </c>
      <c r="F887" t="s">
        <v>4172</v>
      </c>
      <c r="G887" t="s">
        <v>143</v>
      </c>
      <c r="H887" t="s">
        <v>2705</v>
      </c>
      <c r="I887" t="s">
        <v>978</v>
      </c>
      <c r="J887" t="s">
        <v>2729</v>
      </c>
      <c r="K887" t="s">
        <v>4172</v>
      </c>
    </row>
    <row r="888" spans="1:11" x14ac:dyDescent="0.25">
      <c r="A888">
        <v>887</v>
      </c>
      <c r="C888">
        <v>901016729</v>
      </c>
      <c r="D888" t="s">
        <v>3190</v>
      </c>
      <c r="E888" t="s">
        <v>3193</v>
      </c>
      <c r="F888" t="s">
        <v>3192</v>
      </c>
      <c r="G888" t="s">
        <v>143</v>
      </c>
      <c r="H888" t="s">
        <v>3194</v>
      </c>
      <c r="I888" t="s">
        <v>978</v>
      </c>
      <c r="J888" t="s">
        <v>3195</v>
      </c>
      <c r="K888" t="s">
        <v>4172</v>
      </c>
    </row>
    <row r="889" spans="1:11" x14ac:dyDescent="0.25">
      <c r="A889">
        <v>888</v>
      </c>
      <c r="C889">
        <v>1069747967</v>
      </c>
      <c r="D889" t="s">
        <v>3196</v>
      </c>
      <c r="E889" t="s">
        <v>4172</v>
      </c>
      <c r="F889" t="s">
        <v>4172</v>
      </c>
      <c r="G889" t="s">
        <v>89</v>
      </c>
      <c r="H889" t="s">
        <v>1082</v>
      </c>
      <c r="I889" t="s">
        <v>4172</v>
      </c>
      <c r="J889" t="s">
        <v>4172</v>
      </c>
      <c r="K889" t="s">
        <v>4172</v>
      </c>
    </row>
    <row r="890" spans="1:11" x14ac:dyDescent="0.25">
      <c r="A890">
        <v>889</v>
      </c>
      <c r="C890" t="s">
        <v>3199</v>
      </c>
      <c r="D890" t="s">
        <v>3198</v>
      </c>
      <c r="G890" t="s">
        <v>143</v>
      </c>
    </row>
    <row r="891" spans="1:11" x14ac:dyDescent="0.25">
      <c r="A891">
        <v>890</v>
      </c>
      <c r="C891">
        <v>0</v>
      </c>
      <c r="D891" t="s">
        <v>1699</v>
      </c>
      <c r="E891" t="s">
        <v>4172</v>
      </c>
      <c r="F891" t="s">
        <v>4172</v>
      </c>
      <c r="G891" t="s">
        <v>89</v>
      </c>
      <c r="H891" t="s">
        <v>4172</v>
      </c>
      <c r="I891" t="s">
        <v>4172</v>
      </c>
      <c r="J891" t="s">
        <v>4172</v>
      </c>
      <c r="K891" t="s">
        <v>4172</v>
      </c>
    </row>
    <row r="892" spans="1:11" x14ac:dyDescent="0.25">
      <c r="A892">
        <v>891</v>
      </c>
      <c r="C892">
        <v>79953104</v>
      </c>
      <c r="D892" t="s">
        <v>3201</v>
      </c>
      <c r="E892" t="s">
        <v>4172</v>
      </c>
      <c r="F892" t="s">
        <v>4172</v>
      </c>
      <c r="G892" t="s">
        <v>143</v>
      </c>
      <c r="H892" t="s">
        <v>3203</v>
      </c>
      <c r="I892" t="s">
        <v>4172</v>
      </c>
      <c r="J892" t="s">
        <v>4172</v>
      </c>
      <c r="K892" t="s">
        <v>4172</v>
      </c>
    </row>
    <row r="893" spans="1:11" x14ac:dyDescent="0.25">
      <c r="A893">
        <v>892</v>
      </c>
      <c r="C893">
        <v>1013609847</v>
      </c>
      <c r="D893" t="s">
        <v>3204</v>
      </c>
      <c r="E893" t="s">
        <v>4172</v>
      </c>
      <c r="F893" t="s">
        <v>4172</v>
      </c>
      <c r="G893" t="s">
        <v>143</v>
      </c>
      <c r="H893" t="s">
        <v>4172</v>
      </c>
      <c r="I893" t="s">
        <v>4172</v>
      </c>
      <c r="J893" t="s">
        <v>4172</v>
      </c>
      <c r="K893" t="s">
        <v>4172</v>
      </c>
    </row>
    <row r="894" spans="1:11" x14ac:dyDescent="0.25">
      <c r="A894">
        <v>893</v>
      </c>
      <c r="C894">
        <v>39716808</v>
      </c>
      <c r="D894" t="s">
        <v>3205</v>
      </c>
      <c r="E894" t="s">
        <v>4172</v>
      </c>
      <c r="F894" t="s">
        <v>4172</v>
      </c>
      <c r="G894" t="s">
        <v>89</v>
      </c>
      <c r="H894" t="s">
        <v>4172</v>
      </c>
      <c r="I894" t="s">
        <v>4172</v>
      </c>
      <c r="J894" t="s">
        <v>4172</v>
      </c>
      <c r="K894" t="s">
        <v>4172</v>
      </c>
    </row>
    <row r="895" spans="1:11" x14ac:dyDescent="0.25">
      <c r="A895">
        <v>894</v>
      </c>
      <c r="D895" t="s">
        <v>3208</v>
      </c>
      <c r="E895" t="s">
        <v>4172</v>
      </c>
      <c r="F895" t="s">
        <v>4172</v>
      </c>
      <c r="G895" t="s">
        <v>4172</v>
      </c>
      <c r="H895" t="s">
        <v>4172</v>
      </c>
      <c r="K895" t="s">
        <v>4172</v>
      </c>
    </row>
    <row r="896" spans="1:11" x14ac:dyDescent="0.25">
      <c r="A896">
        <v>895</v>
      </c>
      <c r="C896">
        <v>1033757790</v>
      </c>
      <c r="D896" t="s">
        <v>3211</v>
      </c>
      <c r="E896" t="s">
        <v>4172</v>
      </c>
      <c r="F896" t="s">
        <v>3213</v>
      </c>
      <c r="G896" t="s">
        <v>143</v>
      </c>
      <c r="H896" t="s">
        <v>3214</v>
      </c>
      <c r="I896" t="s">
        <v>978</v>
      </c>
      <c r="J896" t="s">
        <v>3215</v>
      </c>
      <c r="K896" t="s">
        <v>4172</v>
      </c>
    </row>
    <row r="897" spans="1:11" x14ac:dyDescent="0.25">
      <c r="A897">
        <v>896</v>
      </c>
      <c r="C897">
        <v>19053910</v>
      </c>
      <c r="D897" t="s">
        <v>3216</v>
      </c>
      <c r="E897" t="s">
        <v>3219</v>
      </c>
      <c r="F897" t="s">
        <v>3218</v>
      </c>
      <c r="G897" t="s">
        <v>143</v>
      </c>
      <c r="H897" t="s">
        <v>256</v>
      </c>
      <c r="I897" t="s">
        <v>978</v>
      </c>
      <c r="J897" t="s">
        <v>3220</v>
      </c>
      <c r="K897" t="s">
        <v>4172</v>
      </c>
    </row>
    <row r="898" spans="1:11" x14ac:dyDescent="0.25">
      <c r="A898">
        <v>897</v>
      </c>
      <c r="C898">
        <v>80864724</v>
      </c>
      <c r="D898" t="s">
        <v>3221</v>
      </c>
      <c r="E898" t="s">
        <v>4172</v>
      </c>
      <c r="F898" t="s">
        <v>4172</v>
      </c>
      <c r="G898" t="s">
        <v>143</v>
      </c>
      <c r="H898" t="s">
        <v>2458</v>
      </c>
      <c r="I898" t="s">
        <v>978</v>
      </c>
      <c r="J898" t="s">
        <v>3224</v>
      </c>
      <c r="K898" t="s">
        <v>4172</v>
      </c>
    </row>
    <row r="899" spans="1:11" x14ac:dyDescent="0.25">
      <c r="A899">
        <v>898</v>
      </c>
      <c r="C899">
        <v>79355901</v>
      </c>
      <c r="D899" t="s">
        <v>3225</v>
      </c>
      <c r="E899" t="s">
        <v>4172</v>
      </c>
      <c r="F899" t="s">
        <v>4172</v>
      </c>
      <c r="G899" t="s">
        <v>143</v>
      </c>
      <c r="H899" t="s">
        <v>256</v>
      </c>
      <c r="I899" t="s">
        <v>978</v>
      </c>
      <c r="J899" t="s">
        <v>3228</v>
      </c>
      <c r="K899" t="s">
        <v>4172</v>
      </c>
    </row>
    <row r="900" spans="1:11" x14ac:dyDescent="0.25">
      <c r="A900">
        <v>899</v>
      </c>
      <c r="D900" t="s">
        <v>3229</v>
      </c>
      <c r="E900" t="s">
        <v>4172</v>
      </c>
      <c r="F900" t="s">
        <v>4172</v>
      </c>
      <c r="G900" t="s">
        <v>562</v>
      </c>
      <c r="H900" t="s">
        <v>4172</v>
      </c>
      <c r="I900" t="s">
        <v>4172</v>
      </c>
      <c r="J900" t="s">
        <v>4172</v>
      </c>
      <c r="K900" t="s">
        <v>4172</v>
      </c>
    </row>
    <row r="901" spans="1:11" x14ac:dyDescent="0.25">
      <c r="A901">
        <v>900</v>
      </c>
      <c r="C901">
        <v>87514895</v>
      </c>
      <c r="D901" t="s">
        <v>3231</v>
      </c>
      <c r="E901" t="s">
        <v>3235</v>
      </c>
      <c r="F901" t="s">
        <v>3234</v>
      </c>
      <c r="G901" t="s">
        <v>143</v>
      </c>
      <c r="H901" t="s">
        <v>2705</v>
      </c>
      <c r="I901" t="s">
        <v>978</v>
      </c>
      <c r="J901" t="s">
        <v>2715</v>
      </c>
      <c r="K901" t="s">
        <v>4172</v>
      </c>
    </row>
    <row r="902" spans="1:11" x14ac:dyDescent="0.25">
      <c r="A902">
        <v>901</v>
      </c>
      <c r="C902">
        <v>1018431436</v>
      </c>
      <c r="D902" t="s">
        <v>3236</v>
      </c>
      <c r="E902" t="s">
        <v>3240</v>
      </c>
      <c r="F902" t="s">
        <v>3239</v>
      </c>
      <c r="G902" t="s">
        <v>143</v>
      </c>
      <c r="H902" t="s">
        <v>3241</v>
      </c>
      <c r="I902" t="s">
        <v>3242</v>
      </c>
      <c r="J902" t="s">
        <v>4172</v>
      </c>
      <c r="K902" t="s">
        <v>4172</v>
      </c>
    </row>
    <row r="903" spans="1:11" x14ac:dyDescent="0.25">
      <c r="A903">
        <v>902</v>
      </c>
      <c r="C903">
        <v>98380543</v>
      </c>
      <c r="D903" t="s">
        <v>3243</v>
      </c>
      <c r="E903" t="s">
        <v>4172</v>
      </c>
      <c r="F903" t="s">
        <v>3245</v>
      </c>
      <c r="G903" t="s">
        <v>89</v>
      </c>
      <c r="H903" t="s">
        <v>4172</v>
      </c>
      <c r="I903" t="s">
        <v>4172</v>
      </c>
      <c r="J903" t="s">
        <v>4172</v>
      </c>
      <c r="K903" t="s">
        <v>4172</v>
      </c>
    </row>
    <row r="904" spans="1:11" x14ac:dyDescent="0.25">
      <c r="A904">
        <v>903</v>
      </c>
      <c r="C904">
        <v>1028005148</v>
      </c>
      <c r="D904" t="s">
        <v>3246</v>
      </c>
      <c r="E904" t="s">
        <v>4172</v>
      </c>
      <c r="F904" t="s">
        <v>4172</v>
      </c>
      <c r="G904" t="s">
        <v>143</v>
      </c>
      <c r="H904" t="s">
        <v>2705</v>
      </c>
      <c r="I904" t="s">
        <v>978</v>
      </c>
      <c r="J904" t="s">
        <v>2715</v>
      </c>
      <c r="K904" t="s">
        <v>4172</v>
      </c>
    </row>
    <row r="905" spans="1:11" x14ac:dyDescent="0.25">
      <c r="A905">
        <v>904</v>
      </c>
      <c r="C905">
        <v>5843709</v>
      </c>
      <c r="D905" t="s">
        <v>3247</v>
      </c>
      <c r="E905" t="s">
        <v>4172</v>
      </c>
      <c r="F905" t="s">
        <v>4172</v>
      </c>
      <c r="G905" t="s">
        <v>143</v>
      </c>
      <c r="H905" t="s">
        <v>2991</v>
      </c>
      <c r="I905" t="s">
        <v>978</v>
      </c>
      <c r="J905" t="s">
        <v>3250</v>
      </c>
      <c r="K905" t="s">
        <v>4172</v>
      </c>
    </row>
    <row r="906" spans="1:11" x14ac:dyDescent="0.25">
      <c r="A906">
        <v>905</v>
      </c>
      <c r="C906">
        <v>80355358</v>
      </c>
      <c r="D906" t="s">
        <v>3251</v>
      </c>
      <c r="E906" t="s">
        <v>4172</v>
      </c>
      <c r="F906" t="s">
        <v>4172</v>
      </c>
      <c r="G906" t="s">
        <v>143</v>
      </c>
      <c r="H906" t="s">
        <v>2705</v>
      </c>
      <c r="I906" t="s">
        <v>978</v>
      </c>
      <c r="J906" t="s">
        <v>2729</v>
      </c>
      <c r="K906" t="s">
        <v>4172</v>
      </c>
    </row>
    <row r="907" spans="1:11" x14ac:dyDescent="0.25">
      <c r="A907">
        <v>906</v>
      </c>
      <c r="C907">
        <v>14322705</v>
      </c>
      <c r="D907" t="s">
        <v>3253</v>
      </c>
      <c r="E907" t="s">
        <v>4172</v>
      </c>
      <c r="F907" t="s">
        <v>4172</v>
      </c>
      <c r="G907" t="s">
        <v>143</v>
      </c>
      <c r="H907" t="s">
        <v>3256</v>
      </c>
      <c r="I907" t="s">
        <v>978</v>
      </c>
      <c r="J907" t="s">
        <v>3257</v>
      </c>
      <c r="K907" t="s">
        <v>4172</v>
      </c>
    </row>
    <row r="908" spans="1:11" x14ac:dyDescent="0.25">
      <c r="A908">
        <v>907</v>
      </c>
      <c r="D908" t="s">
        <v>3258</v>
      </c>
      <c r="E908" t="s">
        <v>4172</v>
      </c>
      <c r="F908" t="s">
        <v>4172</v>
      </c>
      <c r="G908" t="s">
        <v>143</v>
      </c>
      <c r="H908" t="s">
        <v>2705</v>
      </c>
      <c r="I908" t="s">
        <v>4172</v>
      </c>
      <c r="J908" t="s">
        <v>4172</v>
      </c>
      <c r="K908" t="s">
        <v>4172</v>
      </c>
    </row>
    <row r="909" spans="1:11" x14ac:dyDescent="0.25">
      <c r="A909">
        <v>908</v>
      </c>
      <c r="C909">
        <v>19278764</v>
      </c>
      <c r="D909" t="s">
        <v>3260</v>
      </c>
      <c r="E909" t="s">
        <v>3263</v>
      </c>
      <c r="F909" t="s">
        <v>3262</v>
      </c>
      <c r="G909" t="s">
        <v>143</v>
      </c>
      <c r="H909" t="s">
        <v>3264</v>
      </c>
      <c r="I909" t="s">
        <v>4172</v>
      </c>
      <c r="J909" t="s">
        <v>4172</v>
      </c>
      <c r="K909" t="s">
        <v>4172</v>
      </c>
    </row>
    <row r="910" spans="1:11" x14ac:dyDescent="0.25">
      <c r="A910">
        <v>909</v>
      </c>
      <c r="C910">
        <v>52881999</v>
      </c>
      <c r="D910" t="s">
        <v>3265</v>
      </c>
      <c r="E910" t="s">
        <v>4172</v>
      </c>
      <c r="F910" t="s">
        <v>4172</v>
      </c>
      <c r="G910" t="s">
        <v>143</v>
      </c>
      <c r="H910" t="s">
        <v>3000</v>
      </c>
      <c r="I910" t="s">
        <v>978</v>
      </c>
      <c r="J910" t="s">
        <v>1565</v>
      </c>
      <c r="K910" t="s">
        <v>4172</v>
      </c>
    </row>
    <row r="911" spans="1:11" x14ac:dyDescent="0.25">
      <c r="A911">
        <v>910</v>
      </c>
      <c r="C911">
        <v>881300552</v>
      </c>
      <c r="D911" t="s">
        <v>3267</v>
      </c>
      <c r="E911" t="s">
        <v>3270</v>
      </c>
      <c r="F911" t="s">
        <v>3269</v>
      </c>
      <c r="G911" t="s">
        <v>89</v>
      </c>
      <c r="H911" t="s">
        <v>2705</v>
      </c>
      <c r="I911" t="s">
        <v>978</v>
      </c>
      <c r="J911" t="s">
        <v>2715</v>
      </c>
      <c r="K911" t="s">
        <v>4172</v>
      </c>
    </row>
    <row r="912" spans="1:11" x14ac:dyDescent="0.25">
      <c r="A912">
        <v>911</v>
      </c>
      <c r="D912" t="s">
        <v>3271</v>
      </c>
      <c r="E912" t="s">
        <v>3274</v>
      </c>
      <c r="F912" t="s">
        <v>3271</v>
      </c>
      <c r="G912" t="s">
        <v>143</v>
      </c>
      <c r="H912" t="s">
        <v>3275</v>
      </c>
      <c r="I912" t="s">
        <v>4172</v>
      </c>
      <c r="J912" t="s">
        <v>4172</v>
      </c>
      <c r="K912" t="s">
        <v>4172</v>
      </c>
    </row>
    <row r="913" spans="1:11" x14ac:dyDescent="0.25">
      <c r="A913">
        <v>912</v>
      </c>
      <c r="C913">
        <v>1032386717</v>
      </c>
      <c r="D913" t="s">
        <v>3276</v>
      </c>
      <c r="E913" t="s">
        <v>4172</v>
      </c>
      <c r="F913" t="s">
        <v>3277</v>
      </c>
      <c r="G913" t="s">
        <v>143</v>
      </c>
      <c r="H913" t="s">
        <v>89</v>
      </c>
      <c r="I913" t="s">
        <v>978</v>
      </c>
      <c r="J913" t="s">
        <v>4172</v>
      </c>
      <c r="K913" t="s">
        <v>4172</v>
      </c>
    </row>
    <row r="914" spans="1:11" x14ac:dyDescent="0.25">
      <c r="A914">
        <v>913</v>
      </c>
      <c r="C914">
        <v>24850225</v>
      </c>
      <c r="D914" t="s">
        <v>3278</v>
      </c>
      <c r="E914" t="s">
        <v>4172</v>
      </c>
      <c r="F914" t="s">
        <v>1</v>
      </c>
      <c r="G914" t="s">
        <v>143</v>
      </c>
      <c r="H914" t="s">
        <v>2705</v>
      </c>
      <c r="I914" t="s">
        <v>4172</v>
      </c>
      <c r="J914" t="s">
        <v>4172</v>
      </c>
      <c r="K914" t="s">
        <v>4172</v>
      </c>
    </row>
    <row r="915" spans="1:11" x14ac:dyDescent="0.25">
      <c r="A915">
        <v>914</v>
      </c>
      <c r="C915">
        <v>67867867</v>
      </c>
      <c r="D915" t="s">
        <v>3281</v>
      </c>
      <c r="E915" t="s">
        <v>3285</v>
      </c>
      <c r="F915" t="s">
        <v>3284</v>
      </c>
      <c r="G915" t="s">
        <v>143</v>
      </c>
      <c r="H915" t="s">
        <v>2705</v>
      </c>
      <c r="I915" t="s">
        <v>4172</v>
      </c>
      <c r="J915" t="s">
        <v>4172</v>
      </c>
      <c r="K915" t="s">
        <v>4172</v>
      </c>
    </row>
    <row r="916" spans="1:11" x14ac:dyDescent="0.25">
      <c r="A916">
        <v>915</v>
      </c>
      <c r="C916">
        <v>19402233</v>
      </c>
      <c r="D916" t="s">
        <v>3286</v>
      </c>
      <c r="E916" t="s">
        <v>3289</v>
      </c>
      <c r="F916" t="s">
        <v>3288</v>
      </c>
      <c r="G916" t="s">
        <v>143</v>
      </c>
      <c r="H916" t="s">
        <v>2705</v>
      </c>
      <c r="I916" t="s">
        <v>978</v>
      </c>
      <c r="J916" t="s">
        <v>2715</v>
      </c>
      <c r="K916" t="s">
        <v>4172</v>
      </c>
    </row>
    <row r="917" spans="1:11" x14ac:dyDescent="0.25">
      <c r="A917">
        <v>916</v>
      </c>
      <c r="C917">
        <v>1023914585</v>
      </c>
      <c r="D917" t="s">
        <v>3290</v>
      </c>
      <c r="E917" t="s">
        <v>4172</v>
      </c>
      <c r="F917" t="s">
        <v>4172</v>
      </c>
      <c r="G917" t="s">
        <v>143</v>
      </c>
      <c r="H917" t="s">
        <v>3292</v>
      </c>
      <c r="I917" t="s">
        <v>4172</v>
      </c>
      <c r="J917" t="s">
        <v>4172</v>
      </c>
      <c r="K917" t="s">
        <v>4172</v>
      </c>
    </row>
    <row r="918" spans="1:11" x14ac:dyDescent="0.25">
      <c r="A918">
        <v>917</v>
      </c>
      <c r="C918">
        <v>79651232</v>
      </c>
      <c r="D918" t="s">
        <v>3293</v>
      </c>
      <c r="E918" t="s">
        <v>4172</v>
      </c>
      <c r="F918" t="s">
        <v>4172</v>
      </c>
      <c r="G918" t="s">
        <v>143</v>
      </c>
      <c r="H918" t="s">
        <v>3292</v>
      </c>
      <c r="I918" t="s">
        <v>978</v>
      </c>
      <c r="J918" t="s">
        <v>4172</v>
      </c>
      <c r="K918" t="s">
        <v>4172</v>
      </c>
    </row>
    <row r="919" spans="1:11" x14ac:dyDescent="0.25">
      <c r="A919">
        <v>918</v>
      </c>
      <c r="C919">
        <v>79661222</v>
      </c>
      <c r="D919" t="s">
        <v>3296</v>
      </c>
      <c r="E919" t="s">
        <v>4172</v>
      </c>
      <c r="F919" t="s">
        <v>4172</v>
      </c>
      <c r="G919" t="s">
        <v>143</v>
      </c>
      <c r="H919" t="s">
        <v>256</v>
      </c>
      <c r="I919" t="s">
        <v>4172</v>
      </c>
      <c r="J919" t="s">
        <v>4172</v>
      </c>
      <c r="K919" t="s">
        <v>4172</v>
      </c>
    </row>
    <row r="920" spans="1:11" x14ac:dyDescent="0.25">
      <c r="A920">
        <v>919</v>
      </c>
      <c r="C920">
        <v>1088271367</v>
      </c>
      <c r="D920" t="s">
        <v>3298</v>
      </c>
      <c r="E920" t="s">
        <v>4172</v>
      </c>
      <c r="F920" t="s">
        <v>4172</v>
      </c>
      <c r="G920" t="s">
        <v>143</v>
      </c>
      <c r="H920" t="s">
        <v>3302</v>
      </c>
      <c r="I920" t="s">
        <v>978</v>
      </c>
      <c r="J920" t="s">
        <v>4172</v>
      </c>
      <c r="K920" t="s">
        <v>4172</v>
      </c>
    </row>
    <row r="921" spans="1:11" x14ac:dyDescent="0.25">
      <c r="A921">
        <v>920</v>
      </c>
      <c r="C921">
        <v>79901454</v>
      </c>
      <c r="D921" t="s">
        <v>3303</v>
      </c>
      <c r="E921" t="s">
        <v>3306</v>
      </c>
      <c r="F921" t="s">
        <v>3305</v>
      </c>
      <c r="G921" t="s">
        <v>143</v>
      </c>
      <c r="H921" t="s">
        <v>2705</v>
      </c>
      <c r="I921" t="s">
        <v>978</v>
      </c>
      <c r="J921" t="s">
        <v>2715</v>
      </c>
      <c r="K921" t="s">
        <v>4172</v>
      </c>
    </row>
    <row r="922" spans="1:11" x14ac:dyDescent="0.25">
      <c r="A922">
        <v>921</v>
      </c>
      <c r="C922">
        <v>80748144</v>
      </c>
      <c r="D922" t="s">
        <v>3307</v>
      </c>
      <c r="E922" t="s">
        <v>4172</v>
      </c>
      <c r="F922" t="s">
        <v>4172</v>
      </c>
      <c r="G922" t="s">
        <v>143</v>
      </c>
      <c r="H922" t="s">
        <v>256</v>
      </c>
      <c r="I922" t="s">
        <v>978</v>
      </c>
      <c r="J922" t="s">
        <v>4172</v>
      </c>
      <c r="K922" t="s">
        <v>4172</v>
      </c>
    </row>
    <row r="923" spans="1:11" x14ac:dyDescent="0.25">
      <c r="A923">
        <v>922</v>
      </c>
      <c r="C923">
        <v>79600649</v>
      </c>
      <c r="D923" t="s">
        <v>3309</v>
      </c>
      <c r="E923" t="s">
        <v>3313</v>
      </c>
      <c r="F923" t="s">
        <v>3312</v>
      </c>
      <c r="G923" t="s">
        <v>143</v>
      </c>
      <c r="H923" t="s">
        <v>236</v>
      </c>
      <c r="I923" t="s">
        <v>4172</v>
      </c>
      <c r="J923" t="s">
        <v>4172</v>
      </c>
      <c r="K923" t="s">
        <v>4172</v>
      </c>
    </row>
    <row r="924" spans="1:11" x14ac:dyDescent="0.25">
      <c r="A924">
        <v>923</v>
      </c>
      <c r="C924">
        <v>1033767202</v>
      </c>
      <c r="D924" t="s">
        <v>3314</v>
      </c>
      <c r="E924" t="s">
        <v>4172</v>
      </c>
      <c r="F924" t="s">
        <v>4172</v>
      </c>
      <c r="G924" t="s">
        <v>143</v>
      </c>
      <c r="H924" t="s">
        <v>256</v>
      </c>
      <c r="I924" t="s">
        <v>4172</v>
      </c>
      <c r="J924" t="s">
        <v>4172</v>
      </c>
      <c r="K924" t="s">
        <v>4172</v>
      </c>
    </row>
    <row r="925" spans="1:11" x14ac:dyDescent="0.25">
      <c r="A925">
        <v>924</v>
      </c>
      <c r="D925" t="s">
        <v>3316</v>
      </c>
      <c r="E925" t="s">
        <v>4172</v>
      </c>
      <c r="F925" t="s">
        <v>3319</v>
      </c>
      <c r="G925" t="s">
        <v>89</v>
      </c>
      <c r="H925" t="s">
        <v>4172</v>
      </c>
      <c r="I925" t="s">
        <v>4172</v>
      </c>
      <c r="J925" t="s">
        <v>4172</v>
      </c>
      <c r="K925" t="s">
        <v>4172</v>
      </c>
    </row>
    <row r="926" spans="1:11" x14ac:dyDescent="0.25">
      <c r="A926">
        <v>925</v>
      </c>
      <c r="C926">
        <v>1110556262</v>
      </c>
      <c r="D926" t="s">
        <v>3320</v>
      </c>
      <c r="E926" t="s">
        <v>4172</v>
      </c>
      <c r="F926" t="s">
        <v>4172</v>
      </c>
      <c r="G926" t="s">
        <v>143</v>
      </c>
      <c r="H926" t="s">
        <v>2705</v>
      </c>
      <c r="I926" t="s">
        <v>978</v>
      </c>
      <c r="J926" t="s">
        <v>2715</v>
      </c>
      <c r="K926" t="s">
        <v>4172</v>
      </c>
    </row>
    <row r="927" spans="1:11" x14ac:dyDescent="0.25">
      <c r="A927">
        <v>926</v>
      </c>
      <c r="C927">
        <v>39704540</v>
      </c>
      <c r="D927" t="s">
        <v>3322</v>
      </c>
      <c r="E927" t="s">
        <v>3325</v>
      </c>
      <c r="F927" t="s">
        <v>3324</v>
      </c>
      <c r="G927" t="s">
        <v>143</v>
      </c>
      <c r="H927" t="s">
        <v>184</v>
      </c>
      <c r="I927" t="s">
        <v>978</v>
      </c>
      <c r="J927" t="s">
        <v>184</v>
      </c>
      <c r="K927" t="s">
        <v>4172</v>
      </c>
    </row>
    <row r="928" spans="1:11" x14ac:dyDescent="0.25">
      <c r="A928">
        <v>927</v>
      </c>
      <c r="C928">
        <v>10820407</v>
      </c>
      <c r="D928" t="s">
        <v>3326</v>
      </c>
      <c r="E928" t="s">
        <v>4172</v>
      </c>
      <c r="F928" t="s">
        <v>4172</v>
      </c>
      <c r="G928" t="s">
        <v>143</v>
      </c>
      <c r="H928" t="s">
        <v>2705</v>
      </c>
      <c r="I928" t="s">
        <v>4172</v>
      </c>
      <c r="J928" t="s">
        <v>4172</v>
      </c>
      <c r="K928" t="s">
        <v>4172</v>
      </c>
    </row>
    <row r="929" spans="1:11" x14ac:dyDescent="0.25">
      <c r="A929">
        <v>928</v>
      </c>
      <c r="C929">
        <v>19491743</v>
      </c>
      <c r="D929" t="s">
        <v>3328</v>
      </c>
      <c r="E929" t="s">
        <v>4172</v>
      </c>
      <c r="F929" t="s">
        <v>4172</v>
      </c>
      <c r="G929" t="s">
        <v>143</v>
      </c>
      <c r="H929" t="s">
        <v>2750</v>
      </c>
      <c r="I929" t="s">
        <v>978</v>
      </c>
      <c r="J929" t="s">
        <v>4172</v>
      </c>
      <c r="K929" t="s">
        <v>4172</v>
      </c>
    </row>
    <row r="930" spans="1:11" x14ac:dyDescent="0.25">
      <c r="A930">
        <v>929</v>
      </c>
      <c r="C930">
        <v>51801460</v>
      </c>
      <c r="D930" t="s">
        <v>3330</v>
      </c>
      <c r="E930" t="s">
        <v>4172</v>
      </c>
      <c r="F930" t="s">
        <v>4172</v>
      </c>
      <c r="G930" t="s">
        <v>143</v>
      </c>
      <c r="H930" t="s">
        <v>1432</v>
      </c>
      <c r="I930" t="s">
        <v>978</v>
      </c>
      <c r="J930" t="s">
        <v>4172</v>
      </c>
      <c r="K930" t="s">
        <v>4172</v>
      </c>
    </row>
    <row r="931" spans="1:11" x14ac:dyDescent="0.25">
      <c r="A931">
        <v>930</v>
      </c>
      <c r="C931">
        <v>79395221</v>
      </c>
      <c r="D931" t="s">
        <v>3332</v>
      </c>
      <c r="E931" t="s">
        <v>4172</v>
      </c>
      <c r="F931" t="s">
        <v>3334</v>
      </c>
      <c r="G931" t="s">
        <v>89</v>
      </c>
      <c r="H931" t="s">
        <v>89</v>
      </c>
      <c r="I931" t="s">
        <v>4172</v>
      </c>
      <c r="J931" t="s">
        <v>4172</v>
      </c>
      <c r="K931" t="s">
        <v>4172</v>
      </c>
    </row>
    <row r="932" spans="1:11" x14ac:dyDescent="0.25">
      <c r="A932">
        <v>931</v>
      </c>
      <c r="C932">
        <v>79532102</v>
      </c>
      <c r="D932" t="s">
        <v>3335</v>
      </c>
      <c r="E932" t="s">
        <v>3338</v>
      </c>
      <c r="F932" t="s">
        <v>3337</v>
      </c>
      <c r="G932" t="s">
        <v>143</v>
      </c>
      <c r="H932" t="s">
        <v>3339</v>
      </c>
      <c r="I932" t="s">
        <v>978</v>
      </c>
      <c r="J932" t="s">
        <v>4172</v>
      </c>
      <c r="K932" t="s">
        <v>4172</v>
      </c>
    </row>
    <row r="933" spans="1:11" x14ac:dyDescent="0.25">
      <c r="A933">
        <v>932</v>
      </c>
      <c r="C933">
        <v>68296976</v>
      </c>
      <c r="D933" t="s">
        <v>3340</v>
      </c>
      <c r="E933" t="s">
        <v>4172</v>
      </c>
      <c r="F933" t="s">
        <v>4172</v>
      </c>
      <c r="G933" t="s">
        <v>143</v>
      </c>
      <c r="H933" t="s">
        <v>3342</v>
      </c>
      <c r="I933" t="s">
        <v>4172</v>
      </c>
      <c r="J933" t="s">
        <v>4172</v>
      </c>
      <c r="K933" t="s">
        <v>4172</v>
      </c>
    </row>
    <row r="934" spans="1:11" x14ac:dyDescent="0.25">
      <c r="A934">
        <v>933</v>
      </c>
      <c r="C934">
        <v>515111029</v>
      </c>
      <c r="D934" t="s">
        <v>3343</v>
      </c>
      <c r="E934" t="s">
        <v>4172</v>
      </c>
      <c r="F934" t="s">
        <v>3344</v>
      </c>
      <c r="G934" t="s">
        <v>143</v>
      </c>
      <c r="H934" t="s">
        <v>184</v>
      </c>
      <c r="I934" t="s">
        <v>4172</v>
      </c>
      <c r="J934" t="s">
        <v>4172</v>
      </c>
      <c r="K934" t="s">
        <v>4172</v>
      </c>
    </row>
    <row r="935" spans="1:11" x14ac:dyDescent="0.25">
      <c r="A935">
        <v>934</v>
      </c>
      <c r="D935" t="s">
        <v>3345</v>
      </c>
      <c r="E935" t="s">
        <v>4172</v>
      </c>
      <c r="F935" t="s">
        <v>3347</v>
      </c>
      <c r="G935" t="s">
        <v>89</v>
      </c>
      <c r="H935" t="s">
        <v>4172</v>
      </c>
      <c r="I935" t="s">
        <v>4172</v>
      </c>
      <c r="J935" t="s">
        <v>4172</v>
      </c>
      <c r="K935" t="s">
        <v>4172</v>
      </c>
    </row>
    <row r="936" spans="1:11" x14ac:dyDescent="0.25">
      <c r="A936">
        <v>935</v>
      </c>
      <c r="C936">
        <v>79643902</v>
      </c>
      <c r="D936" t="s">
        <v>3348</v>
      </c>
      <c r="E936" t="s">
        <v>4172</v>
      </c>
      <c r="F936" t="s">
        <v>3348</v>
      </c>
      <c r="G936" t="s">
        <v>143</v>
      </c>
      <c r="H936" t="s">
        <v>236</v>
      </c>
      <c r="I936" t="s">
        <v>4172</v>
      </c>
      <c r="J936" t="s">
        <v>4172</v>
      </c>
      <c r="K936" t="s">
        <v>4172</v>
      </c>
    </row>
    <row r="937" spans="1:11" x14ac:dyDescent="0.25">
      <c r="A937">
        <v>936</v>
      </c>
      <c r="C937">
        <v>53128830</v>
      </c>
      <c r="D937" t="s">
        <v>3350</v>
      </c>
      <c r="E937" t="s">
        <v>4172</v>
      </c>
      <c r="F937" t="s">
        <v>4172</v>
      </c>
      <c r="G937" t="s">
        <v>143</v>
      </c>
      <c r="H937" t="s">
        <v>2705</v>
      </c>
      <c r="I937" t="s">
        <v>4172</v>
      </c>
      <c r="J937" t="s">
        <v>4172</v>
      </c>
      <c r="K937" t="s">
        <v>4172</v>
      </c>
    </row>
    <row r="938" spans="1:11" x14ac:dyDescent="0.25">
      <c r="A938">
        <v>937</v>
      </c>
      <c r="C938">
        <v>80212731</v>
      </c>
      <c r="D938" t="s">
        <v>3353</v>
      </c>
      <c r="E938" t="s">
        <v>4172</v>
      </c>
      <c r="F938" t="s">
        <v>4172</v>
      </c>
      <c r="G938" t="s">
        <v>143</v>
      </c>
      <c r="H938" t="s">
        <v>2705</v>
      </c>
      <c r="I938" t="s">
        <v>978</v>
      </c>
      <c r="J938" t="s">
        <v>4172</v>
      </c>
      <c r="K938" t="s">
        <v>4172</v>
      </c>
    </row>
    <row r="939" spans="1:11" x14ac:dyDescent="0.25">
      <c r="A939">
        <v>938</v>
      </c>
      <c r="C939">
        <v>1014267700</v>
      </c>
      <c r="D939" t="s">
        <v>3355</v>
      </c>
      <c r="E939" t="s">
        <v>4172</v>
      </c>
      <c r="F939" t="s">
        <v>4172</v>
      </c>
      <c r="G939" t="s">
        <v>143</v>
      </c>
      <c r="H939" t="s">
        <v>236</v>
      </c>
      <c r="I939" t="s">
        <v>978</v>
      </c>
      <c r="J939" t="s">
        <v>4172</v>
      </c>
      <c r="K939" t="s">
        <v>4172</v>
      </c>
    </row>
    <row r="940" spans="1:11" x14ac:dyDescent="0.25">
      <c r="A940">
        <v>939</v>
      </c>
      <c r="D940" t="s">
        <v>3358</v>
      </c>
      <c r="E940" t="s">
        <v>3361</v>
      </c>
      <c r="F940" t="s">
        <v>3360</v>
      </c>
      <c r="G940" t="s">
        <v>143</v>
      </c>
      <c r="H940" t="s">
        <v>1082</v>
      </c>
      <c r="I940" t="s">
        <v>4172</v>
      </c>
      <c r="J940" t="s">
        <v>4172</v>
      </c>
      <c r="K940" t="s">
        <v>4172</v>
      </c>
    </row>
    <row r="941" spans="1:11" x14ac:dyDescent="0.25">
      <c r="A941">
        <v>940</v>
      </c>
      <c r="D941" t="s">
        <v>3362</v>
      </c>
      <c r="E941" t="s">
        <v>4172</v>
      </c>
      <c r="F941" t="s">
        <v>4172</v>
      </c>
      <c r="G941" t="s">
        <v>143</v>
      </c>
      <c r="H941" t="s">
        <v>625</v>
      </c>
      <c r="I941" t="s">
        <v>4172</v>
      </c>
      <c r="J941" t="s">
        <v>4172</v>
      </c>
      <c r="K941" t="s">
        <v>4172</v>
      </c>
    </row>
    <row r="942" spans="1:11" x14ac:dyDescent="0.25">
      <c r="A942">
        <v>941</v>
      </c>
      <c r="C942">
        <v>0</v>
      </c>
      <c r="D942" t="s">
        <v>3365</v>
      </c>
      <c r="E942" t="s">
        <v>4172</v>
      </c>
      <c r="F942" t="s">
        <v>3367</v>
      </c>
      <c r="G942" t="s">
        <v>143</v>
      </c>
      <c r="H942" t="s">
        <v>2705</v>
      </c>
      <c r="I942" t="s">
        <v>4172</v>
      </c>
      <c r="J942" t="s">
        <v>4172</v>
      </c>
      <c r="K942" t="s">
        <v>4172</v>
      </c>
    </row>
    <row r="943" spans="1:11" x14ac:dyDescent="0.25">
      <c r="A943">
        <v>942</v>
      </c>
      <c r="D943" t="s">
        <v>3368</v>
      </c>
      <c r="E943" t="s">
        <v>4172</v>
      </c>
      <c r="F943" t="s">
        <v>4172</v>
      </c>
      <c r="G943" t="s">
        <v>143</v>
      </c>
      <c r="H943" t="s">
        <v>2705</v>
      </c>
      <c r="I943" t="s">
        <v>4172</v>
      </c>
      <c r="J943" t="s">
        <v>4172</v>
      </c>
      <c r="K943" t="s">
        <v>4172</v>
      </c>
    </row>
    <row r="944" spans="1:11" x14ac:dyDescent="0.25">
      <c r="A944">
        <v>943</v>
      </c>
      <c r="C944">
        <v>791695439</v>
      </c>
      <c r="D944" t="s">
        <v>3371</v>
      </c>
      <c r="E944" t="s">
        <v>4172</v>
      </c>
      <c r="F944" t="s">
        <v>3373</v>
      </c>
      <c r="G944" t="s">
        <v>4172</v>
      </c>
      <c r="H944" t="s">
        <v>4172</v>
      </c>
      <c r="I944" t="s">
        <v>978</v>
      </c>
      <c r="J944" t="s">
        <v>4172</v>
      </c>
      <c r="K944" t="s">
        <v>4172</v>
      </c>
    </row>
    <row r="945" spans="1:11" x14ac:dyDescent="0.25">
      <c r="A945">
        <v>944</v>
      </c>
      <c r="C945">
        <v>1024177282</v>
      </c>
      <c r="D945" t="s">
        <v>3374</v>
      </c>
      <c r="E945" t="s">
        <v>4172</v>
      </c>
      <c r="F945" t="s">
        <v>4172</v>
      </c>
      <c r="G945" t="s">
        <v>143</v>
      </c>
      <c r="H945" t="s">
        <v>2705</v>
      </c>
      <c r="I945" t="s">
        <v>978</v>
      </c>
      <c r="J945" t="s">
        <v>2729</v>
      </c>
      <c r="K945" t="s">
        <v>4172</v>
      </c>
    </row>
    <row r="946" spans="1:11" x14ac:dyDescent="0.25">
      <c r="A946">
        <v>945</v>
      </c>
      <c r="C946">
        <v>14105711</v>
      </c>
      <c r="D946" t="s">
        <v>3376</v>
      </c>
      <c r="E946" t="s">
        <v>4172</v>
      </c>
      <c r="F946" t="s">
        <v>4172</v>
      </c>
      <c r="G946" t="s">
        <v>143</v>
      </c>
      <c r="H946" t="s">
        <v>818</v>
      </c>
      <c r="I946" t="s">
        <v>978</v>
      </c>
      <c r="J946" t="s">
        <v>4172</v>
      </c>
      <c r="K946" t="s">
        <v>4172</v>
      </c>
    </row>
    <row r="947" spans="1:11" x14ac:dyDescent="0.25">
      <c r="A947">
        <v>946</v>
      </c>
      <c r="C947">
        <v>53065724</v>
      </c>
      <c r="D947" t="s">
        <v>3378</v>
      </c>
      <c r="E947" t="s">
        <v>4172</v>
      </c>
      <c r="F947" t="s">
        <v>4172</v>
      </c>
      <c r="G947" t="s">
        <v>143</v>
      </c>
      <c r="H947" t="s">
        <v>2705</v>
      </c>
      <c r="I947" t="s">
        <v>978</v>
      </c>
      <c r="J947" t="s">
        <v>2729</v>
      </c>
      <c r="K947" t="s">
        <v>4172</v>
      </c>
    </row>
    <row r="948" spans="1:11" x14ac:dyDescent="0.25">
      <c r="A948">
        <v>947</v>
      </c>
      <c r="C948">
        <v>79731694</v>
      </c>
      <c r="D948" t="s">
        <v>3380</v>
      </c>
      <c r="E948" t="s">
        <v>3383</v>
      </c>
      <c r="F948" t="s">
        <v>3382</v>
      </c>
      <c r="G948" t="s">
        <v>143</v>
      </c>
      <c r="H948" t="s">
        <v>3384</v>
      </c>
      <c r="I948" t="s">
        <v>978</v>
      </c>
      <c r="J948" t="s">
        <v>4172</v>
      </c>
      <c r="K948" t="s">
        <v>4172</v>
      </c>
    </row>
    <row r="949" spans="1:11" x14ac:dyDescent="0.25">
      <c r="A949">
        <v>948</v>
      </c>
      <c r="C949">
        <v>900547519</v>
      </c>
      <c r="D949" t="s">
        <v>3385</v>
      </c>
      <c r="E949" t="s">
        <v>3388</v>
      </c>
      <c r="F949" t="s">
        <v>3387</v>
      </c>
      <c r="G949" t="s">
        <v>143</v>
      </c>
      <c r="H949" t="s">
        <v>2705</v>
      </c>
      <c r="I949" t="s">
        <v>978</v>
      </c>
      <c r="J949" t="s">
        <v>2729</v>
      </c>
      <c r="K949" t="s">
        <v>4172</v>
      </c>
    </row>
    <row r="950" spans="1:11" x14ac:dyDescent="0.25">
      <c r="A950">
        <v>949</v>
      </c>
      <c r="C950">
        <v>18182045</v>
      </c>
      <c r="D950" t="s">
        <v>3389</v>
      </c>
      <c r="E950" t="s">
        <v>4172</v>
      </c>
      <c r="F950" t="s">
        <v>3389</v>
      </c>
      <c r="G950" t="s">
        <v>143</v>
      </c>
      <c r="H950" t="s">
        <v>625</v>
      </c>
      <c r="I950" t="s">
        <v>4172</v>
      </c>
      <c r="J950" t="s">
        <v>4172</v>
      </c>
      <c r="K950" t="s">
        <v>4172</v>
      </c>
    </row>
    <row r="951" spans="1:11" x14ac:dyDescent="0.25">
      <c r="A951">
        <v>950</v>
      </c>
      <c r="C951">
        <v>65715592</v>
      </c>
      <c r="D951" t="s">
        <v>3391</v>
      </c>
      <c r="E951" t="s">
        <v>4172</v>
      </c>
      <c r="F951" t="s">
        <v>4172</v>
      </c>
      <c r="G951" t="s">
        <v>143</v>
      </c>
      <c r="H951" t="s">
        <v>3275</v>
      </c>
      <c r="I951" t="s">
        <v>4172</v>
      </c>
      <c r="J951" t="s">
        <v>4172</v>
      </c>
      <c r="K951" t="s">
        <v>4172</v>
      </c>
    </row>
    <row r="952" spans="1:11" x14ac:dyDescent="0.25">
      <c r="A952">
        <v>951</v>
      </c>
      <c r="C952">
        <v>1010219962</v>
      </c>
      <c r="D952" t="s">
        <v>3393</v>
      </c>
      <c r="E952" t="s">
        <v>4172</v>
      </c>
      <c r="F952" t="s">
        <v>3393</v>
      </c>
      <c r="G952" t="s">
        <v>143</v>
      </c>
      <c r="H952" t="s">
        <v>2705</v>
      </c>
      <c r="I952" t="s">
        <v>4172</v>
      </c>
      <c r="J952" t="s">
        <v>4172</v>
      </c>
      <c r="K952" t="s">
        <v>4172</v>
      </c>
    </row>
    <row r="953" spans="1:11" x14ac:dyDescent="0.25">
      <c r="A953">
        <v>952</v>
      </c>
      <c r="C953">
        <v>1031163542</v>
      </c>
      <c r="D953" t="s">
        <v>3395</v>
      </c>
      <c r="E953" t="s">
        <v>4172</v>
      </c>
      <c r="F953" t="s">
        <v>3006</v>
      </c>
      <c r="G953" t="s">
        <v>89</v>
      </c>
      <c r="H953" t="s">
        <v>4172</v>
      </c>
      <c r="I953" t="s">
        <v>4172</v>
      </c>
      <c r="J953" t="s">
        <v>4172</v>
      </c>
      <c r="K953" t="s">
        <v>4172</v>
      </c>
    </row>
    <row r="954" spans="1:11" x14ac:dyDescent="0.25">
      <c r="A954">
        <v>953</v>
      </c>
      <c r="C954">
        <v>79893809</v>
      </c>
      <c r="D954" t="s">
        <v>3397</v>
      </c>
      <c r="E954" t="s">
        <v>4172</v>
      </c>
      <c r="F954" t="s">
        <v>4172</v>
      </c>
      <c r="G954" t="s">
        <v>143</v>
      </c>
      <c r="H954" t="s">
        <v>256</v>
      </c>
      <c r="I954" t="s">
        <v>978</v>
      </c>
      <c r="J954" t="s">
        <v>256</v>
      </c>
      <c r="K954" t="s">
        <v>4172</v>
      </c>
    </row>
    <row r="955" spans="1:11" x14ac:dyDescent="0.25">
      <c r="A955">
        <v>954</v>
      </c>
      <c r="D955" t="s">
        <v>3400</v>
      </c>
      <c r="E955" t="s">
        <v>4172</v>
      </c>
      <c r="F955" t="s">
        <v>4172</v>
      </c>
      <c r="G955" t="s">
        <v>143</v>
      </c>
      <c r="H955" t="s">
        <v>2705</v>
      </c>
      <c r="I955" t="s">
        <v>4172</v>
      </c>
      <c r="J955" t="s">
        <v>4172</v>
      </c>
      <c r="K955" t="s">
        <v>4172</v>
      </c>
    </row>
    <row r="956" spans="1:11" x14ac:dyDescent="0.25">
      <c r="A956">
        <v>955</v>
      </c>
      <c r="D956" t="s">
        <v>3401</v>
      </c>
      <c r="E956" t="s">
        <v>4172</v>
      </c>
      <c r="F956" t="s">
        <v>3403</v>
      </c>
      <c r="G956" t="s">
        <v>143</v>
      </c>
      <c r="H956" t="s">
        <v>1082</v>
      </c>
      <c r="I956" t="s">
        <v>4172</v>
      </c>
      <c r="J956" t="s">
        <v>4172</v>
      </c>
      <c r="K956" t="s">
        <v>4172</v>
      </c>
    </row>
    <row r="957" spans="1:11" x14ac:dyDescent="0.25">
      <c r="A957">
        <v>956</v>
      </c>
      <c r="C957">
        <v>0</v>
      </c>
      <c r="D957" t="s">
        <v>3404</v>
      </c>
      <c r="E957" t="s">
        <v>4172</v>
      </c>
      <c r="F957" t="s">
        <v>3405</v>
      </c>
      <c r="G957" t="s">
        <v>89</v>
      </c>
      <c r="H957" t="s">
        <v>3406</v>
      </c>
      <c r="I957" t="s">
        <v>4172</v>
      </c>
      <c r="J957" t="s">
        <v>4172</v>
      </c>
      <c r="K957" t="s">
        <v>4172</v>
      </c>
    </row>
    <row r="958" spans="1:11" x14ac:dyDescent="0.25">
      <c r="A958">
        <v>957</v>
      </c>
      <c r="C958">
        <v>79049335</v>
      </c>
      <c r="D958" t="s">
        <v>3407</v>
      </c>
      <c r="E958" t="s">
        <v>4172</v>
      </c>
      <c r="F958" t="s">
        <v>4172</v>
      </c>
      <c r="G958" t="s">
        <v>143</v>
      </c>
      <c r="H958" t="s">
        <v>3410</v>
      </c>
      <c r="I958" t="s">
        <v>978</v>
      </c>
      <c r="J958" t="s">
        <v>2729</v>
      </c>
      <c r="K958" t="s">
        <v>4172</v>
      </c>
    </row>
    <row r="959" spans="1:11" x14ac:dyDescent="0.25">
      <c r="A959">
        <v>958</v>
      </c>
      <c r="D959" t="s">
        <v>3411</v>
      </c>
      <c r="E959" t="s">
        <v>4172</v>
      </c>
      <c r="F959" t="s">
        <v>3412</v>
      </c>
      <c r="G959" t="s">
        <v>143</v>
      </c>
      <c r="H959" t="s">
        <v>4172</v>
      </c>
      <c r="I959" t="s">
        <v>4172</v>
      </c>
      <c r="J959" t="s">
        <v>4172</v>
      </c>
      <c r="K959" t="s">
        <v>4172</v>
      </c>
    </row>
    <row r="960" spans="1:11" x14ac:dyDescent="0.25">
      <c r="A960">
        <v>959</v>
      </c>
      <c r="C960">
        <v>17325987</v>
      </c>
      <c r="D960" t="s">
        <v>3413</v>
      </c>
      <c r="E960" t="s">
        <v>4172</v>
      </c>
      <c r="F960" t="s">
        <v>4172</v>
      </c>
      <c r="G960" t="s">
        <v>143</v>
      </c>
      <c r="H960" t="s">
        <v>3415</v>
      </c>
      <c r="I960" t="s">
        <v>4172</v>
      </c>
      <c r="J960" t="s">
        <v>4172</v>
      </c>
      <c r="K960" t="s">
        <v>4172</v>
      </c>
    </row>
    <row r="961" spans="1:11" x14ac:dyDescent="0.25">
      <c r="A961">
        <v>960</v>
      </c>
      <c r="D961" t="s">
        <v>3416</v>
      </c>
      <c r="E961" t="s">
        <v>4172</v>
      </c>
      <c r="F961" t="s">
        <v>3419</v>
      </c>
      <c r="G961" t="s">
        <v>143</v>
      </c>
      <c r="H961" t="s">
        <v>2214</v>
      </c>
      <c r="I961" t="s">
        <v>4172</v>
      </c>
      <c r="J961" t="s">
        <v>4172</v>
      </c>
      <c r="K961" t="s">
        <v>4172</v>
      </c>
    </row>
    <row r="962" spans="1:11" x14ac:dyDescent="0.25">
      <c r="A962">
        <v>961</v>
      </c>
      <c r="C962">
        <v>1013611915</v>
      </c>
      <c r="D962" t="s">
        <v>3420</v>
      </c>
      <c r="E962" t="s">
        <v>4172</v>
      </c>
      <c r="F962" t="s">
        <v>4172</v>
      </c>
      <c r="G962" t="s">
        <v>143</v>
      </c>
      <c r="H962" t="s">
        <v>562</v>
      </c>
      <c r="I962" t="s">
        <v>4172</v>
      </c>
      <c r="J962" t="s">
        <v>4172</v>
      </c>
      <c r="K962" t="s">
        <v>4172</v>
      </c>
    </row>
    <row r="963" spans="1:11" x14ac:dyDescent="0.25">
      <c r="A963">
        <v>962</v>
      </c>
      <c r="C963">
        <v>1010056835</v>
      </c>
      <c r="D963" t="s">
        <v>3422</v>
      </c>
      <c r="E963" t="s">
        <v>4172</v>
      </c>
      <c r="F963" t="s">
        <v>4172</v>
      </c>
      <c r="G963" t="s">
        <v>143</v>
      </c>
      <c r="H963" t="s">
        <v>2705</v>
      </c>
      <c r="I963" t="s">
        <v>978</v>
      </c>
      <c r="J963" t="s">
        <v>2729</v>
      </c>
      <c r="K963" t="s">
        <v>4172</v>
      </c>
    </row>
    <row r="964" spans="1:11" x14ac:dyDescent="0.25">
      <c r="A964">
        <v>963</v>
      </c>
      <c r="C964">
        <v>19114414</v>
      </c>
      <c r="D964" t="s">
        <v>3424</v>
      </c>
      <c r="E964" t="s">
        <v>3428</v>
      </c>
      <c r="F964" t="s">
        <v>3427</v>
      </c>
      <c r="G964" t="s">
        <v>143</v>
      </c>
      <c r="H964" t="s">
        <v>1082</v>
      </c>
      <c r="I964" t="s">
        <v>4172</v>
      </c>
      <c r="J964" t="s">
        <v>4172</v>
      </c>
      <c r="K964" t="s">
        <v>4172</v>
      </c>
    </row>
    <row r="965" spans="1:11" x14ac:dyDescent="0.25">
      <c r="A965">
        <v>964</v>
      </c>
      <c r="C965">
        <v>79636951</v>
      </c>
      <c r="D965" t="s">
        <v>3429</v>
      </c>
      <c r="E965" t="s">
        <v>4172</v>
      </c>
      <c r="F965" t="s">
        <v>4172</v>
      </c>
      <c r="G965" t="s">
        <v>143</v>
      </c>
      <c r="H965" t="s">
        <v>2705</v>
      </c>
      <c r="I965" t="s">
        <v>4172</v>
      </c>
      <c r="J965" t="s">
        <v>4172</v>
      </c>
      <c r="K965" t="s">
        <v>4172</v>
      </c>
    </row>
    <row r="966" spans="1:11" x14ac:dyDescent="0.25">
      <c r="A966">
        <v>965</v>
      </c>
      <c r="D966" t="s">
        <v>3431</v>
      </c>
      <c r="E966" t="s">
        <v>4172</v>
      </c>
      <c r="F966" t="s">
        <v>4172</v>
      </c>
      <c r="G966" t="s">
        <v>143</v>
      </c>
      <c r="H966" t="s">
        <v>1949</v>
      </c>
      <c r="I966" t="s">
        <v>4172</v>
      </c>
      <c r="J966" t="s">
        <v>4172</v>
      </c>
      <c r="K966" t="s">
        <v>4172</v>
      </c>
    </row>
    <row r="967" spans="1:11" x14ac:dyDescent="0.25">
      <c r="A967">
        <v>966</v>
      </c>
      <c r="D967" t="s">
        <v>3433</v>
      </c>
      <c r="E967" t="s">
        <v>3436</v>
      </c>
      <c r="F967" t="s">
        <v>3435</v>
      </c>
      <c r="G967" t="s">
        <v>143</v>
      </c>
      <c r="H967" t="s">
        <v>978</v>
      </c>
      <c r="I967" t="s">
        <v>3437</v>
      </c>
      <c r="J967" t="s">
        <v>4172</v>
      </c>
      <c r="K967" t="s">
        <v>4172</v>
      </c>
    </row>
    <row r="968" spans="1:11" x14ac:dyDescent="0.25">
      <c r="A968">
        <v>967</v>
      </c>
      <c r="C968">
        <v>1013613306</v>
      </c>
      <c r="D968" t="s">
        <v>3438</v>
      </c>
      <c r="E968" t="s">
        <v>3439</v>
      </c>
      <c r="F968" t="s">
        <v>3438</v>
      </c>
      <c r="G968" t="s">
        <v>143</v>
      </c>
      <c r="H968" t="s">
        <v>3440</v>
      </c>
      <c r="I968" t="s">
        <v>4172</v>
      </c>
      <c r="J968" t="s">
        <v>4172</v>
      </c>
      <c r="K968" t="s">
        <v>4172</v>
      </c>
    </row>
    <row r="969" spans="1:11" x14ac:dyDescent="0.25">
      <c r="A969">
        <v>968</v>
      </c>
      <c r="D969" t="s">
        <v>3441</v>
      </c>
      <c r="E969" t="s">
        <v>4172</v>
      </c>
      <c r="F969" t="s">
        <v>4172</v>
      </c>
      <c r="G969" t="s">
        <v>143</v>
      </c>
      <c r="H969" t="s">
        <v>4172</v>
      </c>
      <c r="I969" t="s">
        <v>4172</v>
      </c>
      <c r="J969" t="s">
        <v>4172</v>
      </c>
      <c r="K969" t="s">
        <v>4172</v>
      </c>
    </row>
    <row r="970" spans="1:11" x14ac:dyDescent="0.25">
      <c r="A970">
        <v>969</v>
      </c>
      <c r="D970" t="s">
        <v>3443</v>
      </c>
      <c r="E970" t="s">
        <v>4172</v>
      </c>
      <c r="F970" t="s">
        <v>4172</v>
      </c>
      <c r="G970" t="s">
        <v>4172</v>
      </c>
      <c r="H970" t="s">
        <v>4172</v>
      </c>
      <c r="K970" t="s">
        <v>4172</v>
      </c>
    </row>
    <row r="971" spans="1:11" x14ac:dyDescent="0.25">
      <c r="A971">
        <v>970</v>
      </c>
      <c r="D971" t="s">
        <v>3445</v>
      </c>
      <c r="E971" t="s">
        <v>4172</v>
      </c>
      <c r="F971" t="s">
        <v>3446</v>
      </c>
      <c r="G971" t="s">
        <v>4172</v>
      </c>
      <c r="H971" t="s">
        <v>4172</v>
      </c>
      <c r="K971" t="s">
        <v>4172</v>
      </c>
    </row>
    <row r="972" spans="1:11" x14ac:dyDescent="0.25">
      <c r="A972">
        <v>971</v>
      </c>
      <c r="C972">
        <v>20750453</v>
      </c>
      <c r="D972" t="s">
        <v>3447</v>
      </c>
      <c r="E972" t="s">
        <v>4172</v>
      </c>
      <c r="F972" t="s">
        <v>4172</v>
      </c>
      <c r="G972" t="s">
        <v>143</v>
      </c>
      <c r="H972" t="s">
        <v>4172</v>
      </c>
      <c r="I972" t="s">
        <v>4172</v>
      </c>
      <c r="J972" t="s">
        <v>4172</v>
      </c>
      <c r="K972" t="s">
        <v>4172</v>
      </c>
    </row>
    <row r="973" spans="1:11" x14ac:dyDescent="0.25">
      <c r="A973">
        <v>972</v>
      </c>
      <c r="C973">
        <v>80146644</v>
      </c>
      <c r="D973" t="s">
        <v>3450</v>
      </c>
      <c r="E973" t="s">
        <v>4172</v>
      </c>
      <c r="F973" t="s">
        <v>4172</v>
      </c>
      <c r="G973" t="s">
        <v>143</v>
      </c>
      <c r="H973" t="s">
        <v>2705</v>
      </c>
      <c r="I973" t="s">
        <v>4172</v>
      </c>
      <c r="J973" t="s">
        <v>4172</v>
      </c>
      <c r="K973" t="s">
        <v>4172</v>
      </c>
    </row>
    <row r="974" spans="1:11" x14ac:dyDescent="0.25">
      <c r="A974">
        <v>973</v>
      </c>
      <c r="C974">
        <v>51787807</v>
      </c>
      <c r="D974" t="s">
        <v>3454</v>
      </c>
      <c r="E974" t="s">
        <v>4172</v>
      </c>
      <c r="F974" t="s">
        <v>4172</v>
      </c>
      <c r="G974" t="s">
        <v>143</v>
      </c>
      <c r="H974" t="s">
        <v>3456</v>
      </c>
      <c r="I974" t="s">
        <v>4172</v>
      </c>
      <c r="J974" t="s">
        <v>4172</v>
      </c>
      <c r="K974" t="s">
        <v>4172</v>
      </c>
    </row>
    <row r="975" spans="1:11" x14ac:dyDescent="0.25">
      <c r="A975">
        <v>974</v>
      </c>
      <c r="C975">
        <v>19173778</v>
      </c>
      <c r="D975" t="s">
        <v>3457</v>
      </c>
      <c r="E975" t="s">
        <v>4172</v>
      </c>
      <c r="F975" t="s">
        <v>4172</v>
      </c>
      <c r="G975" t="s">
        <v>143</v>
      </c>
      <c r="H975" t="s">
        <v>3460</v>
      </c>
      <c r="I975" t="s">
        <v>978</v>
      </c>
      <c r="J975" t="s">
        <v>4172</v>
      </c>
      <c r="K975" t="s">
        <v>4172</v>
      </c>
    </row>
    <row r="976" spans="1:11" x14ac:dyDescent="0.25">
      <c r="A976">
        <v>975</v>
      </c>
      <c r="C976">
        <v>79302421</v>
      </c>
      <c r="D976" t="s">
        <v>3461</v>
      </c>
      <c r="E976" t="s">
        <v>3465</v>
      </c>
      <c r="F976" t="s">
        <v>3464</v>
      </c>
      <c r="G976" t="s">
        <v>143</v>
      </c>
      <c r="H976" t="s">
        <v>2120</v>
      </c>
      <c r="I976" t="s">
        <v>2851</v>
      </c>
      <c r="J976" t="s">
        <v>4172</v>
      </c>
      <c r="K976" t="s">
        <v>4172</v>
      </c>
    </row>
    <row r="977" spans="1:11" x14ac:dyDescent="0.25">
      <c r="A977">
        <v>976</v>
      </c>
      <c r="C977">
        <v>52980369</v>
      </c>
      <c r="D977" t="s">
        <v>3466</v>
      </c>
      <c r="E977" t="s">
        <v>4172</v>
      </c>
      <c r="F977" t="s">
        <v>4172</v>
      </c>
      <c r="G977" t="s">
        <v>143</v>
      </c>
      <c r="H977" t="s">
        <v>625</v>
      </c>
      <c r="I977" t="s">
        <v>978</v>
      </c>
      <c r="J977" t="s">
        <v>4172</v>
      </c>
      <c r="K977" t="s">
        <v>4172</v>
      </c>
    </row>
    <row r="978" spans="1:11" x14ac:dyDescent="0.25">
      <c r="A978">
        <v>977</v>
      </c>
      <c r="C978">
        <v>1092344484</v>
      </c>
      <c r="D978" t="s">
        <v>3468</v>
      </c>
      <c r="E978" t="s">
        <v>4172</v>
      </c>
      <c r="F978" t="s">
        <v>4172</v>
      </c>
      <c r="G978" t="s">
        <v>143</v>
      </c>
      <c r="H978" t="s">
        <v>3470</v>
      </c>
      <c r="I978" t="s">
        <v>978</v>
      </c>
      <c r="J978" t="s">
        <v>4172</v>
      </c>
      <c r="K978" t="s">
        <v>4172</v>
      </c>
    </row>
    <row r="979" spans="1:11" x14ac:dyDescent="0.25">
      <c r="A979">
        <v>978</v>
      </c>
      <c r="C979">
        <v>0</v>
      </c>
      <c r="D979" t="s">
        <v>3471</v>
      </c>
      <c r="E979" t="s">
        <v>4172</v>
      </c>
      <c r="F979" t="s">
        <v>4172</v>
      </c>
      <c r="G979" t="s">
        <v>143</v>
      </c>
      <c r="H979" t="s">
        <v>1949</v>
      </c>
      <c r="I979" t="s">
        <v>4172</v>
      </c>
      <c r="J979" t="s">
        <v>4172</v>
      </c>
      <c r="K979" t="s">
        <v>4172</v>
      </c>
    </row>
    <row r="980" spans="1:11" x14ac:dyDescent="0.25">
      <c r="A980">
        <v>979</v>
      </c>
      <c r="C980">
        <v>-900930749</v>
      </c>
      <c r="D980" t="s">
        <v>3473</v>
      </c>
      <c r="E980" t="s">
        <v>3477</v>
      </c>
      <c r="F980" t="s">
        <v>3476</v>
      </c>
      <c r="G980" t="s">
        <v>143</v>
      </c>
      <c r="H980" t="s">
        <v>3478</v>
      </c>
      <c r="I980" t="s">
        <v>978</v>
      </c>
      <c r="J980" t="s">
        <v>4172</v>
      </c>
      <c r="K980" t="s">
        <v>4172</v>
      </c>
    </row>
    <row r="981" spans="1:11" x14ac:dyDescent="0.25">
      <c r="A981">
        <v>980</v>
      </c>
      <c r="C981">
        <v>79316117</v>
      </c>
      <c r="D981" t="s">
        <v>3479</v>
      </c>
      <c r="E981" t="s">
        <v>4172</v>
      </c>
      <c r="F981" t="s">
        <v>4172</v>
      </c>
      <c r="G981" t="s">
        <v>143</v>
      </c>
      <c r="H981" t="s">
        <v>2705</v>
      </c>
      <c r="I981" t="s">
        <v>978</v>
      </c>
      <c r="J981" t="s">
        <v>2729</v>
      </c>
      <c r="K981" t="s">
        <v>4172</v>
      </c>
    </row>
    <row r="982" spans="1:11" x14ac:dyDescent="0.25">
      <c r="A982">
        <v>981</v>
      </c>
      <c r="D982" t="s">
        <v>3480</v>
      </c>
      <c r="E982" t="s">
        <v>3482</v>
      </c>
      <c r="F982" t="s">
        <v>3480</v>
      </c>
      <c r="G982" t="s">
        <v>143</v>
      </c>
      <c r="H982" t="s">
        <v>1432</v>
      </c>
      <c r="I982" t="s">
        <v>4172</v>
      </c>
      <c r="J982" t="s">
        <v>4172</v>
      </c>
      <c r="K982" t="s">
        <v>4172</v>
      </c>
    </row>
    <row r="983" spans="1:11" x14ac:dyDescent="0.25">
      <c r="A983">
        <v>982</v>
      </c>
      <c r="C983">
        <v>0</v>
      </c>
      <c r="D983" t="s">
        <v>3483</v>
      </c>
      <c r="E983">
        <v>0</v>
      </c>
      <c r="F983">
        <v>0</v>
      </c>
      <c r="G983" t="s">
        <v>143</v>
      </c>
      <c r="H983">
        <v>0</v>
      </c>
      <c r="I983" t="s">
        <v>2399</v>
      </c>
    </row>
    <row r="984" spans="1:11" x14ac:dyDescent="0.25">
      <c r="A984">
        <v>983</v>
      </c>
      <c r="D984" t="s">
        <v>3484</v>
      </c>
      <c r="E984" t="s">
        <v>4172</v>
      </c>
      <c r="F984" t="s">
        <v>4172</v>
      </c>
      <c r="G984" t="s">
        <v>143</v>
      </c>
      <c r="H984" t="s">
        <v>2705</v>
      </c>
      <c r="I984" t="s">
        <v>4172</v>
      </c>
      <c r="J984" t="s">
        <v>4172</v>
      </c>
      <c r="K984" t="s">
        <v>4172</v>
      </c>
    </row>
    <row r="985" spans="1:11" x14ac:dyDescent="0.25">
      <c r="A985">
        <v>984</v>
      </c>
      <c r="C985">
        <v>94430601</v>
      </c>
      <c r="D985" t="s">
        <v>3487</v>
      </c>
      <c r="F985" t="s">
        <v>3490</v>
      </c>
      <c r="G985" t="s">
        <v>143</v>
      </c>
      <c r="H985" t="s">
        <v>2516</v>
      </c>
    </row>
    <row r="986" spans="1:11" x14ac:dyDescent="0.25">
      <c r="A986">
        <v>985</v>
      </c>
      <c r="D986" t="s">
        <v>3491</v>
      </c>
      <c r="E986" t="s">
        <v>3494</v>
      </c>
      <c r="F986" t="s">
        <v>3491</v>
      </c>
      <c r="G986" t="s">
        <v>143</v>
      </c>
      <c r="H986" t="s">
        <v>3000</v>
      </c>
      <c r="I986" t="s">
        <v>3495</v>
      </c>
      <c r="J986" t="s">
        <v>4172</v>
      </c>
      <c r="K986" t="s">
        <v>4172</v>
      </c>
    </row>
    <row r="987" spans="1:11" x14ac:dyDescent="0.25">
      <c r="A987">
        <v>986</v>
      </c>
      <c r="D987" t="s">
        <v>3496</v>
      </c>
      <c r="E987" t="s">
        <v>3500</v>
      </c>
      <c r="F987" t="s">
        <v>3499</v>
      </c>
      <c r="G987" t="s">
        <v>143</v>
      </c>
      <c r="H987" t="s">
        <v>3501</v>
      </c>
      <c r="I987" t="s">
        <v>4172</v>
      </c>
      <c r="J987" t="s">
        <v>4172</v>
      </c>
      <c r="K987" t="s">
        <v>4172</v>
      </c>
    </row>
    <row r="988" spans="1:11" x14ac:dyDescent="0.25">
      <c r="A988">
        <v>987</v>
      </c>
      <c r="C988">
        <v>52766436</v>
      </c>
      <c r="D988" t="s">
        <v>3502</v>
      </c>
      <c r="E988" t="s">
        <v>4172</v>
      </c>
      <c r="F988" t="s">
        <v>4172</v>
      </c>
      <c r="G988" t="s">
        <v>4172</v>
      </c>
      <c r="H988" t="s">
        <v>4172</v>
      </c>
      <c r="K988" t="s">
        <v>4172</v>
      </c>
    </row>
    <row r="989" spans="1:11" x14ac:dyDescent="0.25">
      <c r="A989">
        <v>988</v>
      </c>
      <c r="D989" t="s">
        <v>3503</v>
      </c>
      <c r="E989" t="s">
        <v>3506</v>
      </c>
      <c r="F989" t="s">
        <v>3503</v>
      </c>
      <c r="G989" t="s">
        <v>143</v>
      </c>
      <c r="H989" t="s">
        <v>4172</v>
      </c>
      <c r="I989" t="s">
        <v>4172</v>
      </c>
      <c r="J989" t="s">
        <v>4172</v>
      </c>
      <c r="K989" t="s">
        <v>4172</v>
      </c>
    </row>
    <row r="990" spans="1:11" x14ac:dyDescent="0.25">
      <c r="A990">
        <v>989</v>
      </c>
      <c r="D990" t="s">
        <v>3507</v>
      </c>
      <c r="E990" t="s">
        <v>3509</v>
      </c>
      <c r="F990" t="s">
        <v>4172</v>
      </c>
      <c r="G990" t="s">
        <v>143</v>
      </c>
      <c r="H990" t="s">
        <v>3510</v>
      </c>
      <c r="I990" t="s">
        <v>4172</v>
      </c>
      <c r="J990" t="s">
        <v>4172</v>
      </c>
      <c r="K990" t="s">
        <v>4172</v>
      </c>
    </row>
    <row r="991" spans="1:11" x14ac:dyDescent="0.25">
      <c r="A991">
        <v>990</v>
      </c>
      <c r="C991" t="s">
        <v>3512</v>
      </c>
      <c r="D991" t="s">
        <v>3511</v>
      </c>
      <c r="E991" t="s">
        <v>3512</v>
      </c>
      <c r="F991" t="s">
        <v>3511</v>
      </c>
      <c r="G991" t="s">
        <v>143</v>
      </c>
    </row>
    <row r="992" spans="1:11" x14ac:dyDescent="0.25">
      <c r="A992">
        <v>991</v>
      </c>
      <c r="C992">
        <v>63305382</v>
      </c>
      <c r="D992" t="s">
        <v>3514</v>
      </c>
      <c r="E992">
        <v>63305382</v>
      </c>
      <c r="F992" t="s">
        <v>3516</v>
      </c>
      <c r="G992" t="s">
        <v>143</v>
      </c>
      <c r="H992" t="s">
        <v>256</v>
      </c>
    </row>
    <row r="993" spans="1:11" x14ac:dyDescent="0.25">
      <c r="A993">
        <v>992</v>
      </c>
      <c r="D993" t="s">
        <v>3517</v>
      </c>
      <c r="G993" t="s">
        <v>143</v>
      </c>
      <c r="H993" t="s">
        <v>3520</v>
      </c>
    </row>
    <row r="994" spans="1:11" x14ac:dyDescent="0.25">
      <c r="A994">
        <v>993</v>
      </c>
      <c r="C994">
        <v>0</v>
      </c>
      <c r="D994" t="s">
        <v>3521</v>
      </c>
      <c r="G994" t="s">
        <v>143</v>
      </c>
    </row>
    <row r="995" spans="1:11" x14ac:dyDescent="0.25">
      <c r="A995">
        <v>994</v>
      </c>
      <c r="C995">
        <v>9858163</v>
      </c>
      <c r="D995" t="s">
        <v>3523</v>
      </c>
      <c r="F995" t="s">
        <v>3523</v>
      </c>
    </row>
    <row r="996" spans="1:11" x14ac:dyDescent="0.25">
      <c r="A996">
        <v>995</v>
      </c>
      <c r="C996">
        <v>79636679</v>
      </c>
      <c r="D996" t="s">
        <v>3526</v>
      </c>
      <c r="F996" t="s">
        <v>3526</v>
      </c>
    </row>
    <row r="997" spans="1:11" x14ac:dyDescent="0.25">
      <c r="A997">
        <v>996</v>
      </c>
      <c r="C997">
        <v>1013579703</v>
      </c>
      <c r="D997" t="s">
        <v>3529</v>
      </c>
      <c r="E997" t="s">
        <v>3532</v>
      </c>
      <c r="F997" t="s">
        <v>3531</v>
      </c>
      <c r="G997" t="s">
        <v>143</v>
      </c>
      <c r="H997" t="s">
        <v>804</v>
      </c>
      <c r="I997" t="s">
        <v>2851</v>
      </c>
    </row>
    <row r="998" spans="1:11" x14ac:dyDescent="0.25">
      <c r="A998">
        <v>997</v>
      </c>
      <c r="C998">
        <v>1092346199</v>
      </c>
      <c r="D998" t="s">
        <v>3533</v>
      </c>
      <c r="E998">
        <v>1092346199</v>
      </c>
      <c r="F998" t="s">
        <v>3533</v>
      </c>
      <c r="G998" t="s">
        <v>143</v>
      </c>
      <c r="H998" t="s">
        <v>3536</v>
      </c>
    </row>
    <row r="999" spans="1:11" x14ac:dyDescent="0.25">
      <c r="A999">
        <v>998</v>
      </c>
      <c r="C999">
        <v>52112765</v>
      </c>
      <c r="D999" t="s">
        <v>3537</v>
      </c>
      <c r="E999">
        <v>52112765</v>
      </c>
      <c r="F999" t="s">
        <v>3537</v>
      </c>
      <c r="G999" t="s">
        <v>143</v>
      </c>
      <c r="H999" t="s">
        <v>3540</v>
      </c>
    </row>
    <row r="1000" spans="1:11" x14ac:dyDescent="0.25">
      <c r="A1000">
        <v>999</v>
      </c>
      <c r="C1000">
        <v>10087758</v>
      </c>
      <c r="D1000" t="s">
        <v>3541</v>
      </c>
      <c r="F1000" t="s">
        <v>3541</v>
      </c>
      <c r="G1000" t="s">
        <v>143</v>
      </c>
    </row>
    <row r="1001" spans="1:11" x14ac:dyDescent="0.25">
      <c r="A1001">
        <v>1000</v>
      </c>
      <c r="C1001">
        <v>1083812563</v>
      </c>
      <c r="D1001" t="s">
        <v>3543</v>
      </c>
      <c r="E1001" t="s">
        <v>4172</v>
      </c>
      <c r="F1001" t="s">
        <v>3543</v>
      </c>
      <c r="G1001" t="s">
        <v>143</v>
      </c>
      <c r="H1001" t="s">
        <v>4172</v>
      </c>
      <c r="K1001" t="s">
        <v>4172</v>
      </c>
    </row>
    <row r="1002" spans="1:11" x14ac:dyDescent="0.25">
      <c r="A1002">
        <v>1001</v>
      </c>
      <c r="C1002">
        <v>79061243</v>
      </c>
      <c r="D1002" t="s">
        <v>3544</v>
      </c>
      <c r="E1002">
        <v>79061243</v>
      </c>
      <c r="F1002" t="s">
        <v>3544</v>
      </c>
      <c r="G1002" t="s">
        <v>143</v>
      </c>
    </row>
    <row r="1003" spans="1:11" x14ac:dyDescent="0.25">
      <c r="A1003">
        <v>1002</v>
      </c>
      <c r="C1003">
        <v>0</v>
      </c>
      <c r="D1003" t="s">
        <v>3546</v>
      </c>
      <c r="E1003" t="s">
        <v>147</v>
      </c>
      <c r="F1003" t="s">
        <v>3548</v>
      </c>
      <c r="G1003" t="s">
        <v>143</v>
      </c>
      <c r="H1003" t="s">
        <v>89</v>
      </c>
      <c r="K1003" t="s">
        <v>4172</v>
      </c>
    </row>
    <row r="1004" spans="1:11" x14ac:dyDescent="0.25">
      <c r="A1004">
        <v>1003</v>
      </c>
      <c r="C1004" t="s">
        <v>3550</v>
      </c>
      <c r="D1004" t="s">
        <v>3549</v>
      </c>
      <c r="E1004" t="s">
        <v>3550</v>
      </c>
      <c r="G1004" t="s">
        <v>143</v>
      </c>
      <c r="H1004" t="s">
        <v>3553</v>
      </c>
    </row>
    <row r="1005" spans="1:11" x14ac:dyDescent="0.25">
      <c r="A1005">
        <v>1004</v>
      </c>
      <c r="C1005">
        <v>19195560</v>
      </c>
      <c r="D1005" t="s">
        <v>3554</v>
      </c>
      <c r="F1005" t="s">
        <v>2399</v>
      </c>
      <c r="G1005" t="s">
        <v>143</v>
      </c>
    </row>
    <row r="1006" spans="1:11" x14ac:dyDescent="0.25">
      <c r="A1006">
        <v>1005</v>
      </c>
      <c r="C1006">
        <v>0</v>
      </c>
      <c r="D1006" t="s">
        <v>3557</v>
      </c>
      <c r="E1006">
        <v>0</v>
      </c>
      <c r="F1006" t="s">
        <v>2399</v>
      </c>
      <c r="G1006" t="s">
        <v>143</v>
      </c>
    </row>
    <row r="1007" spans="1:11" x14ac:dyDescent="0.25">
      <c r="A1007">
        <v>1006</v>
      </c>
      <c r="C1007">
        <v>3006191</v>
      </c>
      <c r="D1007" t="s">
        <v>3559</v>
      </c>
      <c r="E1007">
        <v>0</v>
      </c>
      <c r="F1007" t="s">
        <v>2399</v>
      </c>
      <c r="G1007" t="s">
        <v>143</v>
      </c>
    </row>
    <row r="1008" spans="1:11" x14ac:dyDescent="0.25">
      <c r="A1008">
        <v>1007</v>
      </c>
      <c r="C1008">
        <v>17631108</v>
      </c>
      <c r="D1008" t="s">
        <v>3562</v>
      </c>
      <c r="E1008" t="s">
        <v>4172</v>
      </c>
      <c r="F1008" t="s">
        <v>4172</v>
      </c>
      <c r="G1008" t="s">
        <v>143</v>
      </c>
      <c r="H1008" t="s">
        <v>4172</v>
      </c>
      <c r="I1008" t="s">
        <v>4172</v>
      </c>
      <c r="J1008" t="s">
        <v>4172</v>
      </c>
      <c r="K1008" t="s">
        <v>4172</v>
      </c>
    </row>
    <row r="1009" spans="1:8" x14ac:dyDescent="0.25">
      <c r="A1009">
        <v>1008</v>
      </c>
      <c r="C1009" t="s">
        <v>3564</v>
      </c>
      <c r="D1009" t="s">
        <v>2103</v>
      </c>
      <c r="F1009" t="s">
        <v>2103</v>
      </c>
      <c r="G1009" t="s">
        <v>143</v>
      </c>
      <c r="H1009" t="s">
        <v>2705</v>
      </c>
    </row>
    <row r="1010" spans="1:8" x14ac:dyDescent="0.25">
      <c r="A1010">
        <v>1009</v>
      </c>
      <c r="C1010">
        <v>7695594</v>
      </c>
      <c r="D1010" t="s">
        <v>3566</v>
      </c>
      <c r="F1010" t="s">
        <v>3566</v>
      </c>
      <c r="G1010" t="s">
        <v>143</v>
      </c>
      <c r="H1010" t="s">
        <v>184</v>
      </c>
    </row>
    <row r="1011" spans="1:8" x14ac:dyDescent="0.25">
      <c r="A1011">
        <v>1010</v>
      </c>
      <c r="C1011">
        <v>40759887</v>
      </c>
      <c r="D1011" t="s">
        <v>3568</v>
      </c>
      <c r="E1011" t="s">
        <v>3571</v>
      </c>
      <c r="F1011" t="s">
        <v>3570</v>
      </c>
      <c r="G1011" t="s">
        <v>143</v>
      </c>
    </row>
    <row r="1012" spans="1:8" x14ac:dyDescent="0.25">
      <c r="A1012">
        <v>1011</v>
      </c>
      <c r="C1012">
        <v>98358446</v>
      </c>
      <c r="D1012" t="s">
        <v>3572</v>
      </c>
      <c r="F1012" t="s">
        <v>3572</v>
      </c>
      <c r="G1012" t="s">
        <v>143</v>
      </c>
      <c r="H1012" t="s">
        <v>184</v>
      </c>
    </row>
    <row r="1013" spans="1:8" x14ac:dyDescent="0.25">
      <c r="A1013">
        <v>1012</v>
      </c>
      <c r="C1013">
        <v>87304364</v>
      </c>
      <c r="D1013" t="s">
        <v>3574</v>
      </c>
      <c r="F1013" t="s">
        <v>3577</v>
      </c>
      <c r="G1013" t="s">
        <v>143</v>
      </c>
      <c r="H1013" t="s">
        <v>256</v>
      </c>
    </row>
    <row r="1014" spans="1:8" x14ac:dyDescent="0.25">
      <c r="A1014">
        <v>1013</v>
      </c>
      <c r="D1014" t="s">
        <v>3578</v>
      </c>
      <c r="G1014" t="s">
        <v>143</v>
      </c>
      <c r="H1014" t="s">
        <v>3580</v>
      </c>
    </row>
    <row r="1015" spans="1:8" x14ac:dyDescent="0.25">
      <c r="A1015">
        <v>1014</v>
      </c>
      <c r="C1015">
        <v>80413387</v>
      </c>
      <c r="D1015" t="s">
        <v>3581</v>
      </c>
      <c r="E1015">
        <v>80413387</v>
      </c>
      <c r="F1015" t="s">
        <v>3581</v>
      </c>
      <c r="G1015" t="s">
        <v>143</v>
      </c>
      <c r="H1015" t="s">
        <v>2225</v>
      </c>
    </row>
    <row r="1016" spans="1:8" x14ac:dyDescent="0.25">
      <c r="A1016">
        <v>1015</v>
      </c>
      <c r="C1016">
        <v>19396083</v>
      </c>
      <c r="D1016" t="s">
        <v>3583</v>
      </c>
      <c r="F1016" t="s">
        <v>3583</v>
      </c>
      <c r="G1016" t="s">
        <v>143</v>
      </c>
      <c r="H1016" t="s">
        <v>184</v>
      </c>
    </row>
    <row r="1017" spans="1:8" x14ac:dyDescent="0.25">
      <c r="A1017">
        <v>1016</v>
      </c>
      <c r="C1017">
        <v>792210113</v>
      </c>
      <c r="D1017" t="s">
        <v>3585</v>
      </c>
      <c r="G1017" t="s">
        <v>143</v>
      </c>
    </row>
    <row r="1018" spans="1:8" x14ac:dyDescent="0.25">
      <c r="A1018">
        <v>1017</v>
      </c>
      <c r="C1018">
        <v>79663071</v>
      </c>
      <c r="D1018" t="s">
        <v>3587</v>
      </c>
      <c r="G1018" t="s">
        <v>143</v>
      </c>
      <c r="H1018" t="s">
        <v>3589</v>
      </c>
    </row>
    <row r="1019" spans="1:8" x14ac:dyDescent="0.25">
      <c r="A1019">
        <v>1018</v>
      </c>
      <c r="D1019" t="s">
        <v>3590</v>
      </c>
      <c r="G1019" t="s">
        <v>143</v>
      </c>
    </row>
    <row r="1020" spans="1:8" x14ac:dyDescent="0.25">
      <c r="A1020">
        <v>1019</v>
      </c>
      <c r="C1020">
        <v>1072427642</v>
      </c>
      <c r="D1020" t="s">
        <v>3591</v>
      </c>
      <c r="F1020" t="s">
        <v>3591</v>
      </c>
      <c r="G1020" t="s">
        <v>143</v>
      </c>
      <c r="H1020" t="s">
        <v>3593</v>
      </c>
    </row>
    <row r="1021" spans="1:8" x14ac:dyDescent="0.25">
      <c r="A1021">
        <v>1020</v>
      </c>
      <c r="C1021" t="s">
        <v>3595</v>
      </c>
      <c r="D1021" t="s">
        <v>3594</v>
      </c>
      <c r="E1021" t="s">
        <v>3595</v>
      </c>
      <c r="F1021" t="s">
        <v>3594</v>
      </c>
      <c r="G1021" t="s">
        <v>143</v>
      </c>
    </row>
    <row r="1022" spans="1:8" x14ac:dyDescent="0.25">
      <c r="A1022">
        <v>1021</v>
      </c>
      <c r="C1022">
        <v>7185801</v>
      </c>
      <c r="D1022" t="s">
        <v>3597</v>
      </c>
      <c r="F1022" t="s">
        <v>3526</v>
      </c>
      <c r="G1022" t="s">
        <v>143</v>
      </c>
      <c r="H1022" t="s">
        <v>998</v>
      </c>
    </row>
    <row r="1023" spans="1:8" x14ac:dyDescent="0.25">
      <c r="A1023">
        <v>1022</v>
      </c>
      <c r="C1023">
        <v>80791985</v>
      </c>
      <c r="D1023" t="s">
        <v>3599</v>
      </c>
      <c r="E1023" t="s">
        <v>3602</v>
      </c>
      <c r="F1023" t="s">
        <v>3599</v>
      </c>
      <c r="G1023" t="s">
        <v>143</v>
      </c>
      <c r="H1023" t="s">
        <v>3603</v>
      </c>
    </row>
    <row r="1024" spans="1:8" x14ac:dyDescent="0.25">
      <c r="A1024">
        <v>1023</v>
      </c>
      <c r="C1024">
        <v>53037376</v>
      </c>
      <c r="D1024" t="s">
        <v>3604</v>
      </c>
      <c r="E1024">
        <v>53037376</v>
      </c>
      <c r="F1024" t="s">
        <v>3604</v>
      </c>
      <c r="G1024" t="s">
        <v>143</v>
      </c>
      <c r="H1024" t="s">
        <v>3000</v>
      </c>
    </row>
    <row r="1025" spans="1:11" x14ac:dyDescent="0.25">
      <c r="A1025">
        <v>1024</v>
      </c>
      <c r="C1025">
        <v>12144882</v>
      </c>
      <c r="D1025" t="s">
        <v>3606</v>
      </c>
      <c r="F1025" t="s">
        <v>3606</v>
      </c>
      <c r="G1025" t="s">
        <v>143</v>
      </c>
      <c r="H1025" t="s">
        <v>256</v>
      </c>
    </row>
    <row r="1026" spans="1:11" x14ac:dyDescent="0.25">
      <c r="A1026">
        <v>1025</v>
      </c>
      <c r="C1026">
        <v>19114414</v>
      </c>
      <c r="D1026" t="s">
        <v>3608</v>
      </c>
      <c r="F1026" t="s">
        <v>3608</v>
      </c>
      <c r="G1026" t="s">
        <v>143</v>
      </c>
      <c r="H1026" t="s">
        <v>978</v>
      </c>
    </row>
    <row r="1027" spans="1:11" x14ac:dyDescent="0.25">
      <c r="A1027">
        <v>1026</v>
      </c>
      <c r="C1027">
        <v>94283474</v>
      </c>
      <c r="D1027" t="s">
        <v>3611</v>
      </c>
      <c r="G1027" t="s">
        <v>143</v>
      </c>
      <c r="H1027" t="s">
        <v>256</v>
      </c>
    </row>
    <row r="1028" spans="1:11" x14ac:dyDescent="0.25">
      <c r="A1028">
        <v>1027</v>
      </c>
      <c r="D1028" t="s">
        <v>3613</v>
      </c>
      <c r="F1028" t="s">
        <v>3613</v>
      </c>
      <c r="G1028" t="s">
        <v>143</v>
      </c>
      <c r="H1028" t="s">
        <v>256</v>
      </c>
    </row>
    <row r="1029" spans="1:11" x14ac:dyDescent="0.25">
      <c r="A1029">
        <v>1028</v>
      </c>
      <c r="C1029">
        <v>1014198061</v>
      </c>
      <c r="D1029" t="s">
        <v>3614</v>
      </c>
      <c r="F1029" t="s">
        <v>3614</v>
      </c>
      <c r="G1029" t="s">
        <v>143</v>
      </c>
      <c r="H1029" t="s">
        <v>2120</v>
      </c>
    </row>
    <row r="1030" spans="1:11" x14ac:dyDescent="0.25">
      <c r="A1030">
        <v>1029</v>
      </c>
      <c r="C1030">
        <v>19285895</v>
      </c>
      <c r="D1030" t="s">
        <v>3617</v>
      </c>
      <c r="E1030">
        <v>19285895</v>
      </c>
      <c r="F1030" t="s">
        <v>3620</v>
      </c>
      <c r="G1030" t="s">
        <v>143</v>
      </c>
      <c r="H1030" t="s">
        <v>2120</v>
      </c>
    </row>
    <row r="1031" spans="1:11" x14ac:dyDescent="0.25">
      <c r="A1031">
        <v>1030</v>
      </c>
      <c r="C1031">
        <v>79450362</v>
      </c>
      <c r="D1031" t="s">
        <v>3621</v>
      </c>
      <c r="E1031">
        <v>0</v>
      </c>
      <c r="G1031" t="s">
        <v>143</v>
      </c>
      <c r="H1031" t="s">
        <v>2120</v>
      </c>
    </row>
    <row r="1032" spans="1:11" x14ac:dyDescent="0.25">
      <c r="A1032">
        <v>1031</v>
      </c>
      <c r="C1032">
        <v>0</v>
      </c>
      <c r="D1032" t="s">
        <v>3623</v>
      </c>
      <c r="G1032" t="s">
        <v>143</v>
      </c>
      <c r="H1032" t="s">
        <v>2120</v>
      </c>
    </row>
    <row r="1033" spans="1:11" x14ac:dyDescent="0.25">
      <c r="A1033">
        <v>1032</v>
      </c>
      <c r="C1033">
        <v>80157526</v>
      </c>
      <c r="D1033" t="s">
        <v>3624</v>
      </c>
      <c r="G1033" t="s">
        <v>143</v>
      </c>
      <c r="H1033" t="s">
        <v>3626</v>
      </c>
    </row>
    <row r="1034" spans="1:11" x14ac:dyDescent="0.25">
      <c r="A1034">
        <v>1033</v>
      </c>
      <c r="D1034" t="s">
        <v>3627</v>
      </c>
      <c r="F1034" t="s">
        <v>3627</v>
      </c>
      <c r="G1034" t="s">
        <v>143</v>
      </c>
      <c r="H1034" t="s">
        <v>89</v>
      </c>
    </row>
    <row r="1035" spans="1:11" x14ac:dyDescent="0.25">
      <c r="A1035">
        <v>1034</v>
      </c>
      <c r="D1035" t="s">
        <v>3629</v>
      </c>
      <c r="F1035" t="s">
        <v>3630</v>
      </c>
      <c r="G1035" t="s">
        <v>143</v>
      </c>
    </row>
    <row r="1036" spans="1:11" x14ac:dyDescent="0.25">
      <c r="A1036">
        <v>1035</v>
      </c>
      <c r="C1036">
        <v>1088271367</v>
      </c>
      <c r="D1036" t="s">
        <v>3631</v>
      </c>
      <c r="E1036" t="s">
        <v>4172</v>
      </c>
      <c r="F1036" t="s">
        <v>4172</v>
      </c>
      <c r="G1036" t="s">
        <v>143</v>
      </c>
      <c r="H1036" t="s">
        <v>3632</v>
      </c>
      <c r="I1036" t="s">
        <v>978</v>
      </c>
      <c r="J1036" t="s">
        <v>4172</v>
      </c>
      <c r="K1036" t="s">
        <v>4172</v>
      </c>
    </row>
    <row r="1037" spans="1:11" x14ac:dyDescent="0.25">
      <c r="A1037">
        <v>1036</v>
      </c>
      <c r="C1037">
        <v>900378428</v>
      </c>
      <c r="D1037" t="s">
        <v>3633</v>
      </c>
      <c r="E1037" t="s">
        <v>3636</v>
      </c>
      <c r="F1037" t="s">
        <v>3633</v>
      </c>
      <c r="G1037" t="s">
        <v>143</v>
      </c>
      <c r="H1037" t="s">
        <v>3637</v>
      </c>
    </row>
    <row r="1038" spans="1:11" x14ac:dyDescent="0.25">
      <c r="A1038">
        <v>1037</v>
      </c>
      <c r="C1038">
        <v>5902099</v>
      </c>
      <c r="D1038" t="s">
        <v>3638</v>
      </c>
      <c r="G1038" t="s">
        <v>143</v>
      </c>
      <c r="H1038" t="s">
        <v>3641</v>
      </c>
    </row>
    <row r="1039" spans="1:11" x14ac:dyDescent="0.25">
      <c r="A1039">
        <v>1038</v>
      </c>
      <c r="C1039">
        <v>17652108</v>
      </c>
      <c r="D1039" t="s">
        <v>3642</v>
      </c>
      <c r="E1039" t="s">
        <v>3644</v>
      </c>
      <c r="F1039" t="s">
        <v>3643</v>
      </c>
      <c r="G1039" t="s">
        <v>143</v>
      </c>
      <c r="H1039" t="s">
        <v>3641</v>
      </c>
    </row>
    <row r="1040" spans="1:11" x14ac:dyDescent="0.25">
      <c r="A1040">
        <v>1039</v>
      </c>
      <c r="C1040">
        <v>59707812</v>
      </c>
      <c r="D1040" t="s">
        <v>3645</v>
      </c>
      <c r="G1040" t="s">
        <v>143</v>
      </c>
      <c r="H1040" t="s">
        <v>184</v>
      </c>
    </row>
    <row r="1041" spans="1:11" x14ac:dyDescent="0.25">
      <c r="A1041">
        <v>1040</v>
      </c>
      <c r="C1041" t="s">
        <v>3644</v>
      </c>
      <c r="D1041" t="s">
        <v>3647</v>
      </c>
      <c r="F1041" t="s">
        <v>3650</v>
      </c>
      <c r="G1041" t="s">
        <v>143</v>
      </c>
    </row>
    <row r="1042" spans="1:11" x14ac:dyDescent="0.25">
      <c r="A1042">
        <v>1041</v>
      </c>
      <c r="C1042" t="s">
        <v>3652</v>
      </c>
      <c r="D1042" t="s">
        <v>3651</v>
      </c>
      <c r="E1042" t="s">
        <v>3652</v>
      </c>
      <c r="F1042" t="s">
        <v>3654</v>
      </c>
      <c r="G1042" t="s">
        <v>143</v>
      </c>
      <c r="H1042" t="s">
        <v>2120</v>
      </c>
      <c r="K1042" t="s">
        <v>4172</v>
      </c>
    </row>
    <row r="1043" spans="1:11" x14ac:dyDescent="0.25">
      <c r="A1043">
        <v>1042</v>
      </c>
      <c r="C1043">
        <v>101600245</v>
      </c>
      <c r="D1043" t="s">
        <v>3655</v>
      </c>
      <c r="G1043" t="s">
        <v>143</v>
      </c>
      <c r="H1043" t="s">
        <v>3603</v>
      </c>
    </row>
    <row r="1044" spans="1:11" x14ac:dyDescent="0.25">
      <c r="A1044">
        <v>1043</v>
      </c>
      <c r="C1044">
        <v>1000575706</v>
      </c>
      <c r="D1044" t="s">
        <v>3657</v>
      </c>
      <c r="F1044" t="s">
        <v>3657</v>
      </c>
      <c r="G1044" t="s">
        <v>143</v>
      </c>
      <c r="H1044" t="s">
        <v>2705</v>
      </c>
    </row>
    <row r="1045" spans="1:11" x14ac:dyDescent="0.25">
      <c r="A1045">
        <v>1044</v>
      </c>
      <c r="C1045">
        <v>1022327290</v>
      </c>
      <c r="D1045" t="s">
        <v>3659</v>
      </c>
      <c r="G1045" t="s">
        <v>143</v>
      </c>
      <c r="H1045" t="s">
        <v>3662</v>
      </c>
    </row>
    <row r="1046" spans="1:11" x14ac:dyDescent="0.25">
      <c r="A1046">
        <v>1045</v>
      </c>
      <c r="D1046" t="s">
        <v>3663</v>
      </c>
      <c r="G1046" t="s">
        <v>143</v>
      </c>
    </row>
    <row r="1047" spans="1:11" x14ac:dyDescent="0.25">
      <c r="A1047">
        <v>1046</v>
      </c>
      <c r="C1047">
        <v>1083812890</v>
      </c>
      <c r="D1047" t="s">
        <v>3664</v>
      </c>
      <c r="G1047" t="s">
        <v>143</v>
      </c>
      <c r="H1047" t="s">
        <v>184</v>
      </c>
    </row>
    <row r="1048" spans="1:11" x14ac:dyDescent="0.25">
      <c r="A1048">
        <v>1047</v>
      </c>
      <c r="D1048" t="s">
        <v>3667</v>
      </c>
    </row>
    <row r="1049" spans="1:11" x14ac:dyDescent="0.25">
      <c r="A1049">
        <v>1048</v>
      </c>
      <c r="C1049">
        <v>1024498864</v>
      </c>
      <c r="D1049" t="s">
        <v>3668</v>
      </c>
      <c r="G1049" t="s">
        <v>143</v>
      </c>
      <c r="H1049" t="s">
        <v>1033</v>
      </c>
    </row>
    <row r="1050" spans="1:11" x14ac:dyDescent="0.25">
      <c r="A1050">
        <v>1049</v>
      </c>
      <c r="C1050">
        <v>1125180410</v>
      </c>
      <c r="D1050" t="s">
        <v>3672</v>
      </c>
      <c r="E1050">
        <v>1125180410</v>
      </c>
      <c r="F1050" t="s">
        <v>3672</v>
      </c>
      <c r="G1050" t="s">
        <v>143</v>
      </c>
      <c r="H1050" t="s">
        <v>875</v>
      </c>
    </row>
    <row r="1051" spans="1:11" x14ac:dyDescent="0.25">
      <c r="A1051">
        <v>1050</v>
      </c>
      <c r="C1051" t="s">
        <v>3675</v>
      </c>
      <c r="D1051" t="s">
        <v>3674</v>
      </c>
      <c r="E1051" t="s">
        <v>3675</v>
      </c>
      <c r="F1051" t="s">
        <v>3677</v>
      </c>
      <c r="G1051" t="s">
        <v>143</v>
      </c>
      <c r="H1051" t="s">
        <v>3678</v>
      </c>
      <c r="K1051" t="s">
        <v>4172</v>
      </c>
    </row>
    <row r="1052" spans="1:11" x14ac:dyDescent="0.25">
      <c r="A1052">
        <v>1051</v>
      </c>
      <c r="D1052" t="s">
        <v>3679</v>
      </c>
      <c r="G1052" t="s">
        <v>143</v>
      </c>
      <c r="H1052" t="s">
        <v>2981</v>
      </c>
    </row>
    <row r="1053" spans="1:11" x14ac:dyDescent="0.25">
      <c r="A1053">
        <v>1052</v>
      </c>
      <c r="C1053">
        <v>0</v>
      </c>
      <c r="D1053" t="s">
        <v>3682</v>
      </c>
      <c r="E1053" t="s">
        <v>4172</v>
      </c>
      <c r="F1053" t="s">
        <v>4172</v>
      </c>
      <c r="G1053" t="s">
        <v>143</v>
      </c>
      <c r="H1053" t="s">
        <v>3683</v>
      </c>
      <c r="I1053" t="s">
        <v>4172</v>
      </c>
      <c r="J1053" t="s">
        <v>4172</v>
      </c>
      <c r="K1053" t="s">
        <v>4172</v>
      </c>
    </row>
    <row r="1054" spans="1:11" x14ac:dyDescent="0.25">
      <c r="A1054">
        <v>1053</v>
      </c>
      <c r="C1054" t="s">
        <v>3685</v>
      </c>
      <c r="D1054" t="s">
        <v>3684</v>
      </c>
      <c r="G1054" t="s">
        <v>143</v>
      </c>
      <c r="H1054" t="s">
        <v>256</v>
      </c>
    </row>
    <row r="1055" spans="1:11" x14ac:dyDescent="0.25">
      <c r="A1055">
        <v>1054</v>
      </c>
      <c r="C1055">
        <v>80267192</v>
      </c>
      <c r="D1055" t="s">
        <v>3687</v>
      </c>
      <c r="G1055" t="s">
        <v>143</v>
      </c>
      <c r="H1055" t="s">
        <v>3690</v>
      </c>
    </row>
    <row r="1056" spans="1:11" x14ac:dyDescent="0.25">
      <c r="A1056">
        <v>1055</v>
      </c>
      <c r="D1056" t="s">
        <v>3691</v>
      </c>
      <c r="E1056" t="s">
        <v>4172</v>
      </c>
      <c r="F1056" t="s">
        <v>3694</v>
      </c>
      <c r="G1056" t="s">
        <v>143</v>
      </c>
      <c r="H1056" t="s">
        <v>3695</v>
      </c>
      <c r="I1056" t="s">
        <v>978</v>
      </c>
      <c r="J1056" t="s">
        <v>4172</v>
      </c>
      <c r="K1056" t="s">
        <v>4172</v>
      </c>
    </row>
    <row r="1057" spans="1:11" x14ac:dyDescent="0.25">
      <c r="A1057">
        <v>1056</v>
      </c>
      <c r="C1057">
        <v>80513461</v>
      </c>
      <c r="D1057" t="s">
        <v>3696</v>
      </c>
      <c r="E1057" t="s">
        <v>3699</v>
      </c>
      <c r="F1057" t="s">
        <v>3698</v>
      </c>
      <c r="G1057" t="s">
        <v>143</v>
      </c>
      <c r="H1057" t="s">
        <v>2705</v>
      </c>
      <c r="I1057" t="s">
        <v>978</v>
      </c>
      <c r="J1057" t="s">
        <v>4172</v>
      </c>
      <c r="K1057" t="s">
        <v>4172</v>
      </c>
    </row>
    <row r="1058" spans="1:11" x14ac:dyDescent="0.25">
      <c r="A1058">
        <v>1057</v>
      </c>
      <c r="C1058">
        <v>1020742176</v>
      </c>
      <c r="D1058" t="s">
        <v>3700</v>
      </c>
      <c r="E1058" t="s">
        <v>4172</v>
      </c>
      <c r="F1058" t="s">
        <v>3702</v>
      </c>
      <c r="G1058" t="s">
        <v>143</v>
      </c>
      <c r="H1058" t="s">
        <v>4172</v>
      </c>
      <c r="I1058" t="s">
        <v>4172</v>
      </c>
      <c r="J1058" t="s">
        <v>4172</v>
      </c>
      <c r="K1058" t="s">
        <v>4172</v>
      </c>
    </row>
    <row r="1059" spans="1:11" x14ac:dyDescent="0.25">
      <c r="A1059">
        <v>1058</v>
      </c>
      <c r="C1059">
        <v>39758371</v>
      </c>
      <c r="D1059" t="s">
        <v>3703</v>
      </c>
    </row>
    <row r="1060" spans="1:11" x14ac:dyDescent="0.25">
      <c r="A1060">
        <v>1059</v>
      </c>
      <c r="C1060">
        <v>1019124045</v>
      </c>
      <c r="D1060" t="s">
        <v>3704</v>
      </c>
      <c r="E1060" t="s">
        <v>4172</v>
      </c>
      <c r="F1060" t="s">
        <v>4172</v>
      </c>
      <c r="G1060" t="s">
        <v>143</v>
      </c>
      <c r="H1060" t="s">
        <v>2705</v>
      </c>
      <c r="I1060" t="s">
        <v>978</v>
      </c>
      <c r="J1060" t="s">
        <v>4172</v>
      </c>
      <c r="K1060" t="s">
        <v>4172</v>
      </c>
    </row>
    <row r="1061" spans="1:11" x14ac:dyDescent="0.25">
      <c r="A1061">
        <v>1060</v>
      </c>
      <c r="D1061" t="s">
        <v>3705</v>
      </c>
      <c r="E1061" t="s">
        <v>4172</v>
      </c>
      <c r="F1061" t="s">
        <v>4172</v>
      </c>
      <c r="G1061" t="s">
        <v>143</v>
      </c>
      <c r="H1061" t="s">
        <v>4172</v>
      </c>
      <c r="I1061" t="s">
        <v>4172</v>
      </c>
      <c r="J1061" t="s">
        <v>4172</v>
      </c>
      <c r="K1061" t="s">
        <v>4172</v>
      </c>
    </row>
    <row r="1062" spans="1:11" x14ac:dyDescent="0.25">
      <c r="A1062">
        <v>1061</v>
      </c>
      <c r="D1062" t="s">
        <v>3708</v>
      </c>
      <c r="E1062" t="s">
        <v>4172</v>
      </c>
      <c r="F1062" t="s">
        <v>4172</v>
      </c>
      <c r="G1062" t="s">
        <v>143</v>
      </c>
      <c r="H1062" t="s">
        <v>184</v>
      </c>
      <c r="I1062" t="s">
        <v>978</v>
      </c>
      <c r="J1062" t="s">
        <v>4172</v>
      </c>
      <c r="K1062" t="s">
        <v>4172</v>
      </c>
    </row>
    <row r="1063" spans="1:11" x14ac:dyDescent="0.25">
      <c r="A1063">
        <v>1062</v>
      </c>
      <c r="C1063">
        <v>15817137</v>
      </c>
      <c r="D1063" t="s">
        <v>3711</v>
      </c>
      <c r="E1063" t="s">
        <v>4172</v>
      </c>
      <c r="F1063" t="s">
        <v>4172</v>
      </c>
      <c r="G1063" t="s">
        <v>143</v>
      </c>
      <c r="H1063" t="s">
        <v>2705</v>
      </c>
      <c r="I1063" t="s">
        <v>978</v>
      </c>
      <c r="J1063" t="s">
        <v>4172</v>
      </c>
      <c r="K1063" t="s">
        <v>4172</v>
      </c>
    </row>
    <row r="1064" spans="1:11" x14ac:dyDescent="0.25">
      <c r="A1064">
        <v>1063</v>
      </c>
      <c r="D1064" t="s">
        <v>3713</v>
      </c>
      <c r="E1064" t="s">
        <v>4172</v>
      </c>
      <c r="F1064" t="s">
        <v>4172</v>
      </c>
      <c r="G1064" t="s">
        <v>143</v>
      </c>
      <c r="H1064" t="s">
        <v>4172</v>
      </c>
      <c r="I1064" t="s">
        <v>4172</v>
      </c>
      <c r="J1064" t="s">
        <v>4172</v>
      </c>
      <c r="K1064" t="s">
        <v>4172</v>
      </c>
    </row>
    <row r="1065" spans="1:11" x14ac:dyDescent="0.25">
      <c r="A1065">
        <v>1064</v>
      </c>
      <c r="C1065">
        <v>39677893</v>
      </c>
      <c r="D1065" t="s">
        <v>3715</v>
      </c>
      <c r="E1065" t="s">
        <v>4172</v>
      </c>
      <c r="F1065" t="s">
        <v>4172</v>
      </c>
      <c r="G1065" t="s">
        <v>143</v>
      </c>
      <c r="H1065" t="s">
        <v>2458</v>
      </c>
      <c r="I1065" t="s">
        <v>4172</v>
      </c>
      <c r="J1065" t="s">
        <v>4172</v>
      </c>
      <c r="K1065" t="s">
        <v>4172</v>
      </c>
    </row>
    <row r="1066" spans="1:11" x14ac:dyDescent="0.25">
      <c r="A1066">
        <v>1065</v>
      </c>
      <c r="C1066">
        <v>80126200</v>
      </c>
      <c r="D1066" t="s">
        <v>3717</v>
      </c>
      <c r="E1066" t="s">
        <v>4172</v>
      </c>
      <c r="F1066" t="s">
        <v>4172</v>
      </c>
      <c r="G1066" t="s">
        <v>143</v>
      </c>
      <c r="H1066" t="s">
        <v>4172</v>
      </c>
      <c r="I1066" t="s">
        <v>4172</v>
      </c>
      <c r="J1066" t="s">
        <v>4172</v>
      </c>
      <c r="K1066" t="s">
        <v>4172</v>
      </c>
    </row>
    <row r="1067" spans="1:11" x14ac:dyDescent="0.25">
      <c r="A1067">
        <v>1066</v>
      </c>
      <c r="C1067">
        <v>60362592</v>
      </c>
      <c r="D1067" t="s">
        <v>3719</v>
      </c>
      <c r="E1067" t="s">
        <v>3723</v>
      </c>
      <c r="F1067" t="s">
        <v>4172</v>
      </c>
      <c r="G1067" t="s">
        <v>143</v>
      </c>
      <c r="H1067" t="s">
        <v>3724</v>
      </c>
      <c r="I1067" t="s">
        <v>978</v>
      </c>
      <c r="J1067" t="s">
        <v>3725</v>
      </c>
      <c r="K1067" t="s">
        <v>4172</v>
      </c>
    </row>
    <row r="1068" spans="1:11" x14ac:dyDescent="0.25">
      <c r="A1068">
        <v>1067</v>
      </c>
      <c r="D1068" t="s">
        <v>3728</v>
      </c>
      <c r="E1068" t="s">
        <v>4172</v>
      </c>
      <c r="F1068" t="s">
        <v>4172</v>
      </c>
      <c r="G1068" t="s">
        <v>143</v>
      </c>
      <c r="H1068" t="s">
        <v>4172</v>
      </c>
      <c r="I1068" t="s">
        <v>4172</v>
      </c>
      <c r="J1068" t="s">
        <v>4172</v>
      </c>
      <c r="K1068" t="s">
        <v>4172</v>
      </c>
    </row>
    <row r="1069" spans="1:11" x14ac:dyDescent="0.25">
      <c r="A1069">
        <v>1068</v>
      </c>
      <c r="C1069">
        <v>102387442</v>
      </c>
      <c r="D1069" t="s">
        <v>3731</v>
      </c>
      <c r="E1069" t="s">
        <v>4172</v>
      </c>
      <c r="F1069" t="s">
        <v>4172</v>
      </c>
      <c r="G1069" t="s">
        <v>143</v>
      </c>
      <c r="H1069" t="s">
        <v>4172</v>
      </c>
      <c r="I1069" t="s">
        <v>4172</v>
      </c>
      <c r="J1069" t="s">
        <v>4172</v>
      </c>
      <c r="K1069" t="s">
        <v>4172</v>
      </c>
    </row>
    <row r="1070" spans="1:11" x14ac:dyDescent="0.25">
      <c r="A1070">
        <v>1069</v>
      </c>
      <c r="D1070" t="s">
        <v>3734</v>
      </c>
      <c r="E1070" t="s">
        <v>4172</v>
      </c>
      <c r="F1070" t="s">
        <v>4172</v>
      </c>
      <c r="G1070" t="s">
        <v>143</v>
      </c>
      <c r="H1070" t="s">
        <v>4172</v>
      </c>
      <c r="I1070" t="s">
        <v>4172</v>
      </c>
      <c r="J1070" t="s">
        <v>4172</v>
      </c>
      <c r="K1070" t="s">
        <v>4172</v>
      </c>
    </row>
    <row r="1071" spans="1:11" x14ac:dyDescent="0.25">
      <c r="A1071">
        <v>1070</v>
      </c>
      <c r="C1071">
        <v>797137573</v>
      </c>
      <c r="D1071" t="s">
        <v>3736</v>
      </c>
      <c r="E1071" t="s">
        <v>4172</v>
      </c>
      <c r="F1071" t="s">
        <v>4172</v>
      </c>
      <c r="G1071" t="s">
        <v>143</v>
      </c>
      <c r="H1071" t="s">
        <v>4172</v>
      </c>
      <c r="I1071" t="s">
        <v>4172</v>
      </c>
      <c r="J1071" t="s">
        <v>4172</v>
      </c>
      <c r="K1071" t="s">
        <v>4172</v>
      </c>
    </row>
    <row r="1072" spans="1:11" x14ac:dyDescent="0.25">
      <c r="A1072">
        <v>1071</v>
      </c>
      <c r="C1072">
        <v>19307718</v>
      </c>
      <c r="D1072" t="s">
        <v>3739</v>
      </c>
      <c r="E1072" t="s">
        <v>3743</v>
      </c>
      <c r="F1072" t="s">
        <v>3742</v>
      </c>
      <c r="G1072" t="s">
        <v>143</v>
      </c>
      <c r="H1072" t="s">
        <v>4172</v>
      </c>
      <c r="I1072" t="s">
        <v>4172</v>
      </c>
      <c r="J1072" t="s">
        <v>4172</v>
      </c>
      <c r="K1072" t="s">
        <v>4172</v>
      </c>
    </row>
    <row r="1073" spans="1:11" x14ac:dyDescent="0.25">
      <c r="A1073">
        <v>1072</v>
      </c>
      <c r="C1073">
        <v>19307718</v>
      </c>
      <c r="D1073" t="s">
        <v>3744</v>
      </c>
      <c r="E1073" t="s">
        <v>4172</v>
      </c>
      <c r="F1073" t="s">
        <v>4172</v>
      </c>
      <c r="G1073" t="s">
        <v>143</v>
      </c>
      <c r="H1073" t="s">
        <v>4172</v>
      </c>
      <c r="I1073" t="s">
        <v>4172</v>
      </c>
      <c r="J1073" t="s">
        <v>4172</v>
      </c>
      <c r="K1073" t="s">
        <v>4172</v>
      </c>
    </row>
    <row r="1074" spans="1:11" x14ac:dyDescent="0.25">
      <c r="A1074">
        <v>1073</v>
      </c>
      <c r="C1074">
        <v>1058848390</v>
      </c>
      <c r="D1074" t="s">
        <v>3746</v>
      </c>
      <c r="E1074" t="s">
        <v>4172</v>
      </c>
      <c r="F1074" t="s">
        <v>4172</v>
      </c>
      <c r="G1074" t="s">
        <v>143</v>
      </c>
      <c r="H1074" t="s">
        <v>532</v>
      </c>
      <c r="I1074" t="s">
        <v>978</v>
      </c>
      <c r="J1074" t="s">
        <v>4172</v>
      </c>
      <c r="K1074" t="s">
        <v>4172</v>
      </c>
    </row>
    <row r="1075" spans="1:11" x14ac:dyDescent="0.25">
      <c r="A1075">
        <v>1074</v>
      </c>
      <c r="C1075">
        <v>1024482957</v>
      </c>
      <c r="D1075" t="s">
        <v>3747</v>
      </c>
      <c r="E1075" t="s">
        <v>4172</v>
      </c>
      <c r="F1075" t="s">
        <v>4172</v>
      </c>
      <c r="G1075" t="s">
        <v>143</v>
      </c>
      <c r="H1075" t="s">
        <v>2705</v>
      </c>
      <c r="I1075" t="s">
        <v>978</v>
      </c>
      <c r="J1075" t="s">
        <v>2715</v>
      </c>
      <c r="K1075" t="s">
        <v>4172</v>
      </c>
    </row>
    <row r="1076" spans="1:11" x14ac:dyDescent="0.25">
      <c r="A1076">
        <v>1075</v>
      </c>
      <c r="C1076">
        <v>79122282</v>
      </c>
      <c r="D1076" t="s">
        <v>3749</v>
      </c>
      <c r="E1076" t="s">
        <v>4172</v>
      </c>
      <c r="F1076" t="s">
        <v>4172</v>
      </c>
      <c r="G1076" t="s">
        <v>143</v>
      </c>
      <c r="H1076" t="s">
        <v>4172</v>
      </c>
      <c r="I1076" t="s">
        <v>4172</v>
      </c>
      <c r="J1076" t="s">
        <v>4172</v>
      </c>
      <c r="K1076" t="s">
        <v>4172</v>
      </c>
    </row>
    <row r="1077" spans="1:11" x14ac:dyDescent="0.25">
      <c r="A1077">
        <v>1076</v>
      </c>
      <c r="C1077">
        <v>19394670</v>
      </c>
      <c r="D1077" t="s">
        <v>3752</v>
      </c>
      <c r="E1077" t="s">
        <v>3755</v>
      </c>
      <c r="F1077" t="s">
        <v>3754</v>
      </c>
      <c r="G1077" t="s">
        <v>148</v>
      </c>
      <c r="H1077" t="s">
        <v>4172</v>
      </c>
      <c r="I1077" t="s">
        <v>4172</v>
      </c>
      <c r="J1077" t="s">
        <v>4172</v>
      </c>
      <c r="K1077" t="s">
        <v>4172</v>
      </c>
    </row>
    <row r="1078" spans="1:11" x14ac:dyDescent="0.25">
      <c r="A1078">
        <v>1077</v>
      </c>
      <c r="C1078">
        <v>1033697011</v>
      </c>
      <c r="D1078" t="s">
        <v>3756</v>
      </c>
      <c r="E1078" t="s">
        <v>4172</v>
      </c>
      <c r="F1078" t="s">
        <v>4172</v>
      </c>
      <c r="G1078" t="s">
        <v>143</v>
      </c>
      <c r="H1078" t="s">
        <v>4172</v>
      </c>
      <c r="I1078" t="s">
        <v>4172</v>
      </c>
      <c r="J1078" t="s">
        <v>4172</v>
      </c>
      <c r="K1078" t="s">
        <v>4172</v>
      </c>
    </row>
    <row r="1079" spans="1:11" x14ac:dyDescent="0.25">
      <c r="A1079">
        <v>1078</v>
      </c>
      <c r="C1079">
        <v>1030577918</v>
      </c>
      <c r="D1079" t="s">
        <v>3758</v>
      </c>
      <c r="G1079" t="s">
        <v>143</v>
      </c>
    </row>
    <row r="1080" spans="1:11" x14ac:dyDescent="0.25">
      <c r="A1080">
        <v>1079</v>
      </c>
      <c r="C1080">
        <v>80368624</v>
      </c>
      <c r="D1080" t="s">
        <v>3761</v>
      </c>
      <c r="E1080" t="s">
        <v>4172</v>
      </c>
      <c r="F1080" t="s">
        <v>4172</v>
      </c>
      <c r="G1080" t="s">
        <v>143</v>
      </c>
      <c r="H1080" t="s">
        <v>4172</v>
      </c>
      <c r="I1080" t="s">
        <v>4172</v>
      </c>
      <c r="J1080" t="s">
        <v>4172</v>
      </c>
      <c r="K1080" t="s">
        <v>4172</v>
      </c>
    </row>
    <row r="1081" spans="1:11" x14ac:dyDescent="0.25">
      <c r="A1081">
        <v>1080</v>
      </c>
      <c r="D1081" t="s">
        <v>3763</v>
      </c>
      <c r="E1081" t="s">
        <v>3767</v>
      </c>
      <c r="F1081" t="s">
        <v>3766</v>
      </c>
      <c r="G1081" t="s">
        <v>143</v>
      </c>
      <c r="H1081" t="s">
        <v>3768</v>
      </c>
      <c r="I1081" t="s">
        <v>4172</v>
      </c>
      <c r="J1081" t="s">
        <v>4172</v>
      </c>
      <c r="K1081" t="s">
        <v>4172</v>
      </c>
    </row>
    <row r="1082" spans="1:11" x14ac:dyDescent="0.25">
      <c r="A1082">
        <v>1081</v>
      </c>
      <c r="C1082">
        <v>1014211794</v>
      </c>
      <c r="D1082" t="s">
        <v>3769</v>
      </c>
      <c r="E1082" t="s">
        <v>4172</v>
      </c>
      <c r="F1082" t="s">
        <v>4172</v>
      </c>
      <c r="G1082" t="s">
        <v>143</v>
      </c>
      <c r="H1082" t="s">
        <v>4172</v>
      </c>
      <c r="I1082" t="s">
        <v>4172</v>
      </c>
      <c r="J1082" t="s">
        <v>4172</v>
      </c>
      <c r="K1082" t="s">
        <v>4172</v>
      </c>
    </row>
    <row r="1083" spans="1:11" x14ac:dyDescent="0.25">
      <c r="A1083">
        <v>1082</v>
      </c>
      <c r="C1083">
        <v>79118989</v>
      </c>
      <c r="D1083" t="s">
        <v>3771</v>
      </c>
      <c r="E1083" t="s">
        <v>4172</v>
      </c>
      <c r="F1083" t="s">
        <v>4172</v>
      </c>
      <c r="G1083" t="s">
        <v>143</v>
      </c>
      <c r="H1083" t="s">
        <v>4172</v>
      </c>
      <c r="I1083" t="s">
        <v>4172</v>
      </c>
      <c r="J1083" t="s">
        <v>4172</v>
      </c>
      <c r="K1083" t="s">
        <v>4172</v>
      </c>
    </row>
    <row r="1084" spans="1:11" x14ac:dyDescent="0.25">
      <c r="A1084">
        <v>1083</v>
      </c>
      <c r="C1084">
        <v>1026251709</v>
      </c>
      <c r="D1084" t="s">
        <v>3773</v>
      </c>
      <c r="E1084" t="s">
        <v>4172</v>
      </c>
      <c r="F1084" t="s">
        <v>4172</v>
      </c>
      <c r="G1084" t="s">
        <v>143</v>
      </c>
      <c r="H1084" t="s">
        <v>4172</v>
      </c>
      <c r="I1084" t="s">
        <v>4172</v>
      </c>
      <c r="J1084" t="s">
        <v>4172</v>
      </c>
      <c r="K1084" t="s">
        <v>4172</v>
      </c>
    </row>
    <row r="1085" spans="1:11" x14ac:dyDescent="0.25">
      <c r="A1085">
        <v>1084</v>
      </c>
      <c r="D1085" t="s">
        <v>3775</v>
      </c>
      <c r="E1085" t="s">
        <v>4172</v>
      </c>
      <c r="F1085" t="s">
        <v>3777</v>
      </c>
      <c r="G1085" t="s">
        <v>143</v>
      </c>
      <c r="H1085" t="s">
        <v>89</v>
      </c>
      <c r="I1085" t="s">
        <v>4172</v>
      </c>
      <c r="J1085" t="s">
        <v>4172</v>
      </c>
      <c r="K1085" t="s">
        <v>4172</v>
      </c>
    </row>
    <row r="1086" spans="1:11" x14ac:dyDescent="0.25">
      <c r="A1086">
        <v>1085</v>
      </c>
      <c r="C1086">
        <v>525264397</v>
      </c>
      <c r="D1086" t="s">
        <v>3778</v>
      </c>
      <c r="E1086" t="s">
        <v>4172</v>
      </c>
      <c r="F1086" t="s">
        <v>4172</v>
      </c>
      <c r="G1086" t="s">
        <v>143</v>
      </c>
      <c r="H1086" t="s">
        <v>4172</v>
      </c>
      <c r="I1086" t="s">
        <v>4172</v>
      </c>
      <c r="J1086" t="s">
        <v>4172</v>
      </c>
      <c r="K1086" t="s">
        <v>4172</v>
      </c>
    </row>
    <row r="1087" spans="1:11" x14ac:dyDescent="0.25">
      <c r="A1087">
        <v>1086</v>
      </c>
      <c r="C1087">
        <v>52366317</v>
      </c>
      <c r="D1087" t="s">
        <v>3781</v>
      </c>
      <c r="E1087" t="s">
        <v>3785</v>
      </c>
      <c r="F1087" t="s">
        <v>3784</v>
      </c>
      <c r="G1087" t="s">
        <v>143</v>
      </c>
      <c r="H1087" t="s">
        <v>562</v>
      </c>
      <c r="I1087" t="s">
        <v>4172</v>
      </c>
      <c r="J1087" t="s">
        <v>4172</v>
      </c>
      <c r="K1087" t="s">
        <v>4172</v>
      </c>
    </row>
    <row r="1088" spans="1:11" x14ac:dyDescent="0.25">
      <c r="A1088">
        <v>1087</v>
      </c>
      <c r="C1088">
        <v>80127112</v>
      </c>
      <c r="D1088" t="s">
        <v>3786</v>
      </c>
      <c r="E1088" t="s">
        <v>4172</v>
      </c>
      <c r="F1088" t="s">
        <v>4172</v>
      </c>
      <c r="G1088" t="s">
        <v>143</v>
      </c>
      <c r="H1088" t="s">
        <v>4172</v>
      </c>
      <c r="I1088" t="s">
        <v>4172</v>
      </c>
      <c r="J1088" t="s">
        <v>4172</v>
      </c>
      <c r="K1088" t="s">
        <v>4172</v>
      </c>
    </row>
    <row r="1089" spans="1:11" x14ac:dyDescent="0.25">
      <c r="A1089">
        <v>1088</v>
      </c>
      <c r="D1089" t="s">
        <v>3789</v>
      </c>
      <c r="E1089" t="s">
        <v>4172</v>
      </c>
      <c r="F1089" t="s">
        <v>4172</v>
      </c>
      <c r="G1089" t="s">
        <v>143</v>
      </c>
      <c r="H1089" t="s">
        <v>4172</v>
      </c>
      <c r="I1089" t="s">
        <v>4172</v>
      </c>
      <c r="J1089" t="s">
        <v>4172</v>
      </c>
      <c r="K1089" t="s">
        <v>4172</v>
      </c>
    </row>
    <row r="1090" spans="1:11" x14ac:dyDescent="0.25">
      <c r="A1090">
        <v>1089</v>
      </c>
      <c r="D1090" t="s">
        <v>3791</v>
      </c>
      <c r="E1090" t="s">
        <v>4172</v>
      </c>
      <c r="F1090" t="s">
        <v>4172</v>
      </c>
      <c r="G1090" t="s">
        <v>143</v>
      </c>
      <c r="H1090" t="s">
        <v>4172</v>
      </c>
      <c r="I1090" t="s">
        <v>4172</v>
      </c>
      <c r="J1090" t="s">
        <v>4172</v>
      </c>
      <c r="K1090" t="s">
        <v>4172</v>
      </c>
    </row>
    <row r="1091" spans="1:11" x14ac:dyDescent="0.25">
      <c r="A1091">
        <v>1090</v>
      </c>
      <c r="D1091" t="s">
        <v>3793</v>
      </c>
      <c r="E1091" t="s">
        <v>4172</v>
      </c>
      <c r="F1091" t="s">
        <v>4172</v>
      </c>
      <c r="G1091" t="s">
        <v>143</v>
      </c>
      <c r="H1091" t="s">
        <v>4172</v>
      </c>
      <c r="I1091" t="s">
        <v>4172</v>
      </c>
      <c r="J1091" t="s">
        <v>4172</v>
      </c>
      <c r="K1091" t="s">
        <v>4172</v>
      </c>
    </row>
    <row r="1092" spans="1:11" x14ac:dyDescent="0.25">
      <c r="A1092">
        <v>1091</v>
      </c>
      <c r="D1092" t="s">
        <v>3795</v>
      </c>
      <c r="E1092" t="s">
        <v>4172</v>
      </c>
      <c r="F1092" t="s">
        <v>4172</v>
      </c>
      <c r="G1092" t="s">
        <v>143</v>
      </c>
      <c r="H1092" t="s">
        <v>4172</v>
      </c>
      <c r="I1092" t="s">
        <v>4172</v>
      </c>
      <c r="J1092" t="s">
        <v>4172</v>
      </c>
      <c r="K1092" t="s">
        <v>4172</v>
      </c>
    </row>
    <row r="1093" spans="1:11" x14ac:dyDescent="0.25">
      <c r="A1093">
        <v>1092</v>
      </c>
      <c r="D1093" t="s">
        <v>3798</v>
      </c>
      <c r="E1093" t="s">
        <v>4172</v>
      </c>
      <c r="F1093" t="s">
        <v>4172</v>
      </c>
      <c r="G1093" t="s">
        <v>143</v>
      </c>
      <c r="H1093" t="s">
        <v>4172</v>
      </c>
      <c r="I1093" t="s">
        <v>4172</v>
      </c>
      <c r="J1093" t="s">
        <v>4172</v>
      </c>
      <c r="K1093" t="s">
        <v>4172</v>
      </c>
    </row>
    <row r="1094" spans="1:11" x14ac:dyDescent="0.25">
      <c r="A1094">
        <v>1093</v>
      </c>
      <c r="C1094">
        <v>23606180</v>
      </c>
      <c r="D1094" t="s">
        <v>3800</v>
      </c>
      <c r="E1094" t="s">
        <v>4172</v>
      </c>
      <c r="F1094" t="s">
        <v>4172</v>
      </c>
      <c r="G1094" t="s">
        <v>143</v>
      </c>
      <c r="H1094" t="s">
        <v>4172</v>
      </c>
      <c r="I1094" t="s">
        <v>4172</v>
      </c>
      <c r="J1094" t="s">
        <v>4172</v>
      </c>
      <c r="K1094" t="s">
        <v>4172</v>
      </c>
    </row>
    <row r="1095" spans="1:11" x14ac:dyDescent="0.25">
      <c r="A1095">
        <v>1094</v>
      </c>
      <c r="C1095">
        <v>1030578747</v>
      </c>
      <c r="D1095" t="s">
        <v>3802</v>
      </c>
      <c r="E1095" t="s">
        <v>4172</v>
      </c>
      <c r="F1095" t="s">
        <v>4172</v>
      </c>
      <c r="G1095" t="s">
        <v>143</v>
      </c>
      <c r="H1095" t="s">
        <v>4172</v>
      </c>
      <c r="I1095" t="s">
        <v>4172</v>
      </c>
      <c r="J1095" t="s">
        <v>4172</v>
      </c>
      <c r="K1095" t="s">
        <v>4172</v>
      </c>
    </row>
    <row r="1096" spans="1:11" x14ac:dyDescent="0.25">
      <c r="A1096">
        <v>1095</v>
      </c>
      <c r="C1096">
        <v>79434191</v>
      </c>
      <c r="D1096" t="s">
        <v>3804</v>
      </c>
      <c r="E1096" t="s">
        <v>4172</v>
      </c>
      <c r="F1096" t="s">
        <v>4172</v>
      </c>
      <c r="G1096" t="s">
        <v>143</v>
      </c>
      <c r="H1096" t="s">
        <v>2705</v>
      </c>
      <c r="I1096" t="s">
        <v>2736</v>
      </c>
      <c r="J1096" t="s">
        <v>2729</v>
      </c>
      <c r="K1096" t="s">
        <v>4172</v>
      </c>
    </row>
    <row r="1097" spans="1:11" x14ac:dyDescent="0.25">
      <c r="A1097">
        <v>1096</v>
      </c>
      <c r="D1097" t="s">
        <v>3808</v>
      </c>
      <c r="E1097" t="s">
        <v>4172</v>
      </c>
      <c r="F1097" t="s">
        <v>3640</v>
      </c>
      <c r="G1097" t="s">
        <v>143</v>
      </c>
      <c r="H1097" t="s">
        <v>3809</v>
      </c>
      <c r="I1097" t="s">
        <v>4172</v>
      </c>
      <c r="J1097" t="s">
        <v>4172</v>
      </c>
      <c r="K1097" t="s">
        <v>4172</v>
      </c>
    </row>
    <row r="1098" spans="1:11" x14ac:dyDescent="0.25">
      <c r="A1098">
        <v>1097</v>
      </c>
      <c r="C1098">
        <v>79730088</v>
      </c>
      <c r="D1098" t="s">
        <v>3810</v>
      </c>
      <c r="E1098" t="s">
        <v>4172</v>
      </c>
      <c r="F1098" t="s">
        <v>4172</v>
      </c>
      <c r="G1098" t="s">
        <v>143</v>
      </c>
      <c r="H1098" t="s">
        <v>4172</v>
      </c>
      <c r="I1098" t="s">
        <v>4172</v>
      </c>
      <c r="J1098" t="s">
        <v>4172</v>
      </c>
      <c r="K1098" t="s">
        <v>4172</v>
      </c>
    </row>
    <row r="1099" spans="1:11" x14ac:dyDescent="0.25">
      <c r="A1099">
        <v>1098</v>
      </c>
      <c r="C1099">
        <v>1032381757</v>
      </c>
      <c r="D1099" t="s">
        <v>3813</v>
      </c>
      <c r="E1099" t="s">
        <v>4172</v>
      </c>
      <c r="F1099" t="s">
        <v>4172</v>
      </c>
      <c r="G1099" t="s">
        <v>143</v>
      </c>
      <c r="H1099" t="s">
        <v>4172</v>
      </c>
      <c r="I1099" t="s">
        <v>4172</v>
      </c>
      <c r="J1099" t="s">
        <v>4172</v>
      </c>
      <c r="K1099" t="s">
        <v>4172</v>
      </c>
    </row>
    <row r="1100" spans="1:11" x14ac:dyDescent="0.25">
      <c r="A1100">
        <v>1099</v>
      </c>
      <c r="C1100">
        <v>98386934</v>
      </c>
      <c r="D1100" t="s">
        <v>3815</v>
      </c>
      <c r="E1100" t="s">
        <v>4172</v>
      </c>
      <c r="F1100" t="s">
        <v>4172</v>
      </c>
      <c r="G1100" t="s">
        <v>143</v>
      </c>
      <c r="H1100" t="s">
        <v>2705</v>
      </c>
      <c r="I1100" t="s">
        <v>4172</v>
      </c>
      <c r="J1100" t="s">
        <v>4172</v>
      </c>
      <c r="K1100" t="s">
        <v>4172</v>
      </c>
    </row>
    <row r="1101" spans="1:11" x14ac:dyDescent="0.25">
      <c r="A1101">
        <v>1100</v>
      </c>
      <c r="C1101">
        <v>98386934</v>
      </c>
      <c r="D1101" t="s">
        <v>3816</v>
      </c>
      <c r="G1101" t="s">
        <v>143</v>
      </c>
    </row>
    <row r="1102" spans="1:11" x14ac:dyDescent="0.25">
      <c r="A1102">
        <v>1101</v>
      </c>
      <c r="C1102">
        <v>79909379</v>
      </c>
      <c r="D1102" t="s">
        <v>3818</v>
      </c>
      <c r="E1102" t="s">
        <v>4172</v>
      </c>
      <c r="F1102" t="s">
        <v>4172</v>
      </c>
      <c r="G1102" t="s">
        <v>143</v>
      </c>
      <c r="H1102" t="s">
        <v>4172</v>
      </c>
      <c r="I1102" t="s">
        <v>4172</v>
      </c>
      <c r="J1102" t="s">
        <v>4172</v>
      </c>
      <c r="K1102" t="s">
        <v>4172</v>
      </c>
    </row>
    <row r="1103" spans="1:11" x14ac:dyDescent="0.25">
      <c r="A1103">
        <v>1102</v>
      </c>
      <c r="C1103">
        <v>0</v>
      </c>
      <c r="D1103" t="s">
        <v>3821</v>
      </c>
      <c r="E1103" t="s">
        <v>4172</v>
      </c>
      <c r="F1103" t="s">
        <v>4172</v>
      </c>
      <c r="G1103" t="s">
        <v>143</v>
      </c>
      <c r="H1103" t="s">
        <v>4172</v>
      </c>
      <c r="I1103" t="s">
        <v>4172</v>
      </c>
      <c r="J1103" t="s">
        <v>4172</v>
      </c>
      <c r="K1103" t="s">
        <v>4172</v>
      </c>
    </row>
    <row r="1104" spans="1:11" x14ac:dyDescent="0.25">
      <c r="A1104">
        <v>1103</v>
      </c>
      <c r="D1104" t="s">
        <v>3824</v>
      </c>
      <c r="G1104" t="s">
        <v>143</v>
      </c>
    </row>
    <row r="1105" spans="1:11" x14ac:dyDescent="0.25">
      <c r="A1105">
        <v>1104</v>
      </c>
      <c r="D1105" t="s">
        <v>3827</v>
      </c>
      <c r="E1105" t="s">
        <v>4172</v>
      </c>
      <c r="F1105" t="s">
        <v>4172</v>
      </c>
      <c r="G1105" t="s">
        <v>143</v>
      </c>
      <c r="H1105" t="s">
        <v>4172</v>
      </c>
      <c r="I1105" t="s">
        <v>4172</v>
      </c>
      <c r="J1105" t="s">
        <v>4172</v>
      </c>
      <c r="K1105" t="s">
        <v>4172</v>
      </c>
    </row>
    <row r="1106" spans="1:11" x14ac:dyDescent="0.25">
      <c r="A1106">
        <v>1105</v>
      </c>
      <c r="C1106">
        <v>1016019908</v>
      </c>
      <c r="D1106" t="s">
        <v>3830</v>
      </c>
      <c r="E1106" t="s">
        <v>4172</v>
      </c>
      <c r="F1106" t="s">
        <v>4172</v>
      </c>
      <c r="G1106" t="s">
        <v>143</v>
      </c>
      <c r="H1106" t="s">
        <v>2991</v>
      </c>
      <c r="I1106" t="s">
        <v>978</v>
      </c>
      <c r="J1106" t="s">
        <v>4172</v>
      </c>
      <c r="K1106" t="s">
        <v>4172</v>
      </c>
    </row>
    <row r="1107" spans="1:11" x14ac:dyDescent="0.25">
      <c r="A1107">
        <v>1106</v>
      </c>
      <c r="C1107">
        <v>1010198169</v>
      </c>
      <c r="D1107" t="s">
        <v>3833</v>
      </c>
      <c r="E1107" t="s">
        <v>4172</v>
      </c>
      <c r="F1107" t="s">
        <v>4172</v>
      </c>
      <c r="G1107" t="s">
        <v>143</v>
      </c>
      <c r="H1107" t="s">
        <v>2705</v>
      </c>
      <c r="I1107" t="s">
        <v>978</v>
      </c>
      <c r="J1107" t="s">
        <v>2729</v>
      </c>
      <c r="K1107" t="s">
        <v>4172</v>
      </c>
    </row>
    <row r="1108" spans="1:11" x14ac:dyDescent="0.25">
      <c r="A1108">
        <v>1107</v>
      </c>
      <c r="D1108" t="s">
        <v>3835</v>
      </c>
      <c r="E1108" t="s">
        <v>4172</v>
      </c>
      <c r="F1108" t="s">
        <v>3837</v>
      </c>
      <c r="G1108" t="s">
        <v>143</v>
      </c>
      <c r="H1108" t="s">
        <v>4172</v>
      </c>
      <c r="I1108" t="s">
        <v>4172</v>
      </c>
      <c r="J1108" t="s">
        <v>4172</v>
      </c>
      <c r="K1108" t="s">
        <v>4172</v>
      </c>
    </row>
  </sheetData>
  <conditionalFormatting sqref="A2:A1108">
    <cfRule type="duplicateValues" dxfId="31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1108"/>
  <sheetViews>
    <sheetView showGridLines="0" zoomScale="85" zoomScaleNormal="85" workbookViewId="0">
      <pane ySplit="1" topLeftCell="A1059" activePane="bottomLeft" state="frozen"/>
      <selection pane="bottomLeft" activeCell="E1068" sqref="E1068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4173</v>
      </c>
      <c r="B1" t="s">
        <v>4312</v>
      </c>
      <c r="C1" t="s">
        <v>4175</v>
      </c>
      <c r="D1" t="s">
        <v>4176</v>
      </c>
      <c r="E1" t="s">
        <v>4297</v>
      </c>
      <c r="F1" t="s">
        <v>4161</v>
      </c>
      <c r="G1" t="s">
        <v>4160</v>
      </c>
      <c r="H1" s="14" t="s">
        <v>4323</v>
      </c>
    </row>
    <row r="2" spans="1:8" x14ac:dyDescent="0.25">
      <c r="A2">
        <v>1</v>
      </c>
      <c r="B2">
        <v>1</v>
      </c>
      <c r="C2">
        <v>3138470263</v>
      </c>
      <c r="D2" t="s">
        <v>145</v>
      </c>
      <c r="F2" t="s">
        <v>146</v>
      </c>
      <c r="G2" t="s">
        <v>3</v>
      </c>
      <c r="H2" t="str">
        <f>VLOOKUP(tblContactoCliente[[#This Row],[id_cliente]],tblClientes[[#All],[id]:[nombre_contacto]],4,0)</f>
        <v>ADOLFO AGUILAR</v>
      </c>
    </row>
    <row r="3" spans="1:8" x14ac:dyDescent="0.25">
      <c r="A3">
        <v>2</v>
      </c>
      <c r="B3">
        <v>2</v>
      </c>
      <c r="C3">
        <v>32858002</v>
      </c>
      <c r="D3" t="s">
        <v>150</v>
      </c>
      <c r="F3" t="s">
        <v>151</v>
      </c>
      <c r="G3" t="s">
        <v>3</v>
      </c>
      <c r="H3" t="str">
        <f>VLOOKUP(tblContactoCliente[[#This Row],[id_cliente]],tblClientes[[#All],[id]:[nombre_contacto]],4,0)</f>
        <v>ABC PRODEIN</v>
      </c>
    </row>
    <row r="4" spans="1:8" x14ac:dyDescent="0.25">
      <c r="A4">
        <v>3</v>
      </c>
      <c r="B4">
        <v>3</v>
      </c>
      <c r="C4">
        <v>3108544475</v>
      </c>
      <c r="D4" t="s">
        <v>155</v>
      </c>
      <c r="F4" t="s">
        <v>156</v>
      </c>
      <c r="G4" t="s">
        <v>3</v>
      </c>
      <c r="H4" t="str">
        <f>VLOOKUP(tblContactoCliente[[#This Row],[id_cliente]],tblClientes[[#All],[id]:[nombre_contacto]],4,0)</f>
        <v>ACCETEX ACCESORIOS Y TEXTRUILES EU</v>
      </c>
    </row>
    <row r="5" spans="1:8" x14ac:dyDescent="0.25">
      <c r="A5">
        <v>4</v>
      </c>
      <c r="B5">
        <v>4</v>
      </c>
      <c r="C5">
        <v>3102753975</v>
      </c>
      <c r="D5" t="s">
        <v>160</v>
      </c>
      <c r="F5" t="s">
        <v>161</v>
      </c>
      <c r="G5" t="s">
        <v>3</v>
      </c>
      <c r="H5" t="str">
        <f>VLOOKUP(tblContactoCliente[[#This Row],[id_cliente]],tblClientes[[#All],[id]:[nombre_contacto]],4,0)</f>
        <v>ADELAIDA CONDE</v>
      </c>
    </row>
    <row r="6" spans="1:8" x14ac:dyDescent="0.25">
      <c r="A6">
        <v>5</v>
      </c>
      <c r="B6">
        <v>5</v>
      </c>
      <c r="C6">
        <v>3132083505</v>
      </c>
      <c r="D6" t="s">
        <v>163</v>
      </c>
      <c r="F6" t="s">
        <v>164</v>
      </c>
      <c r="G6" t="s">
        <v>165</v>
      </c>
      <c r="H6" t="str">
        <f>VLOOKUP(tblContactoCliente[[#This Row],[id_cliente]],tblClientes[[#All],[id]:[nombre_contacto]],4,0)</f>
        <v>ADULFINO CRISTANCHO HERNANDEZ</v>
      </c>
    </row>
    <row r="7" spans="1:8" x14ac:dyDescent="0.25">
      <c r="A7">
        <v>6</v>
      </c>
      <c r="B7">
        <v>6</v>
      </c>
      <c r="C7">
        <v>3144550561</v>
      </c>
      <c r="D7" t="s">
        <v>168</v>
      </c>
      <c r="F7" t="s">
        <v>169</v>
      </c>
      <c r="G7" t="s">
        <v>165</v>
      </c>
      <c r="H7" t="str">
        <f>VLOOKUP(tblContactoCliente[[#This Row],[id_cliente]],tblClientes[[#All],[id]:[nombre_contacto]],4,0)</f>
        <v>ALBEIRO PATIÑO</v>
      </c>
    </row>
    <row r="8" spans="1:8" x14ac:dyDescent="0.25">
      <c r="A8">
        <v>7</v>
      </c>
      <c r="B8">
        <v>7</v>
      </c>
      <c r="C8">
        <v>3005092848</v>
      </c>
      <c r="D8" t="s">
        <v>173</v>
      </c>
      <c r="F8" t="s">
        <v>174</v>
      </c>
      <c r="G8" t="s">
        <v>3</v>
      </c>
      <c r="H8" t="str">
        <f>VLOOKUP(tblContactoCliente[[#This Row],[id_cliente]],tblClientes[[#All],[id]:[nombre_contacto]],4,0)</f>
        <v>ALDO DIAZ</v>
      </c>
    </row>
    <row r="9" spans="1:8" x14ac:dyDescent="0.25">
      <c r="A9">
        <v>8</v>
      </c>
      <c r="B9">
        <v>8</v>
      </c>
      <c r="C9">
        <v>3163929208</v>
      </c>
      <c r="D9" t="s">
        <v>176</v>
      </c>
      <c r="F9" t="s">
        <v>177</v>
      </c>
      <c r="G9" t="s">
        <v>3</v>
      </c>
      <c r="H9" t="str">
        <f>VLOOKUP(tblContactoCliente[[#This Row],[id_cliente]],tblClientes[[#All],[id]:[nombre_contacto]],4,0)</f>
        <v>ALEJANDRO ACOSTA</v>
      </c>
    </row>
    <row r="10" spans="1:8" x14ac:dyDescent="0.25">
      <c r="A10">
        <v>9</v>
      </c>
      <c r="B10">
        <v>9</v>
      </c>
      <c r="C10">
        <v>3214535078</v>
      </c>
      <c r="D10" t="s">
        <v>182</v>
      </c>
      <c r="F10" t="s">
        <v>183</v>
      </c>
      <c r="G10" t="s">
        <v>3</v>
      </c>
      <c r="H10" t="str">
        <f>VLOOKUP(tblContactoCliente[[#This Row],[id_cliente]],tblClientes[[#All],[id]:[nombre_contacto]],4,0)</f>
        <v>ALEJANDRO CIFUENTES</v>
      </c>
    </row>
    <row r="11" spans="1:8" x14ac:dyDescent="0.25">
      <c r="A11">
        <v>10</v>
      </c>
      <c r="B11">
        <v>10</v>
      </c>
      <c r="C11">
        <v>3208331273</v>
      </c>
      <c r="D11" t="s">
        <v>186</v>
      </c>
      <c r="F11" t="s">
        <v>187</v>
      </c>
      <c r="G11" t="s">
        <v>3</v>
      </c>
      <c r="H11" t="str">
        <f>VLOOKUP(tblContactoCliente[[#This Row],[id_cliente]],tblClientes[[#All],[id]:[nombre_contacto]],4,0)</f>
        <v xml:space="preserve">ALEJANDRO HERNANDEZ </v>
      </c>
    </row>
    <row r="12" spans="1:8" x14ac:dyDescent="0.25">
      <c r="A12">
        <v>11</v>
      </c>
      <c r="B12">
        <v>11</v>
      </c>
      <c r="C12">
        <v>3168775938</v>
      </c>
      <c r="D12" t="s">
        <v>190</v>
      </c>
      <c r="F12" t="s">
        <v>187</v>
      </c>
      <c r="G12" t="s">
        <v>3</v>
      </c>
      <c r="H12" t="str">
        <f>VLOOKUP(tblContactoCliente[[#This Row],[id_cliente]],tblClientes[[#All],[id]:[nombre_contacto]],4,0)</f>
        <v>ALEJANDRO MARTINEZ</v>
      </c>
    </row>
    <row r="13" spans="1:8" x14ac:dyDescent="0.25">
      <c r="A13">
        <v>12</v>
      </c>
      <c r="B13">
        <v>12</v>
      </c>
      <c r="C13">
        <v>3124331745</v>
      </c>
      <c r="D13" t="s">
        <v>194</v>
      </c>
      <c r="F13" t="s">
        <v>195</v>
      </c>
      <c r="G13" t="s">
        <v>3</v>
      </c>
      <c r="H13" t="str">
        <f>VLOOKUP(tblContactoCliente[[#This Row],[id_cliente]],tblClientes[[#All],[id]:[nombre_contacto]],4,0)</f>
        <v>ALEXANDER  CESPEDES</v>
      </c>
    </row>
    <row r="14" spans="1:8" x14ac:dyDescent="0.25">
      <c r="A14">
        <v>13</v>
      </c>
      <c r="B14">
        <v>13</v>
      </c>
      <c r="C14">
        <v>3112209433</v>
      </c>
      <c r="D14" t="s">
        <v>200</v>
      </c>
      <c r="F14" t="s">
        <v>187</v>
      </c>
      <c r="G14" t="s">
        <v>3</v>
      </c>
      <c r="H14" t="str">
        <f>VLOOKUP(tblContactoCliente[[#This Row],[id_cliente]],tblClientes[[#All],[id]:[nombre_contacto]],4,0)</f>
        <v>ALEXANDER CALDAS</v>
      </c>
    </row>
    <row r="15" spans="1:8" x14ac:dyDescent="0.25">
      <c r="A15">
        <v>14</v>
      </c>
      <c r="B15">
        <v>14</v>
      </c>
      <c r="C15">
        <v>3126311587</v>
      </c>
      <c r="D15" t="s">
        <v>204</v>
      </c>
      <c r="F15" t="s">
        <v>205</v>
      </c>
      <c r="G15" t="s">
        <v>7</v>
      </c>
      <c r="H15" t="str">
        <f>VLOOKUP(tblContactoCliente[[#This Row],[id_cliente]],tblClientes[[#All],[id]:[nombre_contacto]],4,0)</f>
        <v>ALEXANDER ESPINE</v>
      </c>
    </row>
    <row r="16" spans="1:8" x14ac:dyDescent="0.25">
      <c r="A16">
        <v>15</v>
      </c>
      <c r="B16">
        <v>15</v>
      </c>
      <c r="C16">
        <v>3183589883</v>
      </c>
      <c r="D16" t="s">
        <v>1</v>
      </c>
      <c r="F16" t="s">
        <v>142</v>
      </c>
      <c r="G16" t="s">
        <v>3</v>
      </c>
      <c r="H16" t="str">
        <f>VLOOKUP(tblContactoCliente[[#This Row],[id_cliente]],tblClientes[[#All],[id]:[nombre_contacto]],4,0)</f>
        <v>ALEXIS SALAZAR</v>
      </c>
    </row>
    <row r="17" spans="1:8" x14ac:dyDescent="0.25">
      <c r="A17">
        <v>16</v>
      </c>
      <c r="B17">
        <v>16</v>
      </c>
      <c r="C17">
        <v>7911027</v>
      </c>
      <c r="D17" t="s">
        <v>211</v>
      </c>
      <c r="F17" t="s">
        <v>212</v>
      </c>
      <c r="G17" t="s">
        <v>3</v>
      </c>
      <c r="H17" t="str">
        <f>VLOOKUP(tblContactoCliente[[#This Row],[id_cliente]],tblClientes[[#All],[id]:[nombre_contacto]],4,0)</f>
        <v>ALEXY YINETH WELLMAN</v>
      </c>
    </row>
    <row r="18" spans="1:8" x14ac:dyDescent="0.25">
      <c r="A18">
        <v>17</v>
      </c>
      <c r="B18">
        <v>17</v>
      </c>
      <c r="C18">
        <v>3106816433</v>
      </c>
      <c r="D18" t="s">
        <v>216</v>
      </c>
      <c r="F18" t="s">
        <v>217</v>
      </c>
      <c r="G18" t="s">
        <v>139</v>
      </c>
      <c r="H18" t="str">
        <f>VLOOKUP(tblContactoCliente[[#This Row],[id_cliente]],tblClientes[[#All],[id]:[nombre_contacto]],4,0)</f>
        <v>ALFONSO ABULLINEN</v>
      </c>
    </row>
    <row r="19" spans="1:8" x14ac:dyDescent="0.25">
      <c r="A19">
        <v>18</v>
      </c>
      <c r="B19">
        <v>18</v>
      </c>
      <c r="C19">
        <v>3013366348</v>
      </c>
      <c r="D19" t="s">
        <v>219</v>
      </c>
      <c r="F19" t="s">
        <v>187</v>
      </c>
      <c r="G19" t="s">
        <v>3</v>
      </c>
      <c r="H19" t="str">
        <f>VLOOKUP(tblContactoCliente[[#This Row],[id_cliente]],tblClientes[[#All],[id]:[nombre_contacto]],4,0)</f>
        <v>ALFONSO MARTINEZ</v>
      </c>
    </row>
    <row r="20" spans="1:8" x14ac:dyDescent="0.25">
      <c r="A20">
        <v>19</v>
      </c>
      <c r="B20">
        <v>19</v>
      </c>
      <c r="C20">
        <v>3164366691</v>
      </c>
      <c r="D20" t="s">
        <v>223</v>
      </c>
      <c r="F20" t="s">
        <v>217</v>
      </c>
      <c r="G20" t="s">
        <v>224</v>
      </c>
      <c r="H20" t="str">
        <f>VLOOKUP(tblContactoCliente[[#This Row],[id_cliente]],tblClientes[[#All],[id]:[nombre_contacto]],4,0)</f>
        <v xml:space="preserve">ALFONZO ZALAS </v>
      </c>
    </row>
    <row r="21" spans="1:8" x14ac:dyDescent="0.25">
      <c r="A21">
        <v>20</v>
      </c>
      <c r="B21">
        <v>20</v>
      </c>
      <c r="C21">
        <v>3107696822</v>
      </c>
      <c r="D21" t="s">
        <v>228</v>
      </c>
      <c r="F21" t="s">
        <v>217</v>
      </c>
      <c r="G21" t="s">
        <v>3</v>
      </c>
      <c r="H21" t="str">
        <f>VLOOKUP(tblContactoCliente[[#This Row],[id_cliente]],tblClientes[[#All],[id]:[nombre_contacto]],4,0)</f>
        <v>ALFREDO DELGADILLO</v>
      </c>
    </row>
    <row r="22" spans="1:8" x14ac:dyDescent="0.25">
      <c r="A22">
        <v>21</v>
      </c>
      <c r="B22">
        <v>21</v>
      </c>
      <c r="C22">
        <v>3164723058</v>
      </c>
      <c r="D22" t="s">
        <v>230</v>
      </c>
      <c r="F22" t="s">
        <v>217</v>
      </c>
      <c r="G22" t="s">
        <v>224</v>
      </c>
      <c r="H22" t="str">
        <f>VLOOKUP(tblContactoCliente[[#This Row],[id_cliente]],tblClientes[[#All],[id]:[nombre_contacto]],4,0)</f>
        <v>ALIRIO BENAVIDES</v>
      </c>
    </row>
    <row r="23" spans="1:8" x14ac:dyDescent="0.25">
      <c r="A23">
        <v>22</v>
      </c>
      <c r="B23">
        <v>22</v>
      </c>
      <c r="C23">
        <v>3045318405</v>
      </c>
      <c r="D23" t="s">
        <v>233</v>
      </c>
      <c r="F23" t="s">
        <v>234</v>
      </c>
      <c r="G23" t="s">
        <v>3</v>
      </c>
      <c r="H23" t="str">
        <f>VLOOKUP(tblContactoCliente[[#This Row],[id_cliente]],tblClientes[[#All],[id]:[nombre_contacto]],4,0)</f>
        <v>ALVARO SERNA</v>
      </c>
    </row>
    <row r="24" spans="1:8" x14ac:dyDescent="0.25">
      <c r="A24">
        <v>23</v>
      </c>
      <c r="B24">
        <v>23</v>
      </c>
      <c r="C24">
        <v>3107685955</v>
      </c>
      <c r="D24" t="s">
        <v>238</v>
      </c>
      <c r="F24" t="s">
        <v>239</v>
      </c>
      <c r="G24" t="s">
        <v>240</v>
      </c>
      <c r="H24" t="str">
        <f>VLOOKUP(tblContactoCliente[[#This Row],[id_cliente]],tblClientes[[#All],[id]:[nombre_contacto]],4,0)</f>
        <v>AMPARO MEJIA BOTERO</v>
      </c>
    </row>
    <row r="25" spans="1:8" x14ac:dyDescent="0.25">
      <c r="A25">
        <v>24</v>
      </c>
      <c r="B25">
        <v>24</v>
      </c>
      <c r="C25">
        <v>3114400962</v>
      </c>
      <c r="D25" t="s">
        <v>242</v>
      </c>
      <c r="F25" t="s">
        <v>243</v>
      </c>
      <c r="G25" t="s">
        <v>3</v>
      </c>
      <c r="H25" t="str">
        <f>VLOOKUP(tblContactoCliente[[#This Row],[id_cliente]],tblClientes[[#All],[id]:[nombre_contacto]],4,0)</f>
        <v xml:space="preserve">AMPARO VARGAS </v>
      </c>
    </row>
    <row r="26" spans="1:8" x14ac:dyDescent="0.25">
      <c r="A26">
        <v>25</v>
      </c>
      <c r="B26">
        <v>25</v>
      </c>
      <c r="C26">
        <v>3165363743</v>
      </c>
      <c r="D26" t="s">
        <v>246</v>
      </c>
      <c r="F26" t="s">
        <v>247</v>
      </c>
      <c r="G26" t="s">
        <v>16</v>
      </c>
      <c r="H26" t="str">
        <f>VLOOKUP(tblContactoCliente[[#This Row],[id_cliente]],tblClientes[[#All],[id]:[nombre_contacto]],4,0)</f>
        <v>ANA MARIA GOMEZ</v>
      </c>
    </row>
    <row r="27" spans="1:8" x14ac:dyDescent="0.25">
      <c r="A27">
        <v>26</v>
      </c>
      <c r="B27">
        <v>26</v>
      </c>
      <c r="C27">
        <v>3112094942</v>
      </c>
      <c r="D27" t="s">
        <v>252</v>
      </c>
      <c r="F27" t="s">
        <v>253</v>
      </c>
      <c r="G27" t="s">
        <v>3</v>
      </c>
      <c r="H27" t="str">
        <f>VLOOKUP(tblContactoCliente[[#This Row],[id_cliente]],tblClientes[[#All],[id]:[nombre_contacto]],4,0)</f>
        <v>ANA YIBER DANDERINO NAVAS</v>
      </c>
    </row>
    <row r="28" spans="1:8" x14ac:dyDescent="0.25">
      <c r="A28">
        <v>27</v>
      </c>
      <c r="B28">
        <v>27</v>
      </c>
      <c r="C28">
        <v>3192412093</v>
      </c>
      <c r="D28" t="s">
        <v>258</v>
      </c>
      <c r="F28" t="s">
        <v>259</v>
      </c>
      <c r="G28" t="s">
        <v>3</v>
      </c>
      <c r="H28" t="str">
        <f>VLOOKUP(tblContactoCliente[[#This Row],[id_cliente]],tblClientes[[#All],[id]:[nombre_contacto]],4,0)</f>
        <v>ANDERSON PACHEACO</v>
      </c>
    </row>
    <row r="29" spans="1:8" x14ac:dyDescent="0.25">
      <c r="A29">
        <v>28</v>
      </c>
      <c r="B29">
        <v>28</v>
      </c>
      <c r="C29">
        <v>3124332395</v>
      </c>
      <c r="D29" t="s">
        <v>263</v>
      </c>
      <c r="F29" t="s">
        <v>264</v>
      </c>
      <c r="G29" t="s">
        <v>3</v>
      </c>
      <c r="H29" t="str">
        <f>VLOOKUP(tblContactoCliente[[#This Row],[id_cliente]],tblClientes[[#All],[id]:[nombre_contacto]],4,0)</f>
        <v>ANDREA LOAISA</v>
      </c>
    </row>
    <row r="30" spans="1:8" x14ac:dyDescent="0.25">
      <c r="A30">
        <v>29</v>
      </c>
      <c r="B30">
        <v>29</v>
      </c>
      <c r="C30">
        <v>3108616630</v>
      </c>
      <c r="D30" t="s">
        <v>268</v>
      </c>
      <c r="F30" t="s">
        <v>269</v>
      </c>
      <c r="G30" t="s">
        <v>3</v>
      </c>
      <c r="H30" t="str">
        <f>VLOOKUP(tblContactoCliente[[#This Row],[id_cliente]],tblClientes[[#All],[id]:[nombre_contacto]],4,0)</f>
        <v>ANDREA ORDOÑEZ</v>
      </c>
    </row>
    <row r="31" spans="1:8" x14ac:dyDescent="0.25">
      <c r="A31">
        <v>30</v>
      </c>
      <c r="B31">
        <v>30</v>
      </c>
      <c r="C31">
        <v>3204602881</v>
      </c>
      <c r="D31" t="s">
        <v>273</v>
      </c>
      <c r="F31" t="s">
        <v>274</v>
      </c>
      <c r="G31" t="s">
        <v>3</v>
      </c>
      <c r="H31" t="str">
        <f>VLOOKUP(tblContactoCliente[[#This Row],[id_cliente]],tblClientes[[#All],[id]:[nombre_contacto]],4,0)</f>
        <v>ANDREA PERDOMO PARRA</v>
      </c>
    </row>
    <row r="32" spans="1:8" x14ac:dyDescent="0.25">
      <c r="A32">
        <v>31</v>
      </c>
      <c r="B32">
        <v>31</v>
      </c>
      <c r="C32">
        <v>3155621188</v>
      </c>
      <c r="D32" t="s">
        <v>278</v>
      </c>
      <c r="F32" t="s">
        <v>279</v>
      </c>
      <c r="G32" t="s">
        <v>3</v>
      </c>
      <c r="H32" t="str">
        <f>VLOOKUP(tblContactoCliente[[#This Row],[id_cliente]],tblClientes[[#All],[id]:[nombre_contacto]],4,0)</f>
        <v>ANDREA PINEDA</v>
      </c>
    </row>
    <row r="33" spans="1:8" x14ac:dyDescent="0.25">
      <c r="A33">
        <v>32</v>
      </c>
      <c r="B33">
        <v>32</v>
      </c>
      <c r="C33">
        <v>3102475523</v>
      </c>
      <c r="D33" t="s">
        <v>283</v>
      </c>
      <c r="F33" t="s">
        <v>284</v>
      </c>
      <c r="G33" t="s">
        <v>3</v>
      </c>
      <c r="H33" t="str">
        <f>VLOOKUP(tblContactoCliente[[#This Row],[id_cliente]],tblClientes[[#All],[id]:[nombre_contacto]],4,0)</f>
        <v>ANDRES ALVIRA</v>
      </c>
    </row>
    <row r="34" spans="1:8" x14ac:dyDescent="0.25">
      <c r="A34">
        <v>33</v>
      </c>
      <c r="B34">
        <v>33</v>
      </c>
      <c r="C34">
        <v>3125608708</v>
      </c>
      <c r="D34" t="s">
        <v>286</v>
      </c>
      <c r="F34" t="s">
        <v>287</v>
      </c>
      <c r="G34" t="s">
        <v>3</v>
      </c>
      <c r="H34" t="str">
        <f>VLOOKUP(tblContactoCliente[[#This Row],[id_cliente]],tblClientes[[#All],[id]:[nombre_contacto]],4,0)</f>
        <v>ANDRES BENAVIDES</v>
      </c>
    </row>
    <row r="35" spans="1:8" x14ac:dyDescent="0.25">
      <c r="A35">
        <v>34</v>
      </c>
      <c r="B35">
        <v>34</v>
      </c>
      <c r="C35">
        <v>3203453318</v>
      </c>
      <c r="D35" t="s">
        <v>291</v>
      </c>
      <c r="F35" t="s">
        <v>292</v>
      </c>
      <c r="G35" t="s">
        <v>3</v>
      </c>
      <c r="H35" t="str">
        <f>VLOOKUP(tblContactoCliente[[#This Row],[id_cliente]],tblClientes[[#All],[id]:[nombre_contacto]],4,0)</f>
        <v>ANDRES CASTILLO</v>
      </c>
    </row>
    <row r="36" spans="1:8" x14ac:dyDescent="0.25">
      <c r="A36">
        <v>35</v>
      </c>
      <c r="B36">
        <v>35</v>
      </c>
      <c r="C36">
        <v>6562405</v>
      </c>
      <c r="D36" t="s">
        <v>295</v>
      </c>
      <c r="F36" t="s">
        <v>296</v>
      </c>
      <c r="G36" t="s">
        <v>3</v>
      </c>
      <c r="H36" t="str">
        <f>VLOOKUP(tblContactoCliente[[#This Row],[id_cliente]],tblClientes[[#All],[id]:[nombre_contacto]],4,0)</f>
        <v>ANDRES FAJARDO</v>
      </c>
    </row>
    <row r="37" spans="1:8" x14ac:dyDescent="0.25">
      <c r="A37">
        <v>36</v>
      </c>
      <c r="B37">
        <v>36</v>
      </c>
      <c r="C37">
        <v>3003658383</v>
      </c>
      <c r="D37" t="s">
        <v>300</v>
      </c>
      <c r="F37" t="s">
        <v>301</v>
      </c>
      <c r="G37" t="s">
        <v>3</v>
      </c>
      <c r="H37" t="str">
        <f>VLOOKUP(tblContactoCliente[[#This Row],[id_cliente]],tblClientes[[#All],[id]:[nombre_contacto]],4,0)</f>
        <v>ANDRES JULIAN MESA CAICEDO</v>
      </c>
    </row>
    <row r="38" spans="1:8" x14ac:dyDescent="0.25">
      <c r="A38">
        <v>37</v>
      </c>
      <c r="B38">
        <v>37</v>
      </c>
      <c r="C38">
        <v>3187949024</v>
      </c>
      <c r="D38" t="s">
        <v>303</v>
      </c>
      <c r="F38" t="s">
        <v>187</v>
      </c>
      <c r="G38" t="s">
        <v>3</v>
      </c>
      <c r="H38" t="str">
        <f>VLOOKUP(tblContactoCliente[[#This Row],[id_cliente]],tblClientes[[#All],[id]:[nombre_contacto]],4,0)</f>
        <v>JHON PUENTES</v>
      </c>
    </row>
    <row r="39" spans="1:8" x14ac:dyDescent="0.25">
      <c r="A39">
        <v>38</v>
      </c>
      <c r="B39">
        <v>38</v>
      </c>
      <c r="C39">
        <v>3105509941</v>
      </c>
      <c r="D39" t="s">
        <v>307</v>
      </c>
      <c r="F39" t="s">
        <v>308</v>
      </c>
      <c r="G39" t="s">
        <v>3</v>
      </c>
      <c r="H39" t="str">
        <f>VLOOKUP(tblContactoCliente[[#This Row],[id_cliente]],tblClientes[[#All],[id]:[nombre_contacto]],4,0)</f>
        <v>ANDRES MURILLO</v>
      </c>
    </row>
    <row r="40" spans="1:8" x14ac:dyDescent="0.25">
      <c r="A40">
        <v>39</v>
      </c>
      <c r="B40">
        <v>39</v>
      </c>
      <c r="C40">
        <v>3115019294</v>
      </c>
      <c r="D40" t="s">
        <v>1</v>
      </c>
      <c r="F40" t="s">
        <v>1</v>
      </c>
      <c r="G40" t="s">
        <v>3</v>
      </c>
      <c r="H40" t="str">
        <f>VLOOKUP(tblContactoCliente[[#This Row],[id_cliente]],tblClientes[[#All],[id]:[nombre_contacto]],4,0)</f>
        <v>ANDRES PACHECO</v>
      </c>
    </row>
    <row r="41" spans="1:8" x14ac:dyDescent="0.25">
      <c r="A41">
        <v>40</v>
      </c>
      <c r="B41">
        <v>40</v>
      </c>
      <c r="C41">
        <v>3203851186</v>
      </c>
      <c r="D41" t="s">
        <v>314</v>
      </c>
      <c r="F41" t="s">
        <v>315</v>
      </c>
      <c r="G41" t="s">
        <v>3</v>
      </c>
      <c r="H41" t="str">
        <f>VLOOKUP(tblContactoCliente[[#This Row],[id_cliente]],tblClientes[[#All],[id]:[nombre_contacto]],4,0)</f>
        <v>ANDRES REYES</v>
      </c>
    </row>
    <row r="42" spans="1:8" x14ac:dyDescent="0.25">
      <c r="A42">
        <v>41</v>
      </c>
      <c r="B42">
        <v>41</v>
      </c>
      <c r="C42">
        <v>3107873868</v>
      </c>
      <c r="D42" t="s">
        <v>318</v>
      </c>
      <c r="F42" t="s">
        <v>187</v>
      </c>
      <c r="G42" t="s">
        <v>3</v>
      </c>
      <c r="H42" t="str">
        <f>VLOOKUP(tblContactoCliente[[#This Row],[id_cliente]],tblClientes[[#All],[id]:[nombre_contacto]],4,0)</f>
        <v>ANDRES ROJAS</v>
      </c>
    </row>
    <row r="43" spans="1:8" x14ac:dyDescent="0.25">
      <c r="A43">
        <v>42</v>
      </c>
      <c r="B43">
        <v>42</v>
      </c>
      <c r="C43">
        <v>3209129150</v>
      </c>
      <c r="D43" t="s">
        <v>321</v>
      </c>
      <c r="F43" t="s">
        <v>142</v>
      </c>
      <c r="G43" t="s">
        <v>3</v>
      </c>
      <c r="H43" t="str">
        <f>VLOOKUP(tblContactoCliente[[#This Row],[id_cliente]],tblClientes[[#All],[id]:[nombre_contacto]],4,0)</f>
        <v>ANDRES SILVA</v>
      </c>
    </row>
    <row r="44" spans="1:8" x14ac:dyDescent="0.25">
      <c r="A44">
        <v>43</v>
      </c>
      <c r="B44">
        <v>43</v>
      </c>
      <c r="C44">
        <v>3208269158</v>
      </c>
      <c r="D44" t="s">
        <v>323</v>
      </c>
      <c r="F44" t="s">
        <v>324</v>
      </c>
      <c r="G44" t="s">
        <v>3</v>
      </c>
      <c r="H44" t="str">
        <f>VLOOKUP(tblContactoCliente[[#This Row],[id_cliente]],tblClientes[[#All],[id]:[nombre_contacto]],4,0)</f>
        <v>ANDREY AREVALO</v>
      </c>
    </row>
    <row r="45" spans="1:8" x14ac:dyDescent="0.25">
      <c r="A45">
        <v>44</v>
      </c>
      <c r="B45">
        <v>44</v>
      </c>
      <c r="C45">
        <v>3208269158</v>
      </c>
      <c r="D45" t="s">
        <v>328</v>
      </c>
      <c r="F45" t="s">
        <v>142</v>
      </c>
      <c r="G45" t="s">
        <v>3</v>
      </c>
      <c r="H45" t="str">
        <f>VLOOKUP(tblContactoCliente[[#This Row],[id_cliente]],tblClientes[[#All],[id]:[nombre_contacto]],4,0)</f>
        <v>ANDREY AREVALO GONZALEZ</v>
      </c>
    </row>
    <row r="46" spans="1:8" x14ac:dyDescent="0.25">
      <c r="A46">
        <v>45</v>
      </c>
      <c r="B46">
        <v>45</v>
      </c>
      <c r="C46">
        <v>3125894293</v>
      </c>
      <c r="D46" t="s">
        <v>330</v>
      </c>
      <c r="F46" t="s">
        <v>331</v>
      </c>
      <c r="G46" t="s">
        <v>3</v>
      </c>
      <c r="H46" t="str">
        <f>VLOOKUP(tblContactoCliente[[#This Row],[id_cliente]],tblClientes[[#All],[id]:[nombre_contacto]],4,0)</f>
        <v>ANGEL RODRIGUEZ</v>
      </c>
    </row>
    <row r="47" spans="1:8" x14ac:dyDescent="0.25">
      <c r="A47">
        <v>46</v>
      </c>
      <c r="B47">
        <v>46</v>
      </c>
      <c r="C47">
        <v>3103358302</v>
      </c>
      <c r="D47" t="s">
        <v>333</v>
      </c>
      <c r="F47" t="s">
        <v>334</v>
      </c>
      <c r="G47" t="s">
        <v>3</v>
      </c>
      <c r="H47" t="str">
        <f>VLOOKUP(tblContactoCliente[[#This Row],[id_cliente]],tblClientes[[#All],[id]:[nombre_contacto]],4,0)</f>
        <v>ANGEL SANABRIA</v>
      </c>
    </row>
    <row r="48" spans="1:8" x14ac:dyDescent="0.25">
      <c r="A48">
        <v>47</v>
      </c>
      <c r="B48">
        <v>47</v>
      </c>
      <c r="C48">
        <v>3108102699</v>
      </c>
      <c r="D48" t="s">
        <v>337</v>
      </c>
      <c r="F48" t="s">
        <v>338</v>
      </c>
      <c r="G48" t="s">
        <v>3</v>
      </c>
      <c r="H48" t="str">
        <f>VLOOKUP(tblContactoCliente[[#This Row],[id_cliente]],tblClientes[[#All],[id]:[nombre_contacto]],4,0)</f>
        <v>ANGELA GOMEZ</v>
      </c>
    </row>
    <row r="49" spans="1:8" x14ac:dyDescent="0.25">
      <c r="A49">
        <v>48</v>
      </c>
      <c r="B49">
        <v>48</v>
      </c>
      <c r="C49">
        <v>3174368565</v>
      </c>
      <c r="D49" t="s">
        <v>341</v>
      </c>
      <c r="F49" t="s">
        <v>342</v>
      </c>
      <c r="G49" t="s">
        <v>343</v>
      </c>
      <c r="H49" t="str">
        <f>VLOOKUP(tblContactoCliente[[#This Row],[id_cliente]],tblClientes[[#All],[id]:[nombre_contacto]],4,0)</f>
        <v>ANGELICA FERNANDEZ</v>
      </c>
    </row>
    <row r="50" spans="1:8" x14ac:dyDescent="0.25">
      <c r="A50">
        <v>49</v>
      </c>
      <c r="B50">
        <v>49</v>
      </c>
      <c r="C50">
        <v>3006198507</v>
      </c>
      <c r="D50" t="s">
        <v>347</v>
      </c>
      <c r="F50" t="s">
        <v>348</v>
      </c>
      <c r="G50" t="s">
        <v>3</v>
      </c>
      <c r="H50" t="str">
        <f>VLOOKUP(tblContactoCliente[[#This Row],[id_cliente]],tblClientes[[#All],[id]:[nombre_contacto]],4,0)</f>
        <v>ANGELICA RAMIREZ</v>
      </c>
    </row>
    <row r="51" spans="1:8" x14ac:dyDescent="0.25">
      <c r="A51">
        <v>50</v>
      </c>
      <c r="B51">
        <v>50</v>
      </c>
      <c r="C51">
        <v>3213435772</v>
      </c>
      <c r="D51" t="s">
        <v>351</v>
      </c>
      <c r="F51" t="s">
        <v>352</v>
      </c>
      <c r="G51" t="s">
        <v>3</v>
      </c>
      <c r="H51" t="str">
        <f>VLOOKUP(tblContactoCliente[[#This Row],[id_cliente]],tblClientes[[#All],[id]:[nombre_contacto]],4,0)</f>
        <v>ANGELICA SANTAMARIA</v>
      </c>
    </row>
    <row r="52" spans="1:8" x14ac:dyDescent="0.25">
      <c r="A52">
        <v>51</v>
      </c>
      <c r="B52">
        <v>51</v>
      </c>
      <c r="C52">
        <v>3005519307</v>
      </c>
      <c r="D52" t="s">
        <v>356</v>
      </c>
      <c r="F52" t="s">
        <v>357</v>
      </c>
      <c r="G52" t="s">
        <v>3</v>
      </c>
      <c r="H52" t="str">
        <f>VLOOKUP(tblContactoCliente[[#This Row],[id_cliente]],tblClientes[[#All],[id]:[nombre_contacto]],4,0)</f>
        <v>ANGELO REINA SALDAÑA</v>
      </c>
    </row>
    <row r="53" spans="1:8" x14ac:dyDescent="0.25">
      <c r="A53">
        <v>52</v>
      </c>
      <c r="B53">
        <v>52</v>
      </c>
      <c r="C53">
        <v>3193244170</v>
      </c>
      <c r="D53" t="s">
        <v>361</v>
      </c>
      <c r="F53" t="s">
        <v>362</v>
      </c>
      <c r="G53" t="s">
        <v>3</v>
      </c>
      <c r="H53" t="str">
        <f>VLOOKUP(tblContactoCliente[[#This Row],[id_cliente]],tblClientes[[#All],[id]:[nombre_contacto]],4,0)</f>
        <v>ANIBAL HERNANDEZ</v>
      </c>
    </row>
    <row r="54" spans="1:8" x14ac:dyDescent="0.25">
      <c r="A54">
        <v>53</v>
      </c>
      <c r="B54">
        <v>53</v>
      </c>
      <c r="C54">
        <v>3202639888</v>
      </c>
      <c r="D54" t="s">
        <v>365</v>
      </c>
      <c r="F54" t="s">
        <v>366</v>
      </c>
      <c r="G54" t="s">
        <v>3</v>
      </c>
      <c r="H54" t="str">
        <f>VLOOKUP(tblContactoCliente[[#This Row],[id_cliente]],tblClientes[[#All],[id]:[nombre_contacto]],4,0)</f>
        <v>ANSELMO ROJAS</v>
      </c>
    </row>
    <row r="55" spans="1:8" x14ac:dyDescent="0.25">
      <c r="A55">
        <v>54</v>
      </c>
      <c r="B55">
        <v>54</v>
      </c>
      <c r="C55">
        <v>3202936720</v>
      </c>
      <c r="D55" t="s">
        <v>368</v>
      </c>
      <c r="F55" t="s">
        <v>369</v>
      </c>
      <c r="G55" t="s">
        <v>3</v>
      </c>
      <c r="H55" t="str">
        <f>VLOOKUP(tblContactoCliente[[#This Row],[id_cliente]],tblClientes[[#All],[id]:[nombre_contacto]],4,0)</f>
        <v>ANTONIO GARCIA</v>
      </c>
    </row>
    <row r="56" spans="1:8" x14ac:dyDescent="0.25">
      <c r="A56">
        <v>55</v>
      </c>
      <c r="B56">
        <v>55</v>
      </c>
      <c r="C56">
        <v>3004243229</v>
      </c>
      <c r="D56" t="s">
        <v>371</v>
      </c>
      <c r="F56" t="s">
        <v>372</v>
      </c>
      <c r="G56" t="s">
        <v>16</v>
      </c>
      <c r="H56" t="str">
        <f>VLOOKUP(tblContactoCliente[[#This Row],[id_cliente]],tblClientes[[#All],[id]:[nombre_contacto]],4,0)</f>
        <v>ARACELY PALACE</v>
      </c>
    </row>
    <row r="57" spans="1:8" x14ac:dyDescent="0.25">
      <c r="A57">
        <v>56</v>
      </c>
      <c r="B57">
        <v>56</v>
      </c>
      <c r="C57">
        <v>3192659667</v>
      </c>
      <c r="D57" t="s">
        <v>375</v>
      </c>
      <c r="F57" t="s">
        <v>376</v>
      </c>
      <c r="G57" t="s">
        <v>3</v>
      </c>
      <c r="H57" t="str">
        <f>VLOOKUP(tblContactoCliente[[#This Row],[id_cliente]],tblClientes[[#All],[id]:[nombre_contacto]],4,0)</f>
        <v>ARIANO MARROQUINERIA SAS</v>
      </c>
    </row>
    <row r="58" spans="1:8" x14ac:dyDescent="0.25">
      <c r="A58">
        <v>57</v>
      </c>
      <c r="B58">
        <v>57</v>
      </c>
      <c r="C58">
        <v>3152576168</v>
      </c>
      <c r="D58" t="s">
        <v>379</v>
      </c>
      <c r="F58" t="s">
        <v>217</v>
      </c>
      <c r="G58" t="s">
        <v>139</v>
      </c>
      <c r="H58" t="str">
        <f>VLOOKUP(tblContactoCliente[[#This Row],[id_cliente]],tblClientes[[#All],[id]:[nombre_contacto]],4,0)</f>
        <v>ARIEL DIAZ</v>
      </c>
    </row>
    <row r="59" spans="1:8" x14ac:dyDescent="0.25">
      <c r="A59">
        <v>58</v>
      </c>
      <c r="B59">
        <v>58</v>
      </c>
      <c r="C59">
        <v>3118946313</v>
      </c>
      <c r="D59" t="s">
        <v>382</v>
      </c>
      <c r="F59" t="s">
        <v>187</v>
      </c>
      <c r="G59" t="s">
        <v>3</v>
      </c>
      <c r="H59" t="str">
        <f>VLOOKUP(tblContactoCliente[[#This Row],[id_cliente]],tblClientes[[#All],[id]:[nombre_contacto]],4,0)</f>
        <v>ARIEL ZAMBRANO</v>
      </c>
    </row>
    <row r="60" spans="1:8" x14ac:dyDescent="0.25">
      <c r="A60">
        <v>59</v>
      </c>
      <c r="B60">
        <v>59</v>
      </c>
      <c r="C60">
        <v>3158265550</v>
      </c>
      <c r="D60" t="s">
        <v>386</v>
      </c>
      <c r="F60" t="s">
        <v>387</v>
      </c>
      <c r="G60" t="s">
        <v>3</v>
      </c>
      <c r="H60" t="str">
        <f>VLOOKUP(tblContactoCliente[[#This Row],[id_cliente]],tblClientes[[#All],[id]:[nombre_contacto]],4,0)</f>
        <v>ARMADURAS  SAS</v>
      </c>
    </row>
    <row r="61" spans="1:8" x14ac:dyDescent="0.25">
      <c r="A61">
        <v>60</v>
      </c>
      <c r="B61">
        <v>60</v>
      </c>
      <c r="C61">
        <v>3112196160</v>
      </c>
      <c r="D61" t="s">
        <v>390</v>
      </c>
      <c r="F61" t="s">
        <v>391</v>
      </c>
      <c r="G61" t="s">
        <v>3</v>
      </c>
      <c r="H61" t="str">
        <f>VLOOKUP(tblContactoCliente[[#This Row],[id_cliente]],tblClientes[[#All],[id]:[nombre_contacto]],4,0)</f>
        <v>ARQUIMEDES ROA</v>
      </c>
    </row>
    <row r="62" spans="1:8" x14ac:dyDescent="0.25">
      <c r="A62">
        <v>61</v>
      </c>
      <c r="B62">
        <v>61</v>
      </c>
      <c r="C62">
        <v>3134807385</v>
      </c>
      <c r="D62" t="s">
        <v>393</v>
      </c>
      <c r="F62" t="s">
        <v>274</v>
      </c>
      <c r="G62" t="s">
        <v>3</v>
      </c>
      <c r="H62" t="str">
        <f>VLOOKUP(tblContactoCliente[[#This Row],[id_cliente]],tblClientes[[#All],[id]:[nombre_contacto]],4,0)</f>
        <v>AUGUSTO LOPEZ</v>
      </c>
    </row>
    <row r="63" spans="1:8" x14ac:dyDescent="0.25">
      <c r="A63">
        <v>62</v>
      </c>
      <c r="B63">
        <v>62</v>
      </c>
      <c r="C63">
        <v>3207296058</v>
      </c>
      <c r="D63" t="s">
        <v>395</v>
      </c>
      <c r="F63" t="s">
        <v>396</v>
      </c>
      <c r="G63" t="s">
        <v>7</v>
      </c>
      <c r="H63" t="str">
        <f>VLOOKUP(tblContactoCliente[[#This Row],[id_cliente]],tblClientes[[#All],[id]:[nombre_contacto]],4,0)</f>
        <v>BEATRIZ  CALI</v>
      </c>
    </row>
    <row r="64" spans="1:8" x14ac:dyDescent="0.25">
      <c r="A64">
        <v>63</v>
      </c>
      <c r="B64">
        <v>63</v>
      </c>
      <c r="C64">
        <v>3206034476</v>
      </c>
      <c r="D64" t="s">
        <v>399</v>
      </c>
      <c r="F64" t="s">
        <v>400</v>
      </c>
      <c r="G64" t="s">
        <v>16</v>
      </c>
      <c r="H64" t="str">
        <f>VLOOKUP(tblContactoCliente[[#This Row],[id_cliente]],tblClientes[[#All],[id]:[nombre_contacto]],4,0)</f>
        <v>BEDER BENAVIDES CUADRO</v>
      </c>
    </row>
    <row r="65" spans="1:8" x14ac:dyDescent="0.25">
      <c r="A65">
        <v>64</v>
      </c>
      <c r="B65">
        <v>64</v>
      </c>
      <c r="C65">
        <v>3107927149</v>
      </c>
      <c r="D65" t="s">
        <v>404</v>
      </c>
      <c r="F65" t="s">
        <v>405</v>
      </c>
      <c r="G65" t="s">
        <v>3</v>
      </c>
      <c r="H65" t="str">
        <f>VLOOKUP(tblContactoCliente[[#This Row],[id_cliente]],tblClientes[[#All],[id]:[nombre_contacto]],4,0)</f>
        <v>BELIZARIO PEREZ</v>
      </c>
    </row>
    <row r="66" spans="1:8" x14ac:dyDescent="0.25">
      <c r="A66">
        <v>65</v>
      </c>
      <c r="B66">
        <v>65</v>
      </c>
      <c r="C66">
        <v>3124327845</v>
      </c>
      <c r="D66" t="s">
        <v>409</v>
      </c>
      <c r="F66" t="s">
        <v>410</v>
      </c>
      <c r="G66" t="s">
        <v>3</v>
      </c>
      <c r="H66" t="str">
        <f>VLOOKUP(tblContactoCliente[[#This Row],[id_cliente]],tblClientes[[#All],[id]:[nombre_contacto]],4,0)</f>
        <v>GLORIA RONDON</v>
      </c>
    </row>
    <row r="67" spans="1:8" x14ac:dyDescent="0.25">
      <c r="A67">
        <v>66</v>
      </c>
      <c r="B67">
        <v>66</v>
      </c>
      <c r="C67">
        <v>3118499452</v>
      </c>
      <c r="D67" t="s">
        <v>412</v>
      </c>
      <c r="F67" t="s">
        <v>413</v>
      </c>
      <c r="G67" t="s">
        <v>3</v>
      </c>
      <c r="H67" t="str">
        <f>VLOOKUP(tblContactoCliente[[#This Row],[id_cliente]],tblClientes[[#All],[id]:[nombre_contacto]],4,0)</f>
        <v>BERTHA  GUERRERO</v>
      </c>
    </row>
    <row r="68" spans="1:8" x14ac:dyDescent="0.25">
      <c r="A68">
        <v>67</v>
      </c>
      <c r="B68">
        <v>67</v>
      </c>
      <c r="C68">
        <v>3108844260</v>
      </c>
      <c r="D68" t="s">
        <v>415</v>
      </c>
      <c r="F68" t="s">
        <v>416</v>
      </c>
      <c r="G68" t="s">
        <v>3</v>
      </c>
      <c r="H68" t="str">
        <f>VLOOKUP(tblContactoCliente[[#This Row],[id_cliente]],tblClientes[[#All],[id]:[nombre_contacto]],4,0)</f>
        <v>BISMARK PARRA LEAL</v>
      </c>
    </row>
    <row r="69" spans="1:8" x14ac:dyDescent="0.25">
      <c r="A69">
        <v>68</v>
      </c>
      <c r="B69">
        <v>68</v>
      </c>
      <c r="C69">
        <v>3212603225</v>
      </c>
      <c r="D69" t="s">
        <v>420</v>
      </c>
      <c r="F69" t="s">
        <v>421</v>
      </c>
      <c r="G69" t="s">
        <v>422</v>
      </c>
      <c r="H69" t="str">
        <f>VLOOKUP(tblContactoCliente[[#This Row],[id_cliente]],tblClientes[[#All],[id]:[nombre_contacto]],4,0)</f>
        <v>BLANCA FRANCO</v>
      </c>
    </row>
    <row r="70" spans="1:8" x14ac:dyDescent="0.25">
      <c r="A70">
        <v>69</v>
      </c>
      <c r="B70">
        <v>69</v>
      </c>
      <c r="C70">
        <v>3136814408</v>
      </c>
      <c r="D70" t="s">
        <v>427</v>
      </c>
      <c r="F70" t="s">
        <v>428</v>
      </c>
      <c r="G70" t="s">
        <v>429</v>
      </c>
      <c r="H70" t="str">
        <f>VLOOKUP(tblContactoCliente[[#This Row],[id_cliente]],tblClientes[[#All],[id]:[nombre_contacto]],4,0)</f>
        <v>BLANCA IDALIA PASTO</v>
      </c>
    </row>
    <row r="71" spans="1:8" x14ac:dyDescent="0.25">
      <c r="A71">
        <v>70</v>
      </c>
      <c r="B71">
        <v>70</v>
      </c>
      <c r="C71">
        <v>3204334241</v>
      </c>
      <c r="D71" t="s">
        <v>431</v>
      </c>
      <c r="F71" t="s">
        <v>274</v>
      </c>
      <c r="G71" t="s">
        <v>3</v>
      </c>
      <c r="H71" t="str">
        <f>VLOOKUP(tblContactoCliente[[#This Row],[id_cliente]],tblClientes[[#All],[id]:[nombre_contacto]],4,0)</f>
        <v>BRENDA CICERI</v>
      </c>
    </row>
    <row r="72" spans="1:8" x14ac:dyDescent="0.25">
      <c r="A72">
        <v>71</v>
      </c>
      <c r="B72">
        <v>71</v>
      </c>
      <c r="C72">
        <v>3209932763</v>
      </c>
      <c r="D72" t="s">
        <v>435</v>
      </c>
      <c r="F72" t="s">
        <v>436</v>
      </c>
      <c r="G72" t="s">
        <v>3</v>
      </c>
      <c r="H72" t="str">
        <f>VLOOKUP(tblContactoCliente[[#This Row],[id_cliente]],tblClientes[[#All],[id]:[nombre_contacto]],4,0)</f>
        <v>CAMILO BOHORQUEZ</v>
      </c>
    </row>
    <row r="73" spans="1:8" x14ac:dyDescent="0.25">
      <c r="A73">
        <v>72</v>
      </c>
      <c r="B73">
        <v>72</v>
      </c>
      <c r="C73">
        <v>3112948660</v>
      </c>
      <c r="D73" t="s">
        <v>439</v>
      </c>
      <c r="F73" t="s">
        <v>187</v>
      </c>
      <c r="G73" t="s">
        <v>3</v>
      </c>
      <c r="H73" t="str">
        <f>VLOOKUP(tblContactoCliente[[#This Row],[id_cliente]],tblClientes[[#All],[id]:[nombre_contacto]],4,0)</f>
        <v>CAMPO ELIAS PERALTA</v>
      </c>
    </row>
    <row r="74" spans="1:8" x14ac:dyDescent="0.25">
      <c r="A74">
        <v>73</v>
      </c>
      <c r="B74">
        <v>73</v>
      </c>
      <c r="C74">
        <v>3208591948</v>
      </c>
      <c r="D74" t="s">
        <v>443</v>
      </c>
      <c r="F74" t="s">
        <v>444</v>
      </c>
      <c r="G74" t="s">
        <v>3</v>
      </c>
      <c r="H74" t="str">
        <f>VLOOKUP(tblContactoCliente[[#This Row],[id_cliente]],tblClientes[[#All],[id]:[nombre_contacto]],4,0)</f>
        <v>CARLOS ARTURO PENAGOS</v>
      </c>
    </row>
    <row r="75" spans="1:8" x14ac:dyDescent="0.25">
      <c r="A75">
        <v>74</v>
      </c>
      <c r="B75">
        <v>74</v>
      </c>
      <c r="C75">
        <v>3144746218</v>
      </c>
      <c r="D75" t="s">
        <v>447</v>
      </c>
      <c r="F75" t="s">
        <v>448</v>
      </c>
      <c r="G75" t="s">
        <v>3</v>
      </c>
      <c r="H75" t="str">
        <f>VLOOKUP(tblContactoCliente[[#This Row],[id_cliente]],tblClientes[[#All],[id]:[nombre_contacto]],4,0)</f>
        <v>CARLOS AUGUSTO ORTEGA MUÑOZ</v>
      </c>
    </row>
    <row r="76" spans="1:8" x14ac:dyDescent="0.25">
      <c r="A76">
        <v>75</v>
      </c>
      <c r="B76">
        <v>75</v>
      </c>
      <c r="C76">
        <v>3153393036</v>
      </c>
      <c r="D76" t="s">
        <v>451</v>
      </c>
      <c r="F76" t="s">
        <v>146</v>
      </c>
      <c r="G76" t="s">
        <v>3</v>
      </c>
      <c r="H76" t="str">
        <f>VLOOKUP(tblContactoCliente[[#This Row],[id_cliente]],tblClientes[[#All],[id]:[nombre_contacto]],4,0)</f>
        <v>CARLOS BARAJAS</v>
      </c>
    </row>
    <row r="77" spans="1:8" x14ac:dyDescent="0.25">
      <c r="A77">
        <v>76</v>
      </c>
      <c r="B77">
        <v>76</v>
      </c>
      <c r="C77">
        <v>3105509941</v>
      </c>
      <c r="D77" t="s">
        <v>455</v>
      </c>
      <c r="F77" t="s">
        <v>456</v>
      </c>
      <c r="G77" t="s">
        <v>3</v>
      </c>
      <c r="H77" t="str">
        <f>VLOOKUP(tblContactoCliente[[#This Row],[id_cliente]],tblClientes[[#All],[id]:[nombre_contacto]],4,0)</f>
        <v>CARLOS BECERRA</v>
      </c>
    </row>
    <row r="78" spans="1:8" x14ac:dyDescent="0.25">
      <c r="A78">
        <v>77</v>
      </c>
      <c r="B78">
        <v>77</v>
      </c>
      <c r="C78">
        <v>3118207645</v>
      </c>
      <c r="D78" t="s">
        <v>459</v>
      </c>
      <c r="F78" t="s">
        <v>187</v>
      </c>
      <c r="G78" t="s">
        <v>3</v>
      </c>
      <c r="H78" t="str">
        <f>VLOOKUP(tblContactoCliente[[#This Row],[id_cliente]],tblClientes[[#All],[id]:[nombre_contacto]],4,0)</f>
        <v>CARLOS CHAPARRO</v>
      </c>
    </row>
    <row r="79" spans="1:8" x14ac:dyDescent="0.25">
      <c r="A79">
        <v>78</v>
      </c>
      <c r="B79">
        <v>78</v>
      </c>
      <c r="C79">
        <v>3118330195</v>
      </c>
      <c r="D79" t="s">
        <v>462</v>
      </c>
      <c r="F79" t="s">
        <v>463</v>
      </c>
      <c r="G79" t="s">
        <v>3</v>
      </c>
      <c r="H79" t="str">
        <f>VLOOKUP(tblContactoCliente[[#This Row],[id_cliente]],tblClientes[[#All],[id]:[nombre_contacto]],4,0)</f>
        <v>CARLOS CRISTANCHO</v>
      </c>
    </row>
    <row r="80" spans="1:8" x14ac:dyDescent="0.25">
      <c r="A80">
        <v>79</v>
      </c>
      <c r="B80">
        <v>79</v>
      </c>
      <c r="C80">
        <v>3202898227</v>
      </c>
      <c r="D80" t="s">
        <v>466</v>
      </c>
      <c r="F80" t="s">
        <v>217</v>
      </c>
      <c r="G80" t="s">
        <v>467</v>
      </c>
      <c r="H80" t="str">
        <f>VLOOKUP(tblContactoCliente[[#This Row],[id_cliente]],tblClientes[[#All],[id]:[nombre_contacto]],4,0)</f>
        <v>CARLOS GOMEZ PELETERIA</v>
      </c>
    </row>
    <row r="81" spans="1:8" x14ac:dyDescent="0.25">
      <c r="A81">
        <v>80</v>
      </c>
      <c r="B81">
        <v>80</v>
      </c>
      <c r="C81">
        <v>7023178</v>
      </c>
      <c r="D81" t="s">
        <v>471</v>
      </c>
      <c r="F81" t="s">
        <v>472</v>
      </c>
      <c r="G81" t="s">
        <v>3</v>
      </c>
      <c r="H81" t="str">
        <f>VLOOKUP(tblContactoCliente[[#This Row],[id_cliente]],tblClientes[[#All],[id]:[nombre_contacto]],4,0)</f>
        <v>CARLOS HALSTUCH</v>
      </c>
    </row>
    <row r="82" spans="1:8" x14ac:dyDescent="0.25">
      <c r="A82">
        <v>81</v>
      </c>
      <c r="B82">
        <v>81</v>
      </c>
      <c r="C82">
        <v>3153393036</v>
      </c>
      <c r="D82" t="s">
        <v>476</v>
      </c>
      <c r="F82" t="s">
        <v>146</v>
      </c>
      <c r="G82" t="s">
        <v>3</v>
      </c>
      <c r="H82" t="str">
        <f>VLOOKUP(tblContactoCliente[[#This Row],[id_cliente]],tblClientes[[#All],[id]:[nombre_contacto]],4,0)</f>
        <v>CARLOS IVAN BARAJAS HERNANDEZ</v>
      </c>
    </row>
    <row r="83" spans="1:8" x14ac:dyDescent="0.25">
      <c r="A83">
        <v>82</v>
      </c>
      <c r="B83">
        <v>82</v>
      </c>
      <c r="C83">
        <v>3156948591</v>
      </c>
      <c r="D83" t="s">
        <v>478</v>
      </c>
      <c r="F83" t="s">
        <v>479</v>
      </c>
      <c r="G83" t="s">
        <v>3</v>
      </c>
      <c r="H83" t="str">
        <f>VLOOKUP(tblContactoCliente[[#This Row],[id_cliente]],tblClientes[[#All],[id]:[nombre_contacto]],4,0)</f>
        <v>CARLOS LAGOS</v>
      </c>
    </row>
    <row r="84" spans="1:8" x14ac:dyDescent="0.25">
      <c r="A84">
        <v>83</v>
      </c>
      <c r="B84">
        <v>83</v>
      </c>
      <c r="C84">
        <v>3012476174</v>
      </c>
      <c r="D84" t="s">
        <v>481</v>
      </c>
      <c r="F84" t="s">
        <v>482</v>
      </c>
      <c r="G84" t="s">
        <v>3</v>
      </c>
      <c r="H84" t="str">
        <f>VLOOKUP(tblContactoCliente[[#This Row],[id_cliente]],tblClientes[[#All],[id]:[nombre_contacto]],4,0)</f>
        <v>CARLOS LOPEZ</v>
      </c>
    </row>
    <row r="85" spans="1:8" x14ac:dyDescent="0.25">
      <c r="A85">
        <v>84</v>
      </c>
      <c r="B85">
        <v>84</v>
      </c>
      <c r="C85">
        <v>3133064576</v>
      </c>
      <c r="D85" t="s">
        <v>484</v>
      </c>
      <c r="F85" t="s">
        <v>485</v>
      </c>
      <c r="G85" t="s">
        <v>3</v>
      </c>
      <c r="H85" t="str">
        <f>VLOOKUP(tblContactoCliente[[#This Row],[id_cliente]],tblClientes[[#All],[id]:[nombre_contacto]],4,0)</f>
        <v>CARLOS MATEUS</v>
      </c>
    </row>
    <row r="86" spans="1:8" x14ac:dyDescent="0.25">
      <c r="A86">
        <v>85</v>
      </c>
      <c r="B86">
        <v>85</v>
      </c>
      <c r="C86">
        <v>3123944473</v>
      </c>
      <c r="D86" t="s">
        <v>487</v>
      </c>
      <c r="F86" t="s">
        <v>187</v>
      </c>
      <c r="G86" t="s">
        <v>3</v>
      </c>
      <c r="H86" t="str">
        <f>VLOOKUP(tblContactoCliente[[#This Row],[id_cliente]],tblClientes[[#All],[id]:[nombre_contacto]],4,0)</f>
        <v>CARLOS OCAMPO</v>
      </c>
    </row>
    <row r="87" spans="1:8" x14ac:dyDescent="0.25">
      <c r="A87">
        <v>86</v>
      </c>
      <c r="B87">
        <v>86</v>
      </c>
      <c r="C87">
        <v>3118566059</v>
      </c>
      <c r="D87" t="s">
        <v>490</v>
      </c>
      <c r="F87" t="s">
        <v>491</v>
      </c>
      <c r="G87" t="s">
        <v>3</v>
      </c>
      <c r="H87" t="str">
        <f>VLOOKUP(tblContactoCliente[[#This Row],[id_cliente]],tblClientes[[#All],[id]:[nombre_contacto]],4,0)</f>
        <v>CARLOS ORDOÑEZ</v>
      </c>
    </row>
    <row r="88" spans="1:8" x14ac:dyDescent="0.25">
      <c r="A88">
        <v>87</v>
      </c>
      <c r="B88">
        <v>87</v>
      </c>
      <c r="C88">
        <v>3142615407</v>
      </c>
      <c r="D88" t="s">
        <v>495</v>
      </c>
      <c r="F88" t="s">
        <v>496</v>
      </c>
      <c r="G88" t="s">
        <v>467</v>
      </c>
      <c r="H88" t="str">
        <f>VLOOKUP(tblContactoCliente[[#This Row],[id_cliente]],tblClientes[[#All],[id]:[nombre_contacto]],4,0)</f>
        <v>CARLOS RODRIGUEZ</v>
      </c>
    </row>
    <row r="89" spans="1:8" x14ac:dyDescent="0.25">
      <c r="A89">
        <v>88</v>
      </c>
      <c r="B89">
        <v>88</v>
      </c>
      <c r="C89">
        <v>3202876425</v>
      </c>
      <c r="D89" t="s">
        <v>500</v>
      </c>
      <c r="F89" t="s">
        <v>501</v>
      </c>
      <c r="G89" t="s">
        <v>3</v>
      </c>
      <c r="H89" t="str">
        <f>VLOOKUP(tblContactoCliente[[#This Row],[id_cliente]],tblClientes[[#All],[id]:[nombre_contacto]],4,0)</f>
        <v>CARLOS WILCHES</v>
      </c>
    </row>
    <row r="90" spans="1:8" x14ac:dyDescent="0.25">
      <c r="A90">
        <v>89</v>
      </c>
      <c r="B90">
        <v>89</v>
      </c>
      <c r="C90">
        <v>3108898163</v>
      </c>
      <c r="D90" t="s">
        <v>504</v>
      </c>
      <c r="F90" t="s">
        <v>505</v>
      </c>
      <c r="G90" t="s">
        <v>3</v>
      </c>
      <c r="H90" t="str">
        <f>VLOOKUP(tblContactoCliente[[#This Row],[id_cliente]],tblClientes[[#All],[id]:[nombre_contacto]],4,0)</f>
        <v>CARMEN SANDOVAL</v>
      </c>
    </row>
    <row r="91" spans="1:8" x14ac:dyDescent="0.25">
      <c r="A91">
        <v>90</v>
      </c>
      <c r="B91">
        <v>90</v>
      </c>
      <c r="C91">
        <v>3016478180</v>
      </c>
      <c r="D91" t="s">
        <v>507</v>
      </c>
      <c r="F91" t="s">
        <v>274</v>
      </c>
      <c r="G91" t="s">
        <v>3</v>
      </c>
      <c r="H91" t="str">
        <f>VLOOKUP(tblContactoCliente[[#This Row],[id_cliente]],tblClientes[[#All],[id]:[nombre_contacto]],4,0)</f>
        <v>CARMENZA CERON</v>
      </c>
    </row>
    <row r="92" spans="1:8" x14ac:dyDescent="0.25">
      <c r="A92">
        <v>91</v>
      </c>
      <c r="B92">
        <v>91</v>
      </c>
      <c r="C92">
        <v>3123847103</v>
      </c>
      <c r="D92" t="s">
        <v>509</v>
      </c>
      <c r="F92" t="s">
        <v>510</v>
      </c>
      <c r="G92" t="s">
        <v>3</v>
      </c>
      <c r="H92" t="str">
        <f>VLOOKUP(tblContactoCliente[[#This Row],[id_cliente]],tblClientes[[#All],[id]:[nombre_contacto]],4,0)</f>
        <v>CELINA CASTRO</v>
      </c>
    </row>
    <row r="93" spans="1:8" x14ac:dyDescent="0.25">
      <c r="A93">
        <v>92</v>
      </c>
      <c r="B93">
        <v>92</v>
      </c>
      <c r="C93" s="15">
        <v>3118394601</v>
      </c>
      <c r="D93" t="s">
        <v>512</v>
      </c>
      <c r="F93" t="s">
        <v>513</v>
      </c>
      <c r="G93" t="s">
        <v>3</v>
      </c>
      <c r="H93" t="str">
        <f>VLOOKUP(tblContactoCliente[[#This Row],[id_cliente]],tblClientes[[#All],[id]:[nombre_contacto]],4,0)</f>
        <v>CESAR GOMEZ</v>
      </c>
    </row>
    <row r="94" spans="1:8" x14ac:dyDescent="0.25">
      <c r="A94">
        <v>93</v>
      </c>
      <c r="B94">
        <v>93</v>
      </c>
      <c r="C94" s="15">
        <v>3003444358</v>
      </c>
      <c r="D94" t="s">
        <v>517</v>
      </c>
      <c r="F94" t="s">
        <v>518</v>
      </c>
      <c r="G94" t="s">
        <v>16</v>
      </c>
      <c r="H94" t="str">
        <f>VLOOKUP(tblContactoCliente[[#This Row],[id_cliente]],tblClientes[[#All],[id]:[nombre_contacto]],4,0)</f>
        <v>CESAR MAURICIO MEJIA</v>
      </c>
    </row>
    <row r="95" spans="1:8" x14ac:dyDescent="0.25">
      <c r="A95">
        <v>94</v>
      </c>
      <c r="B95">
        <v>94</v>
      </c>
      <c r="C95">
        <v>3127897433</v>
      </c>
      <c r="D95" t="s">
        <v>521</v>
      </c>
      <c r="F95" t="s">
        <v>522</v>
      </c>
      <c r="G95" t="s">
        <v>7</v>
      </c>
      <c r="H95" t="str">
        <f>VLOOKUP(tblContactoCliente[[#This Row],[id_cliente]],tblClientes[[#All],[id]:[nombre_contacto]],4,0)</f>
        <v>CESAR SANCHEZ</v>
      </c>
    </row>
    <row r="96" spans="1:8" x14ac:dyDescent="0.25">
      <c r="A96">
        <v>95</v>
      </c>
      <c r="B96">
        <v>95</v>
      </c>
      <c r="C96" s="15">
        <v>3143021002</v>
      </c>
      <c r="D96" t="s">
        <v>526</v>
      </c>
      <c r="F96" t="s">
        <v>527</v>
      </c>
      <c r="G96" t="s">
        <v>3</v>
      </c>
      <c r="H96" t="str">
        <f>VLOOKUP(tblContactoCliente[[#This Row],[id_cliente]],tblClientes[[#All],[id]:[nombre_contacto]],4,0)</f>
        <v>CIRO GOMEZ</v>
      </c>
    </row>
    <row r="97" spans="1:8" x14ac:dyDescent="0.25">
      <c r="A97">
        <v>96</v>
      </c>
      <c r="B97">
        <v>96</v>
      </c>
      <c r="C97">
        <v>3162242504</v>
      </c>
      <c r="D97" t="s">
        <v>187</v>
      </c>
      <c r="F97" t="s">
        <v>187</v>
      </c>
      <c r="G97" t="s">
        <v>3</v>
      </c>
      <c r="H97" t="str">
        <f>VLOOKUP(tblContactoCliente[[#This Row],[id_cliente]],tblClientes[[#All],[id]:[nombre_contacto]],4,0)</f>
        <v>CLARA AURORA CELIS</v>
      </c>
    </row>
    <row r="98" spans="1:8" x14ac:dyDescent="0.25">
      <c r="A98">
        <v>97</v>
      </c>
      <c r="B98">
        <v>97</v>
      </c>
      <c r="C98">
        <v>3162831886</v>
      </c>
      <c r="D98" t="s">
        <v>531</v>
      </c>
      <c r="F98" t="s">
        <v>284</v>
      </c>
      <c r="G98" t="s">
        <v>3</v>
      </c>
      <c r="H98" t="str">
        <f>VLOOKUP(tblContactoCliente[[#This Row],[id_cliente]],tblClientes[[#All],[id]:[nombre_contacto]],4,0)</f>
        <v>CLAUDIA GALLO</v>
      </c>
    </row>
    <row r="99" spans="1:8" x14ac:dyDescent="0.25">
      <c r="A99">
        <v>98</v>
      </c>
      <c r="B99">
        <v>98</v>
      </c>
      <c r="C99" s="15">
        <v>3209025303</v>
      </c>
      <c r="D99" t="s">
        <v>534</v>
      </c>
      <c r="F99" t="s">
        <v>187</v>
      </c>
      <c r="G99" t="s">
        <v>3</v>
      </c>
      <c r="H99" t="str">
        <f>VLOOKUP(tblContactoCliente[[#This Row],[id_cliente]],tblClientes[[#All],[id]:[nombre_contacto]],4,0)</f>
        <v>CLAUDIA ROMERO</v>
      </c>
    </row>
    <row r="100" spans="1:8" x14ac:dyDescent="0.25">
      <c r="A100">
        <v>99</v>
      </c>
      <c r="B100">
        <v>99</v>
      </c>
      <c r="C100">
        <v>3155954165</v>
      </c>
      <c r="D100" t="s">
        <v>538</v>
      </c>
      <c r="F100" t="s">
        <v>539</v>
      </c>
      <c r="G100" t="s">
        <v>3</v>
      </c>
      <c r="H100" t="str">
        <f>VLOOKUP(tblContactoCliente[[#This Row],[id_cliente]],tblClientes[[#All],[id]:[nombre_contacto]],4,0)</f>
        <v>CRISTHIAN CAMILO MEDINA</v>
      </c>
    </row>
    <row r="101" spans="1:8" x14ac:dyDescent="0.25">
      <c r="A101">
        <v>100</v>
      </c>
      <c r="B101">
        <v>100</v>
      </c>
      <c r="C101">
        <v>3202044485</v>
      </c>
      <c r="D101" t="s">
        <v>543</v>
      </c>
      <c r="F101" t="s">
        <v>544</v>
      </c>
      <c r="G101" t="s">
        <v>3</v>
      </c>
      <c r="H101" t="str">
        <f>VLOOKUP(tblContactoCliente[[#This Row],[id_cliente]],tblClientes[[#All],[id]:[nombre_contacto]],4,0)</f>
        <v>CRISTIAN ESPITIA</v>
      </c>
    </row>
    <row r="102" spans="1:8" x14ac:dyDescent="0.25">
      <c r="A102">
        <v>101</v>
      </c>
      <c r="B102">
        <v>101</v>
      </c>
      <c r="C102">
        <v>3002420711</v>
      </c>
      <c r="D102" t="s">
        <v>548</v>
      </c>
      <c r="F102" t="s">
        <v>549</v>
      </c>
      <c r="G102" t="s">
        <v>3</v>
      </c>
      <c r="H102" t="str">
        <f>VLOOKUP(tblContactoCliente[[#This Row],[id_cliente]],tblClientes[[#All],[id]:[nombre_contacto]],4,0)</f>
        <v>CRISTIAN FERREIRA</v>
      </c>
    </row>
    <row r="103" spans="1:8" x14ac:dyDescent="0.25">
      <c r="A103">
        <v>102</v>
      </c>
      <c r="B103">
        <v>102</v>
      </c>
      <c r="C103">
        <v>3164068140</v>
      </c>
      <c r="D103" t="s">
        <v>552</v>
      </c>
      <c r="F103" t="s">
        <v>553</v>
      </c>
      <c r="G103" t="s">
        <v>3</v>
      </c>
      <c r="H103" t="str">
        <f>VLOOKUP(tblContactoCliente[[#This Row],[id_cliente]],tblClientes[[#All],[id]:[nombre_contacto]],4,0)</f>
        <v>CRISTIAN GARAVITO</v>
      </c>
    </row>
    <row r="104" spans="1:8" x14ac:dyDescent="0.25">
      <c r="A104">
        <v>103</v>
      </c>
      <c r="B104">
        <v>103</v>
      </c>
      <c r="C104">
        <v>3117649624</v>
      </c>
      <c r="D104" t="s">
        <v>557</v>
      </c>
      <c r="F104" t="s">
        <v>7</v>
      </c>
      <c r="G104" t="s">
        <v>7</v>
      </c>
      <c r="H104" t="str">
        <f>VLOOKUP(tblContactoCliente[[#This Row],[id_cliente]],tblClientes[[#All],[id]:[nombre_contacto]],4,0)</f>
        <v>CRISTIAN SOLARTE</v>
      </c>
    </row>
    <row r="105" spans="1:8" x14ac:dyDescent="0.25">
      <c r="A105">
        <v>104</v>
      </c>
      <c r="B105">
        <v>104</v>
      </c>
      <c r="C105">
        <v>3133927327</v>
      </c>
      <c r="D105" t="s">
        <v>560</v>
      </c>
      <c r="F105" t="s">
        <v>561</v>
      </c>
      <c r="G105" t="s">
        <v>3</v>
      </c>
      <c r="H105" t="str">
        <f>VLOOKUP(tblContactoCliente[[#This Row],[id_cliente]],tblClientes[[#All],[id]:[nombre_contacto]],4,0)</f>
        <v>CRISTOBAL BUSTOS</v>
      </c>
    </row>
    <row r="106" spans="1:8" x14ac:dyDescent="0.25">
      <c r="A106">
        <v>105</v>
      </c>
      <c r="B106">
        <v>105</v>
      </c>
      <c r="C106">
        <v>3115508516</v>
      </c>
      <c r="D106" t="s">
        <v>564</v>
      </c>
      <c r="F106" t="s">
        <v>565</v>
      </c>
      <c r="G106" t="s">
        <v>3</v>
      </c>
      <c r="H106" t="str">
        <f>VLOOKUP(tblContactoCliente[[#This Row],[id_cliente]],tblClientes[[#All],[id]:[nombre_contacto]],4,0)</f>
        <v>DAGOBERTO CADENA</v>
      </c>
    </row>
    <row r="107" spans="1:8" x14ac:dyDescent="0.25">
      <c r="A107">
        <v>106</v>
      </c>
      <c r="B107">
        <v>106</v>
      </c>
      <c r="C107">
        <v>3157316015</v>
      </c>
      <c r="D107" t="s">
        <v>570</v>
      </c>
      <c r="F107" t="s">
        <v>217</v>
      </c>
      <c r="G107" t="s">
        <v>16</v>
      </c>
      <c r="H107" t="str">
        <f>VLOOKUP(tblContactoCliente[[#This Row],[id_cliente]],tblClientes[[#All],[id]:[nombre_contacto]],4,0)</f>
        <v>DAHIAN BERRIO</v>
      </c>
    </row>
    <row r="108" spans="1:8" x14ac:dyDescent="0.25">
      <c r="A108">
        <v>107</v>
      </c>
      <c r="B108">
        <v>107</v>
      </c>
      <c r="C108">
        <v>3192478082</v>
      </c>
      <c r="D108" t="s">
        <v>573</v>
      </c>
      <c r="F108" t="s">
        <v>574</v>
      </c>
      <c r="G108" t="s">
        <v>3</v>
      </c>
      <c r="H108" t="str">
        <f>VLOOKUP(tblContactoCliente[[#This Row],[id_cliente]],tblClientes[[#All],[id]:[nombre_contacto]],4,0)</f>
        <v>DAMARIS ANGEL MASIAS</v>
      </c>
    </row>
    <row r="109" spans="1:8" x14ac:dyDescent="0.25">
      <c r="A109">
        <v>108</v>
      </c>
      <c r="B109">
        <v>108</v>
      </c>
      <c r="C109">
        <v>3125751307</v>
      </c>
      <c r="D109" t="s">
        <v>578</v>
      </c>
      <c r="F109" t="s">
        <v>579</v>
      </c>
      <c r="G109" t="s">
        <v>467</v>
      </c>
      <c r="H109" t="str">
        <f>VLOOKUP(tblContactoCliente[[#This Row],[id_cliente]],tblClientes[[#All],[id]:[nombre_contacto]],4,0)</f>
        <v>DANIEL LAISECA PAYAN</v>
      </c>
    </row>
    <row r="110" spans="1:8" x14ac:dyDescent="0.25">
      <c r="A110">
        <v>109</v>
      </c>
      <c r="B110">
        <v>109</v>
      </c>
      <c r="C110">
        <v>3165363651</v>
      </c>
      <c r="D110" t="s">
        <v>583</v>
      </c>
      <c r="F110" t="s">
        <v>584</v>
      </c>
      <c r="G110" t="s">
        <v>585</v>
      </c>
      <c r="H110" t="str">
        <f>VLOOKUP(tblContactoCliente[[#This Row],[id_cliente]],tblClientes[[#All],[id]:[nombre_contacto]],4,0)</f>
        <v>DANILO ANDRES ZAMBRANO</v>
      </c>
    </row>
    <row r="111" spans="1:8" x14ac:dyDescent="0.25">
      <c r="A111">
        <v>110</v>
      </c>
      <c r="B111">
        <v>110</v>
      </c>
      <c r="C111">
        <v>3105617535</v>
      </c>
      <c r="D111" t="s">
        <v>590</v>
      </c>
      <c r="F111" t="s">
        <v>467</v>
      </c>
      <c r="G111" t="s">
        <v>467</v>
      </c>
      <c r="H111" t="str">
        <f>VLOOKUP(tblContactoCliente[[#This Row],[id_cliente]],tblClientes[[#All],[id]:[nombre_contacto]],4,0)</f>
        <v>DANILO AREVALO MORA</v>
      </c>
    </row>
    <row r="112" spans="1:8" x14ac:dyDescent="0.25">
      <c r="A112">
        <v>111</v>
      </c>
      <c r="B112">
        <v>111</v>
      </c>
      <c r="C112" s="15">
        <v>3118318157</v>
      </c>
      <c r="D112" t="s">
        <v>594</v>
      </c>
      <c r="F112" t="s">
        <v>595</v>
      </c>
      <c r="G112" t="s">
        <v>3</v>
      </c>
      <c r="H112" t="str">
        <f>VLOOKUP(tblContactoCliente[[#This Row],[id_cliente]],tblClientes[[#All],[id]:[nombre_contacto]],4,0)</f>
        <v>DANY HORMAZA</v>
      </c>
    </row>
    <row r="113" spans="1:8" x14ac:dyDescent="0.25">
      <c r="A113">
        <v>112</v>
      </c>
      <c r="B113">
        <v>112</v>
      </c>
      <c r="C113" s="15">
        <v>3174294040</v>
      </c>
      <c r="D113" t="s">
        <v>597</v>
      </c>
      <c r="F113" t="s">
        <v>598</v>
      </c>
      <c r="G113" t="s">
        <v>3</v>
      </c>
      <c r="H113" t="str">
        <f>VLOOKUP(tblContactoCliente[[#This Row],[id_cliente]],tblClientes[[#All],[id]:[nombre_contacto]],4,0)</f>
        <v>ARLEY RODRIGUEZ</v>
      </c>
    </row>
    <row r="114" spans="1:8" x14ac:dyDescent="0.25">
      <c r="A114">
        <v>113</v>
      </c>
      <c r="B114">
        <v>113</v>
      </c>
      <c r="C114">
        <v>3053465455</v>
      </c>
      <c r="D114" t="s">
        <v>601</v>
      </c>
      <c r="F114" t="s">
        <v>602</v>
      </c>
      <c r="G114" t="s">
        <v>467</v>
      </c>
      <c r="H114" t="str">
        <f>VLOOKUP(tblContactoCliente[[#This Row],[id_cliente]],tblClientes[[#All],[id]:[nombre_contacto]],4,0)</f>
        <v>DAVID LAISECA PAYAN</v>
      </c>
    </row>
    <row r="115" spans="1:8" x14ac:dyDescent="0.25">
      <c r="A115">
        <v>114</v>
      </c>
      <c r="B115">
        <v>114</v>
      </c>
      <c r="C115">
        <v>3133229773</v>
      </c>
      <c r="D115" t="s">
        <v>606</v>
      </c>
      <c r="F115" t="s">
        <v>607</v>
      </c>
      <c r="G115" t="s">
        <v>3</v>
      </c>
      <c r="H115" t="str">
        <f>VLOOKUP(tblContactoCliente[[#This Row],[id_cliente]],tblClientes[[#All],[id]:[nombre_contacto]],4,0)</f>
        <v>DAYRO HECTOR ROJAS</v>
      </c>
    </row>
    <row r="116" spans="1:8" x14ac:dyDescent="0.25">
      <c r="A116">
        <v>115</v>
      </c>
      <c r="B116">
        <v>115</v>
      </c>
      <c r="C116">
        <v>3004135200</v>
      </c>
      <c r="D116" t="s">
        <v>610</v>
      </c>
      <c r="F116" t="s">
        <v>611</v>
      </c>
      <c r="G116" t="s">
        <v>612</v>
      </c>
      <c r="H116" t="str">
        <f>VLOOKUP(tblContactoCliente[[#This Row],[id_cliente]],tblClientes[[#All],[id]:[nombre_contacto]],4,0)</f>
        <v>DEYBIS JAVIER URREGO TAPIAS</v>
      </c>
    </row>
    <row r="117" spans="1:8" x14ac:dyDescent="0.25">
      <c r="A117">
        <v>116</v>
      </c>
      <c r="B117">
        <v>116</v>
      </c>
      <c r="C117">
        <v>3723252</v>
      </c>
      <c r="D117" t="s">
        <v>616</v>
      </c>
      <c r="F117" t="s">
        <v>187</v>
      </c>
      <c r="G117" t="s">
        <v>3</v>
      </c>
      <c r="H117" t="str">
        <f>VLOOKUP(tblContactoCliente[[#This Row],[id_cliente]],tblClientes[[#All],[id]:[nombre_contacto]],4,0)</f>
        <v>DIANA BARRAGAN</v>
      </c>
    </row>
    <row r="118" spans="1:8" x14ac:dyDescent="0.25">
      <c r="A118">
        <v>117</v>
      </c>
      <c r="B118">
        <v>117</v>
      </c>
      <c r="C118">
        <v>3209486514</v>
      </c>
      <c r="D118" t="s">
        <v>621</v>
      </c>
      <c r="F118" t="s">
        <v>146</v>
      </c>
      <c r="G118" t="s">
        <v>3</v>
      </c>
      <c r="H118" t="str">
        <f>VLOOKUP(tblContactoCliente[[#This Row],[id_cliente]],tblClientes[[#All],[id]:[nombre_contacto]],4,0)</f>
        <v>DIANA KATHERINE QUEVEDO</v>
      </c>
    </row>
    <row r="119" spans="1:8" x14ac:dyDescent="0.25">
      <c r="A119">
        <v>118</v>
      </c>
      <c r="B119">
        <v>118</v>
      </c>
      <c r="C119">
        <v>3112691362</v>
      </c>
      <c r="D119" t="s">
        <v>624</v>
      </c>
      <c r="F119" t="s">
        <v>334</v>
      </c>
      <c r="G119" t="s">
        <v>3</v>
      </c>
      <c r="H119" t="str">
        <f>VLOOKUP(tblContactoCliente[[#This Row],[id_cliente]],tblClientes[[#All],[id]:[nombre_contacto]],4,0)</f>
        <v>DIANA PÁRRA</v>
      </c>
    </row>
    <row r="120" spans="1:8" x14ac:dyDescent="0.25">
      <c r="A120">
        <v>119</v>
      </c>
      <c r="B120">
        <v>119</v>
      </c>
      <c r="C120">
        <v>3125044425</v>
      </c>
      <c r="D120" t="s">
        <v>627</v>
      </c>
      <c r="F120" t="s">
        <v>628</v>
      </c>
      <c r="G120" t="s">
        <v>3</v>
      </c>
      <c r="H120" t="str">
        <f>VLOOKUP(tblContactoCliente[[#This Row],[id_cliente]],tblClientes[[#All],[id]:[nombre_contacto]],4,0)</f>
        <v>DIANA VARGAS</v>
      </c>
    </row>
    <row r="121" spans="1:8" x14ac:dyDescent="0.25">
      <c r="A121">
        <v>120</v>
      </c>
      <c r="B121">
        <v>120</v>
      </c>
      <c r="C121" s="15">
        <v>3144921713</v>
      </c>
      <c r="D121" t="s">
        <v>632</v>
      </c>
      <c r="F121" t="s">
        <v>633</v>
      </c>
      <c r="G121" t="s">
        <v>3</v>
      </c>
      <c r="H121" t="str">
        <f>VLOOKUP(tblContactoCliente[[#This Row],[id_cliente]],tblClientes[[#All],[id]:[nombre_contacto]],4,0)</f>
        <v xml:space="preserve"> </v>
      </c>
    </row>
    <row r="122" spans="1:8" x14ac:dyDescent="0.25">
      <c r="A122">
        <v>121</v>
      </c>
      <c r="B122">
        <v>121</v>
      </c>
      <c r="C122">
        <v>3142218214</v>
      </c>
      <c r="D122" t="s">
        <v>637</v>
      </c>
      <c r="F122" t="s">
        <v>638</v>
      </c>
      <c r="G122" t="s">
        <v>3</v>
      </c>
      <c r="H122" t="str">
        <f>VLOOKUP(tblContactoCliente[[#This Row],[id_cliente]],tblClientes[[#All],[id]:[nombre_contacto]],4,0)</f>
        <v>DIANA ZAMBAK</v>
      </c>
    </row>
    <row r="123" spans="1:8" x14ac:dyDescent="0.25">
      <c r="A123">
        <v>122</v>
      </c>
      <c r="B123">
        <v>122</v>
      </c>
      <c r="C123" s="15">
        <v>3214653674</v>
      </c>
      <c r="D123" t="s">
        <v>642</v>
      </c>
      <c r="F123" t="s">
        <v>274</v>
      </c>
      <c r="G123" t="s">
        <v>3</v>
      </c>
      <c r="H123" t="str">
        <f>VLOOKUP(tblContactoCliente[[#This Row],[id_cliente]],tblClientes[[#All],[id]:[nombre_contacto]],4,0)</f>
        <v>DIEGO ALEJANDRO LOPEZ</v>
      </c>
    </row>
    <row r="124" spans="1:8" x14ac:dyDescent="0.25">
      <c r="A124">
        <v>123</v>
      </c>
      <c r="B124">
        <v>123</v>
      </c>
      <c r="C124">
        <v>3112169329</v>
      </c>
      <c r="D124" t="s">
        <v>646</v>
      </c>
      <c r="F124" t="s">
        <v>324</v>
      </c>
      <c r="G124" t="s">
        <v>3</v>
      </c>
      <c r="H124" t="str">
        <f>VLOOKUP(tblContactoCliente[[#This Row],[id_cliente]],tblClientes[[#All],[id]:[nombre_contacto]],4,0)</f>
        <v>DIEGO CATAÑO</v>
      </c>
    </row>
    <row r="125" spans="1:8" x14ac:dyDescent="0.25">
      <c r="A125">
        <v>124</v>
      </c>
      <c r="B125">
        <v>124</v>
      </c>
      <c r="C125">
        <v>3158318614</v>
      </c>
      <c r="D125" t="s">
        <v>650</v>
      </c>
      <c r="F125" t="s">
        <v>651</v>
      </c>
      <c r="G125" t="s">
        <v>3</v>
      </c>
      <c r="H125" t="str">
        <f>VLOOKUP(tblContactoCliente[[#This Row],[id_cliente]],tblClientes[[#All],[id]:[nombre_contacto]],4,0)</f>
        <v>DIEGO CORTEZ</v>
      </c>
    </row>
    <row r="126" spans="1:8" x14ac:dyDescent="0.25">
      <c r="A126">
        <v>125</v>
      </c>
      <c r="B126">
        <v>125</v>
      </c>
      <c r="C126">
        <v>3106138660</v>
      </c>
      <c r="D126" t="s">
        <v>656</v>
      </c>
      <c r="F126" t="s">
        <v>187</v>
      </c>
      <c r="G126" t="s">
        <v>3</v>
      </c>
      <c r="H126" t="str">
        <f>VLOOKUP(tblContactoCliente[[#This Row],[id_cliente]],tblClientes[[#All],[id]:[nombre_contacto]],4,0)</f>
        <v>DIEGO FERNANDO FLOREZ CUESTAS</v>
      </c>
    </row>
    <row r="127" spans="1:8" x14ac:dyDescent="0.25">
      <c r="A127">
        <v>126</v>
      </c>
      <c r="B127">
        <v>126</v>
      </c>
      <c r="C127">
        <v>3178949845</v>
      </c>
      <c r="D127" t="s">
        <v>660</v>
      </c>
      <c r="F127" t="s">
        <v>661</v>
      </c>
      <c r="G127" t="s">
        <v>3</v>
      </c>
      <c r="H127" t="str">
        <f>VLOOKUP(tblContactoCliente[[#This Row],[id_cliente]],tblClientes[[#All],[id]:[nombre_contacto]],4,0)</f>
        <v>DIEGO GOMEZ</v>
      </c>
    </row>
    <row r="128" spans="1:8" x14ac:dyDescent="0.25">
      <c r="A128">
        <v>127</v>
      </c>
      <c r="B128">
        <v>127</v>
      </c>
      <c r="C128">
        <v>3102912269</v>
      </c>
      <c r="D128" t="s">
        <v>666</v>
      </c>
      <c r="F128" t="s">
        <v>667</v>
      </c>
      <c r="G128" t="s">
        <v>668</v>
      </c>
      <c r="H128" t="str">
        <f>VLOOKUP(tblContactoCliente[[#This Row],[id_cliente]],tblClientes[[#All],[id]:[nombre_contacto]],4,0)</f>
        <v>DIEGO IMBACHI</v>
      </c>
    </row>
    <row r="129" spans="1:8" x14ac:dyDescent="0.25">
      <c r="A129">
        <v>128</v>
      </c>
      <c r="B129">
        <v>128</v>
      </c>
      <c r="C129">
        <v>3174428043</v>
      </c>
      <c r="D129" t="s">
        <v>670</v>
      </c>
      <c r="F129" t="s">
        <v>671</v>
      </c>
      <c r="G129" t="s">
        <v>3</v>
      </c>
      <c r="H129" t="str">
        <f>VLOOKUP(tblContactoCliente[[#This Row],[id_cliente]],tblClientes[[#All],[id]:[nombre_contacto]],4,0)</f>
        <v>DIEGO LOZANO</v>
      </c>
    </row>
    <row r="130" spans="1:8" x14ac:dyDescent="0.25">
      <c r="A130">
        <v>129</v>
      </c>
      <c r="B130">
        <v>129</v>
      </c>
      <c r="C130">
        <v>3128954468</v>
      </c>
      <c r="D130" t="s">
        <v>675</v>
      </c>
      <c r="F130" t="s">
        <v>676</v>
      </c>
      <c r="G130" t="s">
        <v>16</v>
      </c>
      <c r="H130" t="str">
        <f>VLOOKUP(tblContactoCliente[[#This Row],[id_cliente]],tblClientes[[#All],[id]:[nombre_contacto]],4,0)</f>
        <v>DIEGO POSADA</v>
      </c>
    </row>
    <row r="131" spans="1:8" x14ac:dyDescent="0.25">
      <c r="A131">
        <v>130</v>
      </c>
      <c r="B131">
        <v>130</v>
      </c>
      <c r="C131">
        <v>3105686182</v>
      </c>
      <c r="D131" t="s">
        <v>680</v>
      </c>
      <c r="F131" t="s">
        <v>253</v>
      </c>
      <c r="G131" t="s">
        <v>3</v>
      </c>
      <c r="H131" t="str">
        <f>VLOOKUP(tblContactoCliente[[#This Row],[id_cliente]],tblClientes[[#All],[id]:[nombre_contacto]],4,0)</f>
        <v>DORA ALBA</v>
      </c>
    </row>
    <row r="132" spans="1:8" x14ac:dyDescent="0.25">
      <c r="A132">
        <v>131</v>
      </c>
      <c r="B132">
        <v>131</v>
      </c>
      <c r="C132">
        <v>3007589872</v>
      </c>
      <c r="D132" t="s">
        <v>685</v>
      </c>
      <c r="F132" t="s">
        <v>544</v>
      </c>
      <c r="G132" t="s">
        <v>3</v>
      </c>
      <c r="H132" t="str">
        <f>VLOOKUP(tblContactoCliente[[#This Row],[id_cliente]],tblClientes[[#All],[id]:[nombre_contacto]],4,0)</f>
        <v>DORIS OFIR RUDEN</v>
      </c>
    </row>
    <row r="133" spans="1:8" x14ac:dyDescent="0.25">
      <c r="A133">
        <v>132</v>
      </c>
      <c r="B133">
        <v>132</v>
      </c>
      <c r="C133" s="15">
        <v>3112151407</v>
      </c>
      <c r="D133" t="s">
        <v>230</v>
      </c>
      <c r="F133" t="s">
        <v>217</v>
      </c>
      <c r="G133" t="s">
        <v>224</v>
      </c>
      <c r="H133" t="str">
        <f>VLOOKUP(tblContactoCliente[[#This Row],[id_cliente]],tblClientes[[#All],[id]:[nombre_contacto]],4,0)</f>
        <v>DORIS GIRALDO</v>
      </c>
    </row>
    <row r="134" spans="1:8" x14ac:dyDescent="0.25">
      <c r="A134">
        <v>133</v>
      </c>
      <c r="B134">
        <v>133</v>
      </c>
      <c r="C134">
        <v>3107078361</v>
      </c>
      <c r="D134" t="s">
        <v>691</v>
      </c>
      <c r="F134" t="s">
        <v>217</v>
      </c>
      <c r="G134" t="s">
        <v>139</v>
      </c>
      <c r="H134" t="str">
        <f>VLOOKUP(tblContactoCliente[[#This Row],[id_cliente]],tblClientes[[#All],[id]:[nombre_contacto]],4,0)</f>
        <v>EDGAR ALDANA</v>
      </c>
    </row>
    <row r="135" spans="1:8" x14ac:dyDescent="0.25">
      <c r="A135">
        <v>134</v>
      </c>
      <c r="B135">
        <v>134</v>
      </c>
      <c r="C135">
        <v>3193869838</v>
      </c>
      <c r="D135" t="s">
        <v>695</v>
      </c>
      <c r="F135" t="s">
        <v>696</v>
      </c>
      <c r="G135" t="s">
        <v>585</v>
      </c>
      <c r="H135" t="str">
        <f>VLOOKUP(tblContactoCliente[[#This Row],[id_cliente]],tblClientes[[#All],[id]:[nombre_contacto]],4,0)</f>
        <v>EDGAR AUGUSTO MONTOYA</v>
      </c>
    </row>
    <row r="136" spans="1:8" x14ac:dyDescent="0.25">
      <c r="A136">
        <v>135</v>
      </c>
      <c r="B136">
        <v>135</v>
      </c>
      <c r="C136">
        <v>3208102227</v>
      </c>
      <c r="D136" t="s">
        <v>699</v>
      </c>
      <c r="F136" t="s">
        <v>700</v>
      </c>
      <c r="G136" t="s">
        <v>3</v>
      </c>
      <c r="H136" t="str">
        <f>VLOOKUP(tblContactoCliente[[#This Row],[id_cliente]],tblClientes[[#All],[id]:[nombre_contacto]],4,0)</f>
        <v>EDGAR GIRALDO</v>
      </c>
    </row>
    <row r="137" spans="1:8" x14ac:dyDescent="0.25">
      <c r="A137">
        <v>136</v>
      </c>
      <c r="B137">
        <v>136</v>
      </c>
      <c r="C137">
        <v>3205921492</v>
      </c>
      <c r="D137" t="s">
        <v>702</v>
      </c>
      <c r="F137" t="s">
        <v>703</v>
      </c>
      <c r="G137" t="s">
        <v>3</v>
      </c>
      <c r="H137" t="str">
        <f>VLOOKUP(tblContactoCliente[[#This Row],[id_cliente]],tblClientes[[#All],[id]:[nombre_contacto]],4,0)</f>
        <v>EDGAR JURADO</v>
      </c>
    </row>
    <row r="138" spans="1:8" x14ac:dyDescent="0.25">
      <c r="A138">
        <v>137</v>
      </c>
      <c r="B138">
        <v>137</v>
      </c>
      <c r="C138">
        <v>3202574387</v>
      </c>
      <c r="D138" t="s">
        <v>706</v>
      </c>
      <c r="F138" t="s">
        <v>405</v>
      </c>
      <c r="G138" t="s">
        <v>3</v>
      </c>
      <c r="H138" t="str">
        <f>VLOOKUP(tblContactoCliente[[#This Row],[id_cliente]],tblClientes[[#All],[id]:[nombre_contacto]],4,0)</f>
        <v>EDGAR OCHOA</v>
      </c>
    </row>
    <row r="139" spans="1:8" x14ac:dyDescent="0.25">
      <c r="A139">
        <v>138</v>
      </c>
      <c r="B139">
        <v>138</v>
      </c>
      <c r="C139">
        <v>3208713719</v>
      </c>
      <c r="D139" t="s">
        <v>1</v>
      </c>
      <c r="F139" t="s">
        <v>1</v>
      </c>
      <c r="G139" t="s">
        <v>3</v>
      </c>
      <c r="H139" t="str">
        <f>VLOOKUP(tblContactoCliente[[#This Row],[id_cliente]],tblClientes[[#All],[id]:[nombre_contacto]],4,0)</f>
        <v>EDGAR REYES</v>
      </c>
    </row>
    <row r="140" spans="1:8" x14ac:dyDescent="0.25">
      <c r="A140">
        <v>139</v>
      </c>
      <c r="B140">
        <v>139</v>
      </c>
      <c r="C140">
        <v>3105778842</v>
      </c>
      <c r="D140" t="s">
        <v>710</v>
      </c>
      <c r="F140" t="s">
        <v>187</v>
      </c>
      <c r="G140" t="s">
        <v>3</v>
      </c>
      <c r="H140" t="str">
        <f>VLOOKUP(tblContactoCliente[[#This Row],[id_cliente]],tblClientes[[#All],[id]:[nombre_contacto]],4,0)</f>
        <v>EDILMA GONZALEZ</v>
      </c>
    </row>
    <row r="141" spans="1:8" x14ac:dyDescent="0.25">
      <c r="A141">
        <v>140</v>
      </c>
      <c r="B141">
        <v>140</v>
      </c>
      <c r="C141" s="15">
        <v>3214165922</v>
      </c>
      <c r="D141" t="s">
        <v>714</v>
      </c>
      <c r="F141" t="s">
        <v>544</v>
      </c>
      <c r="G141" t="s">
        <v>3</v>
      </c>
      <c r="H141" t="str">
        <f>VLOOKUP(tblContactoCliente[[#This Row],[id_cliente]],tblClientes[[#All],[id]:[nombre_contacto]],4,0)</f>
        <v>EDILSON FRANCO</v>
      </c>
    </row>
    <row r="142" spans="1:8" x14ac:dyDescent="0.25">
      <c r="A142">
        <v>141</v>
      </c>
      <c r="B142">
        <v>141</v>
      </c>
      <c r="C142">
        <v>3102840080</v>
      </c>
      <c r="D142" t="s">
        <v>717</v>
      </c>
      <c r="F142" t="s">
        <v>544</v>
      </c>
      <c r="G142" t="s">
        <v>3</v>
      </c>
      <c r="H142" t="str">
        <f>VLOOKUP(tblContactoCliente[[#This Row],[id_cliente]],tblClientes[[#All],[id]:[nombre_contacto]],4,0)</f>
        <v>EDILSON FRANCO</v>
      </c>
    </row>
    <row r="143" spans="1:8" x14ac:dyDescent="0.25">
      <c r="A143">
        <v>142</v>
      </c>
      <c r="B143">
        <v>142</v>
      </c>
      <c r="C143">
        <v>3206671447</v>
      </c>
      <c r="D143" t="s">
        <v>720</v>
      </c>
      <c r="F143" t="s">
        <v>721</v>
      </c>
      <c r="G143" t="s">
        <v>16</v>
      </c>
      <c r="H143" t="str">
        <f>VLOOKUP(tblContactoCliente[[#This Row],[id_cliente]],tblClientes[[#All],[id]:[nombre_contacto]],4,0)</f>
        <v>EDILSON GIRALDO</v>
      </c>
    </row>
    <row r="144" spans="1:8" x14ac:dyDescent="0.25">
      <c r="A144">
        <v>143</v>
      </c>
      <c r="B144">
        <v>143</v>
      </c>
      <c r="C144">
        <v>3102541008</v>
      </c>
      <c r="D144" t="s">
        <v>273</v>
      </c>
      <c r="F144" t="s">
        <v>274</v>
      </c>
      <c r="G144" t="s">
        <v>3</v>
      </c>
      <c r="H144" t="str">
        <f>VLOOKUP(tblContactoCliente[[#This Row],[id_cliente]],tblClientes[[#All],[id]:[nombre_contacto]],4,0)</f>
        <v>EDILSON ROJAS</v>
      </c>
    </row>
    <row r="145" spans="1:8" x14ac:dyDescent="0.25">
      <c r="A145">
        <v>144</v>
      </c>
      <c r="B145">
        <v>144</v>
      </c>
      <c r="C145">
        <v>3115721933</v>
      </c>
      <c r="D145" t="s">
        <v>724</v>
      </c>
      <c r="F145" t="s">
        <v>725</v>
      </c>
      <c r="G145" t="s">
        <v>3</v>
      </c>
      <c r="H145" t="str">
        <f>VLOOKUP(tblContactoCliente[[#This Row],[id_cliente]],tblClientes[[#All],[id]:[nombre_contacto]],4,0)</f>
        <v>EDUARD GONZALEZ</v>
      </c>
    </row>
    <row r="146" spans="1:8" x14ac:dyDescent="0.25">
      <c r="A146">
        <v>145</v>
      </c>
      <c r="B146">
        <v>145</v>
      </c>
      <c r="C146">
        <v>3123068372</v>
      </c>
      <c r="D146" t="s">
        <v>729</v>
      </c>
      <c r="F146" t="s">
        <v>730</v>
      </c>
      <c r="G146" t="s">
        <v>467</v>
      </c>
      <c r="H146" t="str">
        <f>VLOOKUP(tblContactoCliente[[#This Row],[id_cliente]],tblClientes[[#All],[id]:[nombre_contacto]],4,0)</f>
        <v>EDUARDO CALLEJAS</v>
      </c>
    </row>
    <row r="147" spans="1:8" x14ac:dyDescent="0.25">
      <c r="A147">
        <v>146</v>
      </c>
      <c r="B147">
        <v>146</v>
      </c>
      <c r="C147" s="15">
        <v>3204992171</v>
      </c>
      <c r="D147" t="s">
        <v>733</v>
      </c>
      <c r="F147" t="s">
        <v>734</v>
      </c>
      <c r="G147" t="s">
        <v>3</v>
      </c>
      <c r="H147" t="str">
        <f>VLOOKUP(tblContactoCliente[[#This Row],[id_cliente]],tblClientes[[#All],[id]:[nombre_contacto]],4,0)</f>
        <v>EDUARDO MARTINEZ</v>
      </c>
    </row>
    <row r="148" spans="1:8" x14ac:dyDescent="0.25">
      <c r="A148">
        <v>147</v>
      </c>
      <c r="B148">
        <v>147</v>
      </c>
      <c r="C148">
        <v>3117502740</v>
      </c>
      <c r="D148" t="s">
        <v>736</v>
      </c>
      <c r="F148" t="s">
        <v>737</v>
      </c>
      <c r="G148" t="s">
        <v>16</v>
      </c>
      <c r="H148" t="str">
        <f>VLOOKUP(tblContactoCliente[[#This Row],[id_cliente]],tblClientes[[#All],[id]:[nombre_contacto]],4,0)</f>
        <v>EDWIN BENAVIDES</v>
      </c>
    </row>
    <row r="149" spans="1:8" x14ac:dyDescent="0.25">
      <c r="A149">
        <v>148</v>
      </c>
      <c r="B149">
        <v>148</v>
      </c>
      <c r="C149">
        <v>3115517601</v>
      </c>
      <c r="D149" t="s">
        <v>741</v>
      </c>
      <c r="F149" t="s">
        <v>742</v>
      </c>
      <c r="G149" t="s">
        <v>743</v>
      </c>
      <c r="H149" t="str">
        <f>VLOOKUP(tblContactoCliente[[#This Row],[id_cliente]],tblClientes[[#All],[id]:[nombre_contacto]],4,0)</f>
        <v>EDWIN LOPEZ</v>
      </c>
    </row>
    <row r="150" spans="1:8" x14ac:dyDescent="0.25">
      <c r="A150">
        <v>149</v>
      </c>
      <c r="B150">
        <v>149</v>
      </c>
      <c r="C150">
        <v>3102487265</v>
      </c>
      <c r="D150" t="s">
        <v>746</v>
      </c>
      <c r="F150" t="s">
        <v>747</v>
      </c>
      <c r="G150" t="s">
        <v>3</v>
      </c>
      <c r="H150" t="str">
        <f>VLOOKUP(tblContactoCliente[[#This Row],[id_cliente]],tblClientes[[#All],[id]:[nombre_contacto]],4,0)</f>
        <v>ELIZABETH LUCIO MARTINEZ</v>
      </c>
    </row>
    <row r="151" spans="1:8" x14ac:dyDescent="0.25">
      <c r="A151">
        <v>150</v>
      </c>
      <c r="B151">
        <v>150</v>
      </c>
      <c r="C151">
        <v>3134215704</v>
      </c>
      <c r="D151" t="s">
        <v>751</v>
      </c>
      <c r="F151" t="s">
        <v>752</v>
      </c>
      <c r="G151" t="s">
        <v>3</v>
      </c>
      <c r="H151" t="str">
        <f>VLOOKUP(tblContactoCliente[[#This Row],[id_cliente]],tblClientes[[#All],[id]:[nombre_contacto]],4,0)</f>
        <v>ELIZABETH MORENO</v>
      </c>
    </row>
    <row r="152" spans="1:8" x14ac:dyDescent="0.25">
      <c r="A152">
        <v>151</v>
      </c>
      <c r="B152">
        <v>151</v>
      </c>
      <c r="C152">
        <v>3134637210</v>
      </c>
      <c r="D152" t="s">
        <v>757</v>
      </c>
      <c r="F152" t="s">
        <v>758</v>
      </c>
      <c r="G152" t="s">
        <v>3</v>
      </c>
      <c r="H152" t="str">
        <f>VLOOKUP(tblContactoCliente[[#This Row],[id_cliente]],tblClientes[[#All],[id]:[nombre_contacto]],4,0)</f>
        <v>ELIZABETH VARGAS</v>
      </c>
    </row>
    <row r="153" spans="1:8" x14ac:dyDescent="0.25">
      <c r="A153">
        <v>152</v>
      </c>
      <c r="B153">
        <v>152</v>
      </c>
      <c r="C153">
        <v>3213041621</v>
      </c>
      <c r="D153" t="s">
        <v>761</v>
      </c>
      <c r="F153" t="s">
        <v>762</v>
      </c>
      <c r="G153" t="s">
        <v>3</v>
      </c>
      <c r="H153" t="str">
        <f>VLOOKUP(tblContactoCliente[[#This Row],[id_cliente]],tblClientes[[#All],[id]:[nombre_contacto]],4,0)</f>
        <v>ELKIN CHACON</v>
      </c>
    </row>
    <row r="154" spans="1:8" x14ac:dyDescent="0.25">
      <c r="A154">
        <v>153</v>
      </c>
      <c r="B154">
        <v>153</v>
      </c>
      <c r="C154" s="15">
        <v>3158168874</v>
      </c>
      <c r="D154" t="s">
        <v>764</v>
      </c>
      <c r="F154" t="s">
        <v>195</v>
      </c>
      <c r="G154" t="s">
        <v>3</v>
      </c>
      <c r="H154" t="str">
        <f>VLOOKUP(tblContactoCliente[[#This Row],[id_cliente]],tblClientes[[#All],[id]:[nombre_contacto]],4,0)</f>
        <v>ERIK  VALLES</v>
      </c>
    </row>
    <row r="155" spans="1:8" x14ac:dyDescent="0.25">
      <c r="A155">
        <v>154</v>
      </c>
      <c r="B155">
        <v>154</v>
      </c>
      <c r="C155">
        <v>3103300134</v>
      </c>
      <c r="D155" t="s">
        <v>768</v>
      </c>
      <c r="F155" t="s">
        <v>187</v>
      </c>
      <c r="G155" t="s">
        <v>3</v>
      </c>
      <c r="H155" t="str">
        <f>VLOOKUP(tblContactoCliente[[#This Row],[id_cliente]],tblClientes[[#All],[id]:[nombre_contacto]],4,0)</f>
        <v>EMIILSON CONTRERAS</v>
      </c>
    </row>
    <row r="156" spans="1:8" x14ac:dyDescent="0.25">
      <c r="A156">
        <v>155</v>
      </c>
      <c r="B156">
        <v>155</v>
      </c>
      <c r="C156">
        <v>3202752762</v>
      </c>
      <c r="D156" t="s">
        <v>770</v>
      </c>
      <c r="F156" t="s">
        <v>187</v>
      </c>
      <c r="G156" t="s">
        <v>3</v>
      </c>
      <c r="H156" t="str">
        <f>VLOOKUP(tblContactoCliente[[#This Row],[id_cliente]],tblClientes[[#All],[id]:[nombre_contacto]],4,0)</f>
        <v>EMILIO ESPINDOLA</v>
      </c>
    </row>
    <row r="157" spans="1:8" x14ac:dyDescent="0.25">
      <c r="A157">
        <v>156</v>
      </c>
      <c r="B157">
        <v>156</v>
      </c>
      <c r="C157">
        <v>3103300134</v>
      </c>
      <c r="D157" t="s">
        <v>774</v>
      </c>
      <c r="F157" t="s">
        <v>501</v>
      </c>
      <c r="G157" t="s">
        <v>3</v>
      </c>
      <c r="H157" t="str">
        <f>VLOOKUP(tblContactoCliente[[#This Row],[id_cliente]],tblClientes[[#All],[id]:[nombre_contacto]],4,0)</f>
        <v>EMILSE ESCOBAR</v>
      </c>
    </row>
    <row r="158" spans="1:8" x14ac:dyDescent="0.25">
      <c r="A158">
        <v>157</v>
      </c>
      <c r="B158">
        <v>157</v>
      </c>
      <c r="C158">
        <v>3043265391</v>
      </c>
      <c r="D158" t="s">
        <v>779</v>
      </c>
      <c r="F158" t="s">
        <v>780</v>
      </c>
      <c r="G158" t="s">
        <v>3</v>
      </c>
      <c r="H158" t="str">
        <f>VLOOKUP(tblContactoCliente[[#This Row],[id_cliente]],tblClientes[[#All],[id]:[nombre_contacto]],4,0)</f>
        <v>ERNESTO MUÑOZ GARCIA</v>
      </c>
    </row>
    <row r="159" spans="1:8" x14ac:dyDescent="0.25">
      <c r="A159">
        <v>158</v>
      </c>
      <c r="B159">
        <v>158</v>
      </c>
      <c r="C159">
        <v>3118400215</v>
      </c>
      <c r="D159" t="s">
        <v>1</v>
      </c>
      <c r="F159" t="s">
        <v>142</v>
      </c>
      <c r="G159" t="s">
        <v>3</v>
      </c>
      <c r="H159" t="str">
        <f>VLOOKUP(tblContactoCliente[[#This Row],[id_cliente]],tblClientes[[#All],[id]:[nombre_contacto]],4,0)</f>
        <v>ERNEY SAENZ</v>
      </c>
    </row>
    <row r="160" spans="1:8" x14ac:dyDescent="0.25">
      <c r="A160">
        <v>159</v>
      </c>
      <c r="B160">
        <v>159</v>
      </c>
      <c r="C160">
        <v>3164828634</v>
      </c>
      <c r="D160" t="s">
        <v>784</v>
      </c>
      <c r="F160" t="s">
        <v>785</v>
      </c>
      <c r="G160" t="s">
        <v>786</v>
      </c>
      <c r="H160" t="str">
        <f>VLOOKUP(tblContactoCliente[[#This Row],[id_cliente]],tblClientes[[#All],[id]:[nombre_contacto]],4,0)</f>
        <v>ESMERALDA HERRERA</v>
      </c>
    </row>
    <row r="161" spans="1:8" x14ac:dyDescent="0.25">
      <c r="A161">
        <v>160</v>
      </c>
      <c r="B161">
        <v>160</v>
      </c>
      <c r="C161" s="15">
        <v>3176443444</v>
      </c>
      <c r="D161" t="s">
        <v>790</v>
      </c>
      <c r="F161" t="s">
        <v>791</v>
      </c>
      <c r="G161" t="s">
        <v>3</v>
      </c>
      <c r="H161" t="str">
        <f>VLOOKUP(tblContactoCliente[[#This Row],[id_cliente]],tblClientes[[#All],[id]:[nombre_contacto]],4,0)</f>
        <v>ESPERANZA FRIAS</v>
      </c>
    </row>
    <row r="162" spans="1:8" x14ac:dyDescent="0.25">
      <c r="A162">
        <v>161</v>
      </c>
      <c r="B162">
        <v>161</v>
      </c>
      <c r="C162">
        <v>3103234867</v>
      </c>
      <c r="D162" t="s">
        <v>794</v>
      </c>
      <c r="F162" t="s">
        <v>795</v>
      </c>
      <c r="G162" t="s">
        <v>3</v>
      </c>
      <c r="H162" t="str">
        <f>VLOOKUP(tblContactoCliente[[#This Row],[id_cliente]],tblClientes[[#All],[id]:[nombre_contacto]],4,0)</f>
        <v>ESTEBAN CASTILLO</v>
      </c>
    </row>
    <row r="163" spans="1:8" x14ac:dyDescent="0.25">
      <c r="A163">
        <v>162</v>
      </c>
      <c r="B163">
        <v>162</v>
      </c>
      <c r="C163">
        <v>3115388565</v>
      </c>
      <c r="D163" t="s">
        <v>799</v>
      </c>
      <c r="F163" t="s">
        <v>800</v>
      </c>
      <c r="G163" t="s">
        <v>801</v>
      </c>
      <c r="H163" t="str">
        <f>VLOOKUP(tblContactoCliente[[#This Row],[id_cliente]],tblClientes[[#All],[id]:[nombre_contacto]],4,0)</f>
        <v>FABIAN CHISICA</v>
      </c>
    </row>
    <row r="164" spans="1:8" x14ac:dyDescent="0.25">
      <c r="A164">
        <v>163</v>
      </c>
      <c r="B164">
        <v>163</v>
      </c>
      <c r="C164">
        <v>3204898489</v>
      </c>
      <c r="D164" t="s">
        <v>806</v>
      </c>
      <c r="F164" t="s">
        <v>296</v>
      </c>
      <c r="G164" t="s">
        <v>3</v>
      </c>
      <c r="H164" t="str">
        <f>VLOOKUP(tblContactoCliente[[#This Row],[id_cliente]],tblClientes[[#All],[id]:[nombre_contacto]],4,0)</f>
        <v>FABIAN RAMIREZ</v>
      </c>
    </row>
    <row r="165" spans="1:8" x14ac:dyDescent="0.25">
      <c r="A165">
        <v>164</v>
      </c>
      <c r="B165">
        <v>164</v>
      </c>
      <c r="C165">
        <v>3124461170</v>
      </c>
      <c r="D165" t="s">
        <v>808</v>
      </c>
      <c r="F165" t="s">
        <v>331</v>
      </c>
      <c r="G165" t="s">
        <v>3</v>
      </c>
      <c r="H165" t="str">
        <f>VLOOKUP(tblContactoCliente[[#This Row],[id_cliente]],tblClientes[[#All],[id]:[nombre_contacto]],4,0)</f>
        <v>FABIO RICO</v>
      </c>
    </row>
    <row r="166" spans="1:8" x14ac:dyDescent="0.25">
      <c r="A166">
        <v>165</v>
      </c>
      <c r="B166">
        <v>165</v>
      </c>
      <c r="C166">
        <v>3142016472</v>
      </c>
      <c r="D166" t="s">
        <v>812</v>
      </c>
      <c r="F166" t="s">
        <v>813</v>
      </c>
      <c r="G166" t="s">
        <v>668</v>
      </c>
      <c r="H166" t="str">
        <f>VLOOKUP(tblContactoCliente[[#This Row],[id_cliente]],tblClientes[[#All],[id]:[nombre_contacto]],4,0)</f>
        <v>FAIVER FIERRO RUBIANO</v>
      </c>
    </row>
    <row r="167" spans="1:8" x14ac:dyDescent="0.25">
      <c r="A167">
        <v>166</v>
      </c>
      <c r="B167">
        <v>166</v>
      </c>
      <c r="C167">
        <v>3016642832</v>
      </c>
      <c r="D167" t="s">
        <v>815</v>
      </c>
      <c r="F167" t="s">
        <v>816</v>
      </c>
      <c r="G167" t="s">
        <v>139</v>
      </c>
      <c r="H167" t="str">
        <f>VLOOKUP(tblContactoCliente[[#This Row],[id_cliente]],tblClientes[[#All],[id]:[nombre_contacto]],4,0)</f>
        <v>FEDERICO ANTONIO MUÑOZ</v>
      </c>
    </row>
    <row r="168" spans="1:8" x14ac:dyDescent="0.25">
      <c r="A168">
        <v>167</v>
      </c>
      <c r="B168">
        <v>167</v>
      </c>
      <c r="C168">
        <v>3118182258</v>
      </c>
      <c r="D168" t="s">
        <v>820</v>
      </c>
      <c r="F168" t="s">
        <v>187</v>
      </c>
      <c r="G168" t="s">
        <v>3</v>
      </c>
      <c r="H168" t="str">
        <f>VLOOKUP(tblContactoCliente[[#This Row],[id_cliente]],tblClientes[[#All],[id]:[nombre_contacto]],4,0)</f>
        <v>FELIPE GUTIERREZ</v>
      </c>
    </row>
    <row r="169" spans="1:8" x14ac:dyDescent="0.25">
      <c r="A169">
        <v>168</v>
      </c>
      <c r="B169">
        <v>168</v>
      </c>
      <c r="C169">
        <v>3214304029</v>
      </c>
      <c r="D169" t="s">
        <v>824</v>
      </c>
      <c r="F169" t="s">
        <v>825</v>
      </c>
      <c r="G169" t="s">
        <v>3</v>
      </c>
      <c r="H169" t="str">
        <f>VLOOKUP(tblContactoCliente[[#This Row],[id_cliente]],tblClientes[[#All],[id]:[nombre_contacto]],4,0)</f>
        <v xml:space="preserve">FERNANDO CASILIMAS </v>
      </c>
    </row>
    <row r="170" spans="1:8" x14ac:dyDescent="0.25">
      <c r="A170">
        <v>169</v>
      </c>
      <c r="B170">
        <v>169</v>
      </c>
      <c r="C170">
        <v>3103492886</v>
      </c>
      <c r="D170" t="s">
        <v>829</v>
      </c>
      <c r="F170" t="s">
        <v>830</v>
      </c>
      <c r="G170" t="s">
        <v>3</v>
      </c>
      <c r="H170" t="str">
        <f>VLOOKUP(tblContactoCliente[[#This Row],[id_cliente]],tblClientes[[#All],[id]:[nombre_contacto]],4,0)</f>
        <v>FERNANDO FRANCO</v>
      </c>
    </row>
    <row r="171" spans="1:8" x14ac:dyDescent="0.25">
      <c r="A171">
        <v>170</v>
      </c>
      <c r="B171">
        <v>170</v>
      </c>
      <c r="C171">
        <v>3144568320</v>
      </c>
      <c r="D171" t="s">
        <v>833</v>
      </c>
      <c r="F171" t="s">
        <v>187</v>
      </c>
      <c r="G171" t="s">
        <v>3</v>
      </c>
      <c r="H171" t="str">
        <f>VLOOKUP(tblContactoCliente[[#This Row],[id_cliente]],tblClientes[[#All],[id]:[nombre_contacto]],4,0)</f>
        <v>FERNANDO MAYORGA</v>
      </c>
    </row>
    <row r="172" spans="1:8" x14ac:dyDescent="0.25">
      <c r="A172">
        <v>171</v>
      </c>
      <c r="B172">
        <v>171</v>
      </c>
      <c r="C172">
        <v>3123044022</v>
      </c>
      <c r="D172" t="s">
        <v>835</v>
      </c>
      <c r="F172" t="s">
        <v>836</v>
      </c>
      <c r="G172" t="s">
        <v>3</v>
      </c>
      <c r="H172" t="str">
        <f>VLOOKUP(tblContactoCliente[[#This Row],[id_cliente]],tblClientes[[#All],[id]:[nombre_contacto]],4,0)</f>
        <v>FERNANDO MONCADA</v>
      </c>
    </row>
    <row r="173" spans="1:8" x14ac:dyDescent="0.25">
      <c r="A173">
        <v>172</v>
      </c>
      <c r="B173">
        <v>172</v>
      </c>
      <c r="C173">
        <v>3214512068</v>
      </c>
      <c r="D173" t="s">
        <v>841</v>
      </c>
      <c r="F173" t="s">
        <v>842</v>
      </c>
      <c r="G173" t="s">
        <v>3</v>
      </c>
      <c r="H173" t="str">
        <f>VLOOKUP(tblContactoCliente[[#This Row],[id_cliente]],tblClientes[[#All],[id]:[nombre_contacto]],4,0)</f>
        <v>FERNANDO PEÑA</v>
      </c>
    </row>
    <row r="174" spans="1:8" x14ac:dyDescent="0.25">
      <c r="A174">
        <v>173</v>
      </c>
      <c r="B174">
        <v>173</v>
      </c>
      <c r="C174">
        <v>3107526451</v>
      </c>
      <c r="D174" t="s">
        <v>846</v>
      </c>
      <c r="F174" t="s">
        <v>847</v>
      </c>
      <c r="G174" t="s">
        <v>3</v>
      </c>
      <c r="H174" t="str">
        <f>VLOOKUP(tblContactoCliente[[#This Row],[id_cliente]],tblClientes[[#All],[id]:[nombre_contacto]],4,0)</f>
        <v>FERNANDO ZANABRIA</v>
      </c>
    </row>
    <row r="175" spans="1:8" x14ac:dyDescent="0.25">
      <c r="A175">
        <v>174</v>
      </c>
      <c r="B175">
        <v>174</v>
      </c>
      <c r="C175" t="s">
        <v>850</v>
      </c>
      <c r="D175" t="s">
        <v>851</v>
      </c>
      <c r="F175" t="s">
        <v>33</v>
      </c>
      <c r="G175" t="s">
        <v>33</v>
      </c>
      <c r="H175" t="str">
        <f>VLOOKUP(tblContactoCliente[[#This Row],[id_cliente]],tblClientes[[#All],[id]:[nombre_contacto]],4,0)</f>
        <v>FIDEL TORRES SANCHEZ</v>
      </c>
    </row>
    <row r="176" spans="1:8" x14ac:dyDescent="0.25">
      <c r="A176">
        <v>175</v>
      </c>
      <c r="B176">
        <v>175</v>
      </c>
      <c r="C176">
        <v>3183439190</v>
      </c>
      <c r="D176" t="s">
        <v>855</v>
      </c>
      <c r="F176" t="s">
        <v>856</v>
      </c>
      <c r="G176" t="s">
        <v>857</v>
      </c>
      <c r="H176" t="str">
        <f>VLOOKUP(tblContactoCliente[[#This Row],[id_cliente]],tblClientes[[#All],[id]:[nombre_contacto]],4,0)</f>
        <v>FRANCISCO PINI</v>
      </c>
    </row>
    <row r="177" spans="1:8" x14ac:dyDescent="0.25">
      <c r="A177">
        <v>176</v>
      </c>
      <c r="B177">
        <v>176</v>
      </c>
      <c r="C177">
        <v>3143838917</v>
      </c>
      <c r="D177" t="s">
        <v>860</v>
      </c>
      <c r="F177" t="s">
        <v>734</v>
      </c>
      <c r="G177" t="s">
        <v>3</v>
      </c>
      <c r="H177" t="str">
        <f>VLOOKUP(tblContactoCliente[[#This Row],[id_cliente]],tblClientes[[#All],[id]:[nombre_contacto]],4,0)</f>
        <v>FRANCISCO SALCEDO</v>
      </c>
    </row>
    <row r="178" spans="1:8" x14ac:dyDescent="0.25">
      <c r="A178">
        <v>177</v>
      </c>
      <c r="B178">
        <v>177</v>
      </c>
      <c r="C178">
        <v>3133517171</v>
      </c>
      <c r="D178" t="s">
        <v>863</v>
      </c>
      <c r="F178" t="s">
        <v>142</v>
      </c>
      <c r="G178" t="s">
        <v>3</v>
      </c>
      <c r="H178" t="str">
        <f>VLOOKUP(tblContactoCliente[[#This Row],[id_cliente]],tblClientes[[#All],[id]:[nombre_contacto]],4,0)</f>
        <v>OSCAR CERON</v>
      </c>
    </row>
    <row r="179" spans="1:8" x14ac:dyDescent="0.25">
      <c r="A179">
        <v>178</v>
      </c>
      <c r="B179">
        <v>178</v>
      </c>
      <c r="C179">
        <v>3008223844</v>
      </c>
      <c r="D179" t="s">
        <v>866</v>
      </c>
      <c r="F179" t="s">
        <v>284</v>
      </c>
      <c r="G179" t="s">
        <v>3</v>
      </c>
      <c r="H179" t="str">
        <f>VLOOKUP(tblContactoCliente[[#This Row],[id_cliente]],tblClientes[[#All],[id]:[nombre_contacto]],4,0)</f>
        <v>FREDY MATEUS</v>
      </c>
    </row>
    <row r="180" spans="1:8" x14ac:dyDescent="0.25">
      <c r="A180">
        <v>179</v>
      </c>
      <c r="B180">
        <v>179</v>
      </c>
      <c r="C180">
        <v>3103972314</v>
      </c>
      <c r="D180" t="s">
        <v>868</v>
      </c>
      <c r="F180" t="s">
        <v>780</v>
      </c>
      <c r="G180" t="s">
        <v>3</v>
      </c>
      <c r="H180" t="str">
        <f>VLOOKUP(tblContactoCliente[[#This Row],[id_cliente]],tblClientes[[#All],[id]:[nombre_contacto]],4,0)</f>
        <v>FREDY PARRA</v>
      </c>
    </row>
    <row r="181" spans="1:8" x14ac:dyDescent="0.25">
      <c r="A181">
        <v>180</v>
      </c>
      <c r="B181">
        <v>180</v>
      </c>
      <c r="C181">
        <v>3107343124</v>
      </c>
      <c r="D181" t="s">
        <v>872</v>
      </c>
      <c r="F181" t="s">
        <v>873</v>
      </c>
      <c r="G181" t="s">
        <v>16</v>
      </c>
      <c r="H181" t="str">
        <f>VLOOKUP(tblContactoCliente[[#This Row],[id_cliente]],tblClientes[[#All],[id]:[nombre_contacto]],4,0)</f>
        <v>FREDY TABARES MANRIQUE</v>
      </c>
    </row>
    <row r="182" spans="1:8" x14ac:dyDescent="0.25">
      <c r="A182">
        <v>181</v>
      </c>
      <c r="B182">
        <v>181</v>
      </c>
      <c r="C182">
        <v>3175182130</v>
      </c>
      <c r="D182" t="s">
        <v>877</v>
      </c>
      <c r="F182" t="s">
        <v>139</v>
      </c>
      <c r="G182" t="s">
        <v>139</v>
      </c>
      <c r="H182" t="str">
        <f>VLOOKUP(tblContactoCliente[[#This Row],[id_cliente]],tblClientes[[#All],[id]:[nombre_contacto]],4,0)</f>
        <v>GABRIEL CARDONA</v>
      </c>
    </row>
    <row r="183" spans="1:8" x14ac:dyDescent="0.25">
      <c r="A183">
        <v>182</v>
      </c>
      <c r="B183">
        <v>182</v>
      </c>
      <c r="C183">
        <v>3158876978</v>
      </c>
      <c r="D183" t="s">
        <v>879</v>
      </c>
      <c r="F183" t="s">
        <v>880</v>
      </c>
      <c r="G183" t="s">
        <v>3</v>
      </c>
      <c r="H183" t="str">
        <f>VLOOKUP(tblContactoCliente[[#This Row],[id_cliente]],tblClientes[[#All],[id]:[nombre_contacto]],4,0)</f>
        <v>GABRIEL RODRIGUEZ BENAVIDES</v>
      </c>
    </row>
    <row r="184" spans="1:8" x14ac:dyDescent="0.25">
      <c r="A184">
        <v>183</v>
      </c>
      <c r="B184">
        <v>183</v>
      </c>
      <c r="C184" s="15">
        <v>3102979848</v>
      </c>
      <c r="D184" t="s">
        <v>883</v>
      </c>
      <c r="F184" t="s">
        <v>884</v>
      </c>
      <c r="G184" t="s">
        <v>3</v>
      </c>
      <c r="H184" t="str">
        <f>VLOOKUP(tblContactoCliente[[#This Row],[id_cliente]],tblClientes[[#All],[id]:[nombre_contacto]],4,0)</f>
        <v>GABRIEL SOLER</v>
      </c>
    </row>
    <row r="185" spans="1:8" x14ac:dyDescent="0.25">
      <c r="A185">
        <v>184</v>
      </c>
      <c r="B185">
        <v>184</v>
      </c>
      <c r="C185">
        <v>3102831602</v>
      </c>
      <c r="D185" t="s">
        <v>888</v>
      </c>
      <c r="F185" t="s">
        <v>889</v>
      </c>
      <c r="G185" t="s">
        <v>3</v>
      </c>
      <c r="H185" t="str">
        <f>VLOOKUP(tblContactoCliente[[#This Row],[id_cliente]],tblClientes[[#All],[id]:[nombre_contacto]],4,0)</f>
        <v>GABRIEL TORRES</v>
      </c>
    </row>
    <row r="186" spans="1:8" x14ac:dyDescent="0.25">
      <c r="A186">
        <v>185</v>
      </c>
      <c r="B186">
        <v>185</v>
      </c>
      <c r="C186">
        <v>3108769653</v>
      </c>
      <c r="D186" t="s">
        <v>892</v>
      </c>
      <c r="F186" t="s">
        <v>187</v>
      </c>
      <c r="G186" t="s">
        <v>3</v>
      </c>
      <c r="H186" t="str">
        <f>VLOOKUP(tblContactoCliente[[#This Row],[id_cliente]],tblClientes[[#All],[id]:[nombre_contacto]],4,0)</f>
        <v>GERMAN CARDOZA</v>
      </c>
    </row>
    <row r="187" spans="1:8" x14ac:dyDescent="0.25">
      <c r="A187">
        <v>186</v>
      </c>
      <c r="B187">
        <v>186</v>
      </c>
      <c r="C187">
        <v>3219068509</v>
      </c>
      <c r="D187" t="s">
        <v>895</v>
      </c>
      <c r="F187" t="s">
        <v>896</v>
      </c>
      <c r="G187" t="s">
        <v>3</v>
      </c>
      <c r="H187" t="str">
        <f>VLOOKUP(tblContactoCliente[[#This Row],[id_cliente]],tblClientes[[#All],[id]:[nombre_contacto]],4,0)</f>
        <v>GERMAN CASTAÑEDA</v>
      </c>
    </row>
    <row r="188" spans="1:8" x14ac:dyDescent="0.25">
      <c r="A188">
        <v>187</v>
      </c>
      <c r="B188">
        <v>187</v>
      </c>
      <c r="C188">
        <v>3217599896</v>
      </c>
      <c r="D188" t="s">
        <v>900</v>
      </c>
      <c r="F188" t="s">
        <v>195</v>
      </c>
      <c r="G188" t="s">
        <v>3</v>
      </c>
      <c r="H188" t="str">
        <f>VLOOKUP(tblContactoCliente[[#This Row],[id_cliente]],tblClientes[[#All],[id]:[nombre_contacto]],4,0)</f>
        <v>GERMAN MORALES</v>
      </c>
    </row>
    <row r="189" spans="1:8" x14ac:dyDescent="0.25">
      <c r="A189">
        <v>188</v>
      </c>
      <c r="B189">
        <v>188</v>
      </c>
      <c r="C189">
        <v>3106990493</v>
      </c>
      <c r="D189" t="s">
        <v>902</v>
      </c>
      <c r="F189" t="s">
        <v>903</v>
      </c>
      <c r="G189" t="s">
        <v>3</v>
      </c>
      <c r="H189" t="str">
        <f>VLOOKUP(tblContactoCliente[[#This Row],[id_cliente]],tblClientes[[#All],[id]:[nombre_contacto]],4,0)</f>
        <v>GERSON ROFRIGUEZ SUAREZ</v>
      </c>
    </row>
    <row r="190" spans="1:8" x14ac:dyDescent="0.25">
      <c r="A190">
        <v>189</v>
      </c>
      <c r="B190">
        <v>189</v>
      </c>
      <c r="C190">
        <v>3209166680</v>
      </c>
      <c r="D190" t="s">
        <v>907</v>
      </c>
      <c r="F190" t="s">
        <v>908</v>
      </c>
      <c r="G190" t="s">
        <v>3</v>
      </c>
      <c r="H190" t="str">
        <f>VLOOKUP(tblContactoCliente[[#This Row],[id_cliente]],tblClientes[[#All],[id]:[nombre_contacto]],4,0)</f>
        <v>GILBERTO HOYOS</v>
      </c>
    </row>
    <row r="191" spans="1:8" x14ac:dyDescent="0.25">
      <c r="A191">
        <v>190</v>
      </c>
      <c r="B191">
        <v>190</v>
      </c>
      <c r="C191">
        <v>3153352416</v>
      </c>
      <c r="D191" t="s">
        <v>912</v>
      </c>
      <c r="F191" t="s">
        <v>913</v>
      </c>
      <c r="G191" t="s">
        <v>3</v>
      </c>
      <c r="H191" t="str">
        <f>VLOOKUP(tblContactoCliente[[#This Row],[id_cliente]],tblClientes[[#All],[id]:[nombre_contacto]],4,0)</f>
        <v>GILBERTO MORA</v>
      </c>
    </row>
    <row r="192" spans="1:8" x14ac:dyDescent="0.25">
      <c r="A192">
        <v>191</v>
      </c>
      <c r="B192">
        <v>191</v>
      </c>
      <c r="C192" s="15">
        <v>3016355889</v>
      </c>
      <c r="D192" t="s">
        <v>917</v>
      </c>
      <c r="F192" t="s">
        <v>187</v>
      </c>
      <c r="G192" t="s">
        <v>3</v>
      </c>
      <c r="H192" t="str">
        <f>VLOOKUP(tblContactoCliente[[#This Row],[id_cliente]],tblClientes[[#All],[id]:[nombre_contacto]],4,0)</f>
        <v>GINETH ROA</v>
      </c>
    </row>
    <row r="193" spans="1:8" x14ac:dyDescent="0.25">
      <c r="A193">
        <v>192</v>
      </c>
      <c r="B193">
        <v>192</v>
      </c>
      <c r="C193">
        <v>3131204400</v>
      </c>
      <c r="D193" t="s">
        <v>920</v>
      </c>
      <c r="F193" t="s">
        <v>187</v>
      </c>
      <c r="G193" t="s">
        <v>3</v>
      </c>
      <c r="H193" t="str">
        <f>VLOOKUP(tblContactoCliente[[#This Row],[id_cliente]],tblClientes[[#All],[id]:[nombre_contacto]],4,0)</f>
        <v>GIOVANNA SAENZ</v>
      </c>
    </row>
    <row r="194" spans="1:8" x14ac:dyDescent="0.25">
      <c r="A194">
        <v>193</v>
      </c>
      <c r="B194">
        <v>193</v>
      </c>
      <c r="C194">
        <v>3185215825</v>
      </c>
      <c r="D194" t="s">
        <v>923</v>
      </c>
      <c r="F194" t="s">
        <v>187</v>
      </c>
      <c r="G194" t="s">
        <v>3</v>
      </c>
      <c r="H194" t="str">
        <f>VLOOKUP(tblContactoCliente[[#This Row],[id_cliente]],tblClientes[[#All],[id]:[nombre_contacto]],4,0)</f>
        <v>GIOVANY RAMIREZ</v>
      </c>
    </row>
    <row r="195" spans="1:8" x14ac:dyDescent="0.25">
      <c r="A195">
        <v>194</v>
      </c>
      <c r="B195">
        <v>194</v>
      </c>
      <c r="C195">
        <v>3176165772</v>
      </c>
      <c r="D195" t="s">
        <v>926</v>
      </c>
      <c r="F195" t="s">
        <v>927</v>
      </c>
      <c r="G195" t="s">
        <v>3</v>
      </c>
      <c r="H195" t="str">
        <f>VLOOKUP(tblContactoCliente[[#This Row],[id_cliente]],tblClientes[[#All],[id]:[nombre_contacto]],4,0)</f>
        <v>GLORIA RAMIREZ</v>
      </c>
    </row>
    <row r="196" spans="1:8" x14ac:dyDescent="0.25">
      <c r="A196">
        <v>195</v>
      </c>
      <c r="B196">
        <v>195</v>
      </c>
      <c r="C196">
        <v>3132910671</v>
      </c>
      <c r="D196" t="s">
        <v>932</v>
      </c>
      <c r="F196" t="s">
        <v>933</v>
      </c>
      <c r="G196" t="s">
        <v>3</v>
      </c>
      <c r="H196" t="str">
        <f>VLOOKUP(tblContactoCliente[[#This Row],[id_cliente]],tblClientes[[#All],[id]:[nombre_contacto]],4,0)</f>
        <v>GRUPO EGMEL SAS</v>
      </c>
    </row>
    <row r="197" spans="1:8" x14ac:dyDescent="0.25">
      <c r="A197">
        <v>196</v>
      </c>
      <c r="B197">
        <v>196</v>
      </c>
      <c r="C197">
        <v>3124142849</v>
      </c>
      <c r="D197" t="s">
        <v>936</v>
      </c>
      <c r="F197" t="s">
        <v>187</v>
      </c>
      <c r="G197" t="s">
        <v>3</v>
      </c>
      <c r="H197" t="str">
        <f>VLOOKUP(tblContactoCliente[[#This Row],[id_cliente]],tblClientes[[#All],[id]:[nombre_contacto]],4,0)</f>
        <v>GUIDO BLANCO</v>
      </c>
    </row>
    <row r="198" spans="1:8" x14ac:dyDescent="0.25">
      <c r="A198">
        <v>197</v>
      </c>
      <c r="B198">
        <v>197</v>
      </c>
      <c r="C198" s="15">
        <v>3138288461</v>
      </c>
      <c r="D198" t="s">
        <v>938</v>
      </c>
      <c r="F198" t="s">
        <v>436</v>
      </c>
      <c r="G198" t="s">
        <v>939</v>
      </c>
      <c r="H198" t="str">
        <f>VLOOKUP(tblContactoCliente[[#This Row],[id_cliente]],tblClientes[[#All],[id]:[nombre_contacto]],4,0)</f>
        <v>GUILLERMO HORMAZA</v>
      </c>
    </row>
    <row r="199" spans="1:8" x14ac:dyDescent="0.25">
      <c r="A199">
        <v>198</v>
      </c>
      <c r="B199">
        <v>198</v>
      </c>
      <c r="C199">
        <v>3116484148</v>
      </c>
      <c r="D199" t="s">
        <v>942</v>
      </c>
      <c r="F199" t="s">
        <v>943</v>
      </c>
      <c r="G199" t="s">
        <v>3</v>
      </c>
      <c r="H199" t="str">
        <f>VLOOKUP(tblContactoCliente[[#This Row],[id_cliente]],tblClientes[[#All],[id]:[nombre_contacto]],4,0)</f>
        <v>GUILLERMO MUÑOZ</v>
      </c>
    </row>
    <row r="200" spans="1:8" x14ac:dyDescent="0.25">
      <c r="A200">
        <v>199</v>
      </c>
      <c r="B200">
        <v>199</v>
      </c>
      <c r="C200">
        <v>3132521494</v>
      </c>
      <c r="D200" t="s">
        <v>946</v>
      </c>
      <c r="F200" t="s">
        <v>217</v>
      </c>
      <c r="G200" t="s">
        <v>3</v>
      </c>
      <c r="H200" t="str">
        <f>VLOOKUP(tblContactoCliente[[#This Row],[id_cliente]],tblClientes[[#All],[id]:[nombre_contacto]],4,0)</f>
        <v>GUILLERMO RONCANCIO</v>
      </c>
    </row>
    <row r="201" spans="1:8" x14ac:dyDescent="0.25">
      <c r="A201">
        <v>200</v>
      </c>
      <c r="B201">
        <v>200</v>
      </c>
      <c r="C201">
        <v>3144338669</v>
      </c>
      <c r="D201" t="s">
        <v>949</v>
      </c>
      <c r="F201" t="s">
        <v>950</v>
      </c>
      <c r="G201" t="s">
        <v>3</v>
      </c>
      <c r="H201" t="str">
        <f>VLOOKUP(tblContactoCliente[[#This Row],[id_cliente]],tblClientes[[#All],[id]:[nombre_contacto]],4,0)</f>
        <v>GUSTAVO CARDOBA</v>
      </c>
    </row>
    <row r="202" spans="1:8" x14ac:dyDescent="0.25">
      <c r="A202">
        <v>201</v>
      </c>
      <c r="B202">
        <v>201</v>
      </c>
      <c r="C202">
        <v>3043895193</v>
      </c>
      <c r="D202" t="s">
        <v>954</v>
      </c>
      <c r="F202" t="s">
        <v>955</v>
      </c>
      <c r="G202" t="s">
        <v>3</v>
      </c>
      <c r="H202" t="str">
        <f>VLOOKUP(tblContactoCliente[[#This Row],[id_cliente]],tblClientes[[#All],[id]:[nombre_contacto]],4,0)</f>
        <v>GUSTAVO RODRIGUEZ</v>
      </c>
    </row>
    <row r="203" spans="1:8" x14ac:dyDescent="0.25">
      <c r="A203">
        <v>202</v>
      </c>
      <c r="B203">
        <v>202</v>
      </c>
      <c r="C203">
        <v>3103146114</v>
      </c>
      <c r="D203" t="s">
        <v>957</v>
      </c>
      <c r="F203" t="s">
        <v>549</v>
      </c>
      <c r="G203" t="s">
        <v>3</v>
      </c>
      <c r="H203" t="str">
        <f>VLOOKUP(tblContactoCliente[[#This Row],[id_cliente]],tblClientes[[#All],[id]:[nombre_contacto]],4,0)</f>
        <v>HAMILTHON FERREIRA PATIÑO</v>
      </c>
    </row>
    <row r="204" spans="1:8" x14ac:dyDescent="0.25">
      <c r="A204">
        <v>203</v>
      </c>
      <c r="B204">
        <v>203</v>
      </c>
      <c r="C204">
        <v>3138346424</v>
      </c>
      <c r="D204" t="s">
        <v>961</v>
      </c>
      <c r="F204" t="s">
        <v>962</v>
      </c>
      <c r="G204" t="s">
        <v>3</v>
      </c>
      <c r="H204" t="str">
        <f>VLOOKUP(tblContactoCliente[[#This Row],[id_cliente]],tblClientes[[#All],[id]:[nombre_contacto]],4,0)</f>
        <v>HECTOR LONDOÑO</v>
      </c>
    </row>
    <row r="205" spans="1:8" x14ac:dyDescent="0.25">
      <c r="A205">
        <v>204</v>
      </c>
      <c r="B205">
        <v>204</v>
      </c>
      <c r="C205">
        <v>3166580634</v>
      </c>
      <c r="D205" t="s">
        <v>964</v>
      </c>
      <c r="F205" t="s">
        <v>965</v>
      </c>
      <c r="G205" t="s">
        <v>966</v>
      </c>
      <c r="H205" t="str">
        <f>VLOOKUP(tblContactoCliente[[#This Row],[id_cliente]],tblClientes[[#All],[id]:[nombre_contacto]],4,0)</f>
        <v>HECTOR RAMIREZ</v>
      </c>
    </row>
    <row r="206" spans="1:8" x14ac:dyDescent="0.25">
      <c r="A206">
        <v>205</v>
      </c>
      <c r="B206">
        <v>205</v>
      </c>
      <c r="C206" s="15">
        <v>3124286191</v>
      </c>
      <c r="D206" t="s">
        <v>968</v>
      </c>
      <c r="F206" t="s">
        <v>969</v>
      </c>
      <c r="G206" t="s">
        <v>3</v>
      </c>
      <c r="H206" t="str">
        <f>VLOOKUP(tblContactoCliente[[#This Row],[id_cliente]],tblClientes[[#All],[id]:[nombre_contacto]],4,0)</f>
        <v>HECTOR RIAÑO</v>
      </c>
    </row>
    <row r="207" spans="1:8" x14ac:dyDescent="0.25">
      <c r="A207">
        <v>206</v>
      </c>
      <c r="B207">
        <v>206</v>
      </c>
      <c r="C207">
        <v>3223774790</v>
      </c>
      <c r="D207" t="s">
        <v>1</v>
      </c>
      <c r="F207" t="s">
        <v>2</v>
      </c>
      <c r="G207" t="s">
        <v>3</v>
      </c>
      <c r="H207" t="str">
        <f>VLOOKUP(tblContactoCliente[[#This Row],[id_cliente]],tblClientes[[#All],[id]:[nombre_contacto]],4,0)</f>
        <v>JHONY ULLOA</v>
      </c>
    </row>
    <row r="208" spans="1:8" x14ac:dyDescent="0.25">
      <c r="A208">
        <v>207</v>
      </c>
      <c r="B208">
        <v>207</v>
      </c>
      <c r="C208" s="15">
        <v>3174416394</v>
      </c>
      <c r="D208" t="s">
        <v>974</v>
      </c>
      <c r="F208" t="s">
        <v>975</v>
      </c>
      <c r="G208" t="s">
        <v>3</v>
      </c>
      <c r="H208" t="str">
        <f>VLOOKUP(tblContactoCliente[[#This Row],[id_cliente]],tblClientes[[#All],[id]:[nombre_contacto]],4,0)</f>
        <v>NESTOR RUIZ</v>
      </c>
    </row>
    <row r="209" spans="1:8" x14ac:dyDescent="0.25">
      <c r="A209">
        <v>208</v>
      </c>
      <c r="B209">
        <v>208</v>
      </c>
      <c r="C209">
        <v>3123776310</v>
      </c>
      <c r="D209" t="s">
        <v>980</v>
      </c>
      <c r="F209" t="s">
        <v>410</v>
      </c>
      <c r="G209" t="s">
        <v>3</v>
      </c>
      <c r="H209" t="str">
        <f>VLOOKUP(tblContactoCliente[[#This Row],[id_cliente]],tblClientes[[#All],[id]:[nombre_contacto]],4,0)</f>
        <v>HEINER DANIEL ARIZA QUIROGA</v>
      </c>
    </row>
    <row r="210" spans="1:8" x14ac:dyDescent="0.25">
      <c r="A210">
        <v>209</v>
      </c>
      <c r="B210">
        <v>209</v>
      </c>
      <c r="C210" s="15">
        <v>3115764223</v>
      </c>
      <c r="D210" t="s">
        <v>984</v>
      </c>
      <c r="F210" t="s">
        <v>274</v>
      </c>
      <c r="G210" t="s">
        <v>3</v>
      </c>
      <c r="H210" t="str">
        <f>VLOOKUP(tblContactoCliente[[#This Row],[id_cliente]],tblClientes[[#All],[id]:[nombre_contacto]],4,0)</f>
        <v>HENRRY BOLAÑOS</v>
      </c>
    </row>
    <row r="211" spans="1:8" x14ac:dyDescent="0.25">
      <c r="A211">
        <v>210</v>
      </c>
      <c r="B211">
        <v>210</v>
      </c>
      <c r="C211" s="15">
        <v>3134324201</v>
      </c>
      <c r="D211" t="s">
        <v>986</v>
      </c>
      <c r="F211" t="s">
        <v>987</v>
      </c>
      <c r="G211" t="s">
        <v>3</v>
      </c>
      <c r="H211" t="str">
        <f>VLOOKUP(tblContactoCliente[[#This Row],[id_cliente]],tblClientes[[#All],[id]:[nombre_contacto]],4,0)</f>
        <v>HENRY CAMARGO</v>
      </c>
    </row>
    <row r="212" spans="1:8" x14ac:dyDescent="0.25">
      <c r="A212">
        <v>211</v>
      </c>
      <c r="B212">
        <v>211</v>
      </c>
      <c r="C212" s="15">
        <v>3113699787</v>
      </c>
      <c r="D212" t="s">
        <v>991</v>
      </c>
      <c r="F212" t="s">
        <v>187</v>
      </c>
      <c r="G212" t="s">
        <v>3</v>
      </c>
      <c r="H212" t="str">
        <f>VLOOKUP(tblContactoCliente[[#This Row],[id_cliente]],tblClientes[[#All],[id]:[nombre_contacto]],4,0)</f>
        <v>HENRY DELGADO</v>
      </c>
    </row>
    <row r="213" spans="1:8" x14ac:dyDescent="0.25">
      <c r="A213">
        <v>212</v>
      </c>
      <c r="B213">
        <v>212</v>
      </c>
      <c r="C213">
        <v>3132081630</v>
      </c>
      <c r="D213" t="s">
        <v>994</v>
      </c>
      <c r="F213" t="s">
        <v>995</v>
      </c>
      <c r="G213" t="s">
        <v>3</v>
      </c>
      <c r="H213" t="str">
        <f>VLOOKUP(tblContactoCliente[[#This Row],[id_cliente]],tblClientes[[#All],[id]:[nombre_contacto]],4,0)</f>
        <v>HERMES SUAREZ</v>
      </c>
    </row>
    <row r="214" spans="1:8" x14ac:dyDescent="0.25">
      <c r="A214">
        <v>213</v>
      </c>
      <c r="B214">
        <v>213</v>
      </c>
      <c r="C214">
        <v>4759000</v>
      </c>
      <c r="D214" t="s">
        <v>1000</v>
      </c>
      <c r="F214" t="s">
        <v>1001</v>
      </c>
      <c r="G214" t="s">
        <v>3</v>
      </c>
      <c r="H214" t="str">
        <f>VLOOKUP(tblContactoCliente[[#This Row],[id_cliente]],tblClientes[[#All],[id]:[nombre_contacto]],4,0)</f>
        <v>HERNAN ARISTIZABAL</v>
      </c>
    </row>
    <row r="215" spans="1:8" x14ac:dyDescent="0.25">
      <c r="A215">
        <v>214</v>
      </c>
      <c r="B215">
        <v>214</v>
      </c>
      <c r="C215">
        <v>3006138468</v>
      </c>
      <c r="D215" t="s">
        <v>1006</v>
      </c>
      <c r="F215" t="s">
        <v>1007</v>
      </c>
      <c r="G215" t="s">
        <v>1007</v>
      </c>
      <c r="H215" t="str">
        <f>VLOOKUP(tblContactoCliente[[#This Row],[id_cliente]],tblClientes[[#All],[id]:[nombre_contacto]],4,0)</f>
        <v>HERNANDO MORENO</v>
      </c>
    </row>
    <row r="216" spans="1:8" x14ac:dyDescent="0.25">
      <c r="A216">
        <v>215</v>
      </c>
      <c r="B216">
        <v>215</v>
      </c>
      <c r="C216">
        <v>3176810606</v>
      </c>
      <c r="D216" t="s">
        <v>1011</v>
      </c>
      <c r="F216" t="s">
        <v>187</v>
      </c>
      <c r="G216" t="s">
        <v>3</v>
      </c>
      <c r="H216" t="str">
        <f>VLOOKUP(tblContactoCliente[[#This Row],[id_cliente]],tblClientes[[#All],[id]:[nombre_contacto]],4,0)</f>
        <v>HERNANDO TRIVIÑO</v>
      </c>
    </row>
    <row r="217" spans="1:8" x14ac:dyDescent="0.25">
      <c r="A217">
        <v>216</v>
      </c>
      <c r="B217">
        <v>216</v>
      </c>
      <c r="C217">
        <v>3163444526</v>
      </c>
      <c r="D217" t="s">
        <v>1013</v>
      </c>
      <c r="F217" t="s">
        <v>1014</v>
      </c>
      <c r="G217" t="s">
        <v>668</v>
      </c>
      <c r="H217" t="str">
        <f>VLOOKUP(tblContactoCliente[[#This Row],[id_cliente]],tblClientes[[#All],[id]:[nombre_contacto]],4,0)</f>
        <v>HOOVER CARDOZO</v>
      </c>
    </row>
    <row r="218" spans="1:8" x14ac:dyDescent="0.25">
      <c r="A218">
        <v>217</v>
      </c>
      <c r="B218">
        <v>217</v>
      </c>
      <c r="C218">
        <v>3133086326</v>
      </c>
      <c r="D218" t="s">
        <v>1017</v>
      </c>
      <c r="F218" t="s">
        <v>284</v>
      </c>
      <c r="G218" t="s">
        <v>3</v>
      </c>
      <c r="H218" t="str">
        <f>VLOOKUP(tblContactoCliente[[#This Row],[id_cliente]],tblClientes[[#All],[id]:[nombre_contacto]],4,0)</f>
        <v>HORACIO JURADO</v>
      </c>
    </row>
    <row r="219" spans="1:8" x14ac:dyDescent="0.25">
      <c r="A219">
        <v>218</v>
      </c>
      <c r="B219">
        <v>218</v>
      </c>
      <c r="C219" s="15">
        <v>3138263032</v>
      </c>
      <c r="D219" t="s">
        <v>1021</v>
      </c>
      <c r="F219" t="s">
        <v>274</v>
      </c>
      <c r="G219" t="s">
        <v>3</v>
      </c>
      <c r="H219" t="str">
        <f>VLOOKUP(tblContactoCliente[[#This Row],[id_cliente]],tblClientes[[#All],[id]:[nombre_contacto]],4,0)</f>
        <v>HUGO ORDOÑEZ</v>
      </c>
    </row>
    <row r="220" spans="1:8" x14ac:dyDescent="0.25">
      <c r="A220">
        <v>219</v>
      </c>
      <c r="B220">
        <v>219</v>
      </c>
      <c r="C220">
        <v>3017506413</v>
      </c>
      <c r="D220" t="s">
        <v>1023</v>
      </c>
      <c r="F220" t="s">
        <v>1024</v>
      </c>
      <c r="G220" t="s">
        <v>3</v>
      </c>
      <c r="H220" t="str">
        <f>VLOOKUP(tblContactoCliente[[#This Row],[id_cliente]],tblClientes[[#All],[id]:[nombre_contacto]],4,0)</f>
        <v>HUILDER QUIROGA</v>
      </c>
    </row>
    <row r="221" spans="1:8" x14ac:dyDescent="0.25">
      <c r="A221">
        <v>220</v>
      </c>
      <c r="B221">
        <v>220</v>
      </c>
      <c r="C221">
        <v>3102627757</v>
      </c>
      <c r="D221" t="s">
        <v>1027</v>
      </c>
      <c r="F221" t="s">
        <v>1028</v>
      </c>
      <c r="G221" t="s">
        <v>3</v>
      </c>
      <c r="H221" t="str">
        <f>VLOOKUP(tblContactoCliente[[#This Row],[id_cliente]],tblClientes[[#All],[id]:[nombre_contacto]],4,0)</f>
        <v>HUMBERTO BASTIDAS</v>
      </c>
    </row>
    <row r="222" spans="1:8" x14ac:dyDescent="0.25">
      <c r="A222">
        <v>221</v>
      </c>
      <c r="B222">
        <v>221</v>
      </c>
      <c r="C222">
        <v>3123842881</v>
      </c>
      <c r="D222" t="s">
        <v>1030</v>
      </c>
      <c r="F222" t="s">
        <v>1031</v>
      </c>
      <c r="G222" t="s">
        <v>1032</v>
      </c>
      <c r="H222" t="str">
        <f>VLOOKUP(tblContactoCliente[[#This Row],[id_cliente]],tblClientes[[#All],[id]:[nombre_contacto]],4,0)</f>
        <v>IGNACIO MORA</v>
      </c>
    </row>
    <row r="223" spans="1:8" x14ac:dyDescent="0.25">
      <c r="A223">
        <v>222</v>
      </c>
      <c r="B223">
        <v>222</v>
      </c>
      <c r="C223">
        <v>3208625987</v>
      </c>
      <c r="D223" t="s">
        <v>1035</v>
      </c>
      <c r="F223" t="s">
        <v>1036</v>
      </c>
      <c r="G223" t="s">
        <v>3</v>
      </c>
      <c r="H223" t="str">
        <f>VLOOKUP(tblContactoCliente[[#This Row],[id_cliente]],tblClientes[[#All],[id]:[nombre_contacto]],4,0)</f>
        <v>IGOR PATROCINIO VARGAS</v>
      </c>
    </row>
    <row r="224" spans="1:8" x14ac:dyDescent="0.25">
      <c r="A224">
        <v>223</v>
      </c>
      <c r="B224">
        <v>223</v>
      </c>
      <c r="C224">
        <v>3202188381</v>
      </c>
      <c r="D224" t="s">
        <v>1038</v>
      </c>
      <c r="F224" t="s">
        <v>703</v>
      </c>
      <c r="G224" t="s">
        <v>3</v>
      </c>
      <c r="H224" t="str">
        <f>VLOOKUP(tblContactoCliente[[#This Row],[id_cliente]],tblClientes[[#All],[id]:[nombre_contacto]],4,0)</f>
        <v>INAEL SALINAS</v>
      </c>
    </row>
    <row r="225" spans="1:8" x14ac:dyDescent="0.25">
      <c r="A225">
        <v>224</v>
      </c>
      <c r="B225">
        <v>224</v>
      </c>
      <c r="C225">
        <v>3124829128</v>
      </c>
      <c r="D225" t="s">
        <v>1040</v>
      </c>
      <c r="F225" t="s">
        <v>496</v>
      </c>
      <c r="G225" t="s">
        <v>668</v>
      </c>
      <c r="H225" t="str">
        <f>VLOOKUP(tblContactoCliente[[#This Row],[id_cliente]],tblClientes[[#All],[id]:[nombre_contacto]],4,0)</f>
        <v>IRMA PERDOMO</v>
      </c>
    </row>
    <row r="226" spans="1:8" x14ac:dyDescent="0.25">
      <c r="A226">
        <v>225</v>
      </c>
      <c r="B226">
        <v>225</v>
      </c>
      <c r="C226">
        <v>3123886191</v>
      </c>
      <c r="D226" t="s">
        <v>1044</v>
      </c>
      <c r="F226" t="s">
        <v>1045</v>
      </c>
      <c r="G226" t="s">
        <v>3</v>
      </c>
      <c r="H226" t="str">
        <f>VLOOKUP(tblContactoCliente[[#This Row],[id_cliente]],tblClientes[[#All],[id]:[nombre_contacto]],4,0)</f>
        <v>ISABELL TABERA</v>
      </c>
    </row>
    <row r="227" spans="1:8" x14ac:dyDescent="0.25">
      <c r="A227">
        <v>226</v>
      </c>
      <c r="B227">
        <v>226</v>
      </c>
      <c r="C227">
        <v>3144275331</v>
      </c>
      <c r="D227" t="s">
        <v>1050</v>
      </c>
      <c r="F227" t="s">
        <v>146</v>
      </c>
      <c r="G227" t="s">
        <v>467</v>
      </c>
      <c r="H227" t="str">
        <f>VLOOKUP(tblContactoCliente[[#This Row],[id_cliente]],tblClientes[[#All],[id]:[nombre_contacto]],4,0)</f>
        <v>ISAIAS LAISECA PAYAN</v>
      </c>
    </row>
    <row r="228" spans="1:8" x14ac:dyDescent="0.25">
      <c r="A228">
        <v>227</v>
      </c>
      <c r="B228">
        <v>227</v>
      </c>
      <c r="C228">
        <v>3202331524</v>
      </c>
      <c r="D228" t="s">
        <v>1052</v>
      </c>
      <c r="F228" t="s">
        <v>1053</v>
      </c>
      <c r="G228" t="s">
        <v>1054</v>
      </c>
      <c r="H228" t="str">
        <f>VLOOKUP(tblContactoCliente[[#This Row],[id_cliente]],tblClientes[[#All],[id]:[nombre_contacto]],4,0)</f>
        <v>ISAMAEL LARA CESPEDES</v>
      </c>
    </row>
    <row r="229" spans="1:8" x14ac:dyDescent="0.25">
      <c r="A229">
        <v>228</v>
      </c>
      <c r="B229">
        <v>228</v>
      </c>
      <c r="C229">
        <v>3115976355</v>
      </c>
      <c r="D229" t="s">
        <v>1057</v>
      </c>
      <c r="F229" t="s">
        <v>1058</v>
      </c>
      <c r="G229" t="s">
        <v>3</v>
      </c>
      <c r="H229" t="str">
        <f>VLOOKUP(tblContactoCliente[[#This Row],[id_cliente]],tblClientes[[#All],[id]:[nombre_contacto]],4,0)</f>
        <v>ISAURO RODRIGUEZ</v>
      </c>
    </row>
    <row r="230" spans="1:8" x14ac:dyDescent="0.25">
      <c r="A230">
        <v>229</v>
      </c>
      <c r="B230">
        <v>229</v>
      </c>
      <c r="C230" s="15">
        <v>3174294040</v>
      </c>
      <c r="D230" t="s">
        <v>1062</v>
      </c>
      <c r="F230" t="s">
        <v>995</v>
      </c>
      <c r="G230" t="s">
        <v>3</v>
      </c>
      <c r="H230" t="str">
        <f>VLOOKUP(tblContactoCliente[[#This Row],[id_cliente]],tblClientes[[#All],[id]:[nombre_contacto]],4,0)</f>
        <v>IVAN RUIZ</v>
      </c>
    </row>
    <row r="231" spans="1:8" x14ac:dyDescent="0.25">
      <c r="A231">
        <v>230</v>
      </c>
      <c r="B231">
        <v>230</v>
      </c>
      <c r="C231">
        <v>3102008490</v>
      </c>
      <c r="D231" t="s">
        <v>1064</v>
      </c>
      <c r="F231" t="s">
        <v>284</v>
      </c>
      <c r="G231" t="s">
        <v>3</v>
      </c>
      <c r="H231" t="str">
        <f>VLOOKUP(tblContactoCliente[[#This Row],[id_cliente]],tblClientes[[#All],[id]:[nombre_contacto]],4,0)</f>
        <v>JACINTO RAMIREZ</v>
      </c>
    </row>
    <row r="232" spans="1:8" x14ac:dyDescent="0.25">
      <c r="A232">
        <v>231</v>
      </c>
      <c r="B232">
        <v>231</v>
      </c>
      <c r="C232">
        <v>3152755284</v>
      </c>
      <c r="D232" t="s">
        <v>1068</v>
      </c>
      <c r="F232" t="s">
        <v>1007</v>
      </c>
      <c r="G232" t="s">
        <v>1007</v>
      </c>
      <c r="H232" t="str">
        <f>VLOOKUP(tblContactoCliente[[#This Row],[id_cliente]],tblClientes[[#All],[id]:[nombre_contacto]],4,0)</f>
        <v>JACQUELIN SALAMANCA</v>
      </c>
    </row>
    <row r="233" spans="1:8" x14ac:dyDescent="0.25">
      <c r="A233">
        <v>232</v>
      </c>
      <c r="B233">
        <v>232</v>
      </c>
      <c r="C233">
        <v>3147943753</v>
      </c>
      <c r="D233" t="s">
        <v>1071</v>
      </c>
      <c r="F233" t="s">
        <v>1072</v>
      </c>
      <c r="G233" t="s">
        <v>1073</v>
      </c>
      <c r="H233" t="str">
        <f>VLOOKUP(tblContactoCliente[[#This Row],[id_cliente]],tblClientes[[#All],[id]:[nombre_contacto]],4,0)</f>
        <v>JAIME DAZA</v>
      </c>
    </row>
    <row r="234" spans="1:8" x14ac:dyDescent="0.25">
      <c r="A234">
        <v>233</v>
      </c>
      <c r="B234">
        <v>233</v>
      </c>
      <c r="C234">
        <v>3133675180</v>
      </c>
      <c r="D234" t="s">
        <v>1076</v>
      </c>
      <c r="F234" t="s">
        <v>195</v>
      </c>
      <c r="G234" t="s">
        <v>3</v>
      </c>
      <c r="H234" t="str">
        <f>VLOOKUP(tblContactoCliente[[#This Row],[id_cliente]],tblClientes[[#All],[id]:[nombre_contacto]],4,0)</f>
        <v>JAIR GONZALEZ</v>
      </c>
    </row>
    <row r="235" spans="1:8" x14ac:dyDescent="0.25">
      <c r="A235">
        <v>234</v>
      </c>
      <c r="B235">
        <v>234</v>
      </c>
      <c r="C235">
        <v>3172359858</v>
      </c>
      <c r="D235" t="s">
        <v>1078</v>
      </c>
      <c r="F235" t="s">
        <v>1079</v>
      </c>
      <c r="G235" t="s">
        <v>3</v>
      </c>
      <c r="H235" t="str">
        <f>VLOOKUP(tblContactoCliente[[#This Row],[id_cliente]],tblClientes[[#All],[id]:[nombre_contacto]],4,0)</f>
        <v>JAIR ORLEY PEDRAZA CARDENAS</v>
      </c>
    </row>
    <row r="236" spans="1:8" x14ac:dyDescent="0.25">
      <c r="A236">
        <v>235</v>
      </c>
      <c r="B236">
        <v>235</v>
      </c>
      <c r="C236">
        <v>3107849793</v>
      </c>
      <c r="D236" t="s">
        <v>1084</v>
      </c>
      <c r="F236" t="s">
        <v>467</v>
      </c>
      <c r="G236" t="s">
        <v>467</v>
      </c>
      <c r="H236" t="str">
        <f>VLOOKUP(tblContactoCliente[[#This Row],[id_cliente]],tblClientes[[#All],[id]:[nombre_contacto]],4,0)</f>
        <v>JAIR WALTERO</v>
      </c>
    </row>
    <row r="237" spans="1:8" x14ac:dyDescent="0.25">
      <c r="A237">
        <v>236</v>
      </c>
      <c r="B237">
        <v>236</v>
      </c>
      <c r="C237">
        <v>3107593306</v>
      </c>
      <c r="D237" t="s">
        <v>1086</v>
      </c>
      <c r="F237" t="s">
        <v>1087</v>
      </c>
      <c r="G237" t="s">
        <v>3</v>
      </c>
      <c r="H237" t="str">
        <f>VLOOKUP(tblContactoCliente[[#This Row],[id_cliente]],tblClientes[[#All],[id]:[nombre_contacto]],4,0)</f>
        <v>JAIRO AREVALO</v>
      </c>
    </row>
    <row r="238" spans="1:8" x14ac:dyDescent="0.25">
      <c r="A238">
        <v>237</v>
      </c>
      <c r="B238">
        <v>237</v>
      </c>
      <c r="C238" s="15">
        <v>3115381202</v>
      </c>
      <c r="D238" t="s">
        <v>1091</v>
      </c>
      <c r="F238" t="s">
        <v>1092</v>
      </c>
      <c r="G238" t="s">
        <v>1093</v>
      </c>
      <c r="H238" t="str">
        <f>VLOOKUP(tblContactoCliente[[#This Row],[id_cliente]],tblClientes[[#All],[id]:[nombre_contacto]],4,0)</f>
        <v>JAIRO MARTINEZ</v>
      </c>
    </row>
    <row r="239" spans="1:8" x14ac:dyDescent="0.25">
      <c r="A239">
        <v>238</v>
      </c>
      <c r="B239">
        <v>238</v>
      </c>
      <c r="C239">
        <v>3508967181</v>
      </c>
      <c r="D239" t="s">
        <v>1097</v>
      </c>
      <c r="F239" t="s">
        <v>1098</v>
      </c>
      <c r="G239" t="s">
        <v>3</v>
      </c>
      <c r="H239" t="str">
        <f>VLOOKUP(tblContactoCliente[[#This Row],[id_cliente]],tblClientes[[#All],[id]:[nombre_contacto]],4,0)</f>
        <v>JAMID MUÑOZ</v>
      </c>
    </row>
    <row r="240" spans="1:8" x14ac:dyDescent="0.25">
      <c r="A240">
        <v>239</v>
      </c>
      <c r="B240">
        <v>239</v>
      </c>
      <c r="C240">
        <v>3203400489</v>
      </c>
      <c r="D240" t="s">
        <v>1100</v>
      </c>
      <c r="F240" t="s">
        <v>1101</v>
      </c>
      <c r="G240" t="s">
        <v>3</v>
      </c>
      <c r="H240" t="str">
        <f>VLOOKUP(tblContactoCliente[[#This Row],[id_cliente]],tblClientes[[#All],[id]:[nombre_contacto]],4,0)</f>
        <v>JANETH MANJARRES</v>
      </c>
    </row>
    <row r="241" spans="1:8" x14ac:dyDescent="0.25">
      <c r="A241">
        <v>240</v>
      </c>
      <c r="B241">
        <v>240</v>
      </c>
      <c r="C241">
        <v>3212357081</v>
      </c>
      <c r="D241" t="s">
        <v>1105</v>
      </c>
      <c r="F241" t="s">
        <v>1106</v>
      </c>
      <c r="G241" t="s">
        <v>3</v>
      </c>
      <c r="H241" t="str">
        <f>VLOOKUP(tblContactoCliente[[#This Row],[id_cliente]],tblClientes[[#All],[id]:[nombre_contacto]],4,0)</f>
        <v>JAVIER GOLONDRINO</v>
      </c>
    </row>
    <row r="242" spans="1:8" x14ac:dyDescent="0.25">
      <c r="A242">
        <v>241</v>
      </c>
      <c r="B242">
        <v>241</v>
      </c>
      <c r="C242">
        <v>3014474105</v>
      </c>
      <c r="D242" t="s">
        <v>1108</v>
      </c>
      <c r="F242" t="s">
        <v>1109</v>
      </c>
      <c r="G242" t="s">
        <v>467</v>
      </c>
      <c r="H242" t="str">
        <f>VLOOKUP(tblContactoCliente[[#This Row],[id_cliente]],tblClientes[[#All],[id]:[nombre_contacto]],4,0)</f>
        <v>JAVIER IMBACHI</v>
      </c>
    </row>
    <row r="243" spans="1:8" x14ac:dyDescent="0.25">
      <c r="A243">
        <v>242</v>
      </c>
      <c r="B243">
        <v>242</v>
      </c>
      <c r="C243">
        <v>3112101907</v>
      </c>
      <c r="D243" t="s">
        <v>1111</v>
      </c>
      <c r="F243" t="s">
        <v>1112</v>
      </c>
      <c r="G243" t="s">
        <v>3</v>
      </c>
      <c r="H243" t="str">
        <f>VLOOKUP(tblContactoCliente[[#This Row],[id_cliente]],tblClientes[[#All],[id]:[nombre_contacto]],4,0)</f>
        <v>JAVIER ZABALA</v>
      </c>
    </row>
    <row r="244" spans="1:8" x14ac:dyDescent="0.25">
      <c r="A244">
        <v>243</v>
      </c>
      <c r="B244">
        <v>243</v>
      </c>
      <c r="C244">
        <v>3162200021</v>
      </c>
      <c r="D244" t="s">
        <v>1116</v>
      </c>
      <c r="F244" t="s">
        <v>187</v>
      </c>
      <c r="G244" t="s">
        <v>3</v>
      </c>
      <c r="H244" t="str">
        <f>VLOOKUP(tblContactoCliente[[#This Row],[id_cliente]],tblClientes[[#All],[id]:[nombre_contacto]],4,0)</f>
        <v>JAVIER ZULUETA</v>
      </c>
    </row>
    <row r="245" spans="1:8" x14ac:dyDescent="0.25">
      <c r="A245">
        <v>244</v>
      </c>
      <c r="B245">
        <v>244</v>
      </c>
      <c r="C245" s="15">
        <v>3114907165</v>
      </c>
      <c r="D245" t="s">
        <v>1120</v>
      </c>
      <c r="F245" t="s">
        <v>187</v>
      </c>
      <c r="G245" t="s">
        <v>3</v>
      </c>
      <c r="H245" t="str">
        <f>VLOOKUP(tblContactoCliente[[#This Row],[id_cliente]],tblClientes[[#All],[id]:[nombre_contacto]],4,0)</f>
        <v>JHON CASTAÑEDA</v>
      </c>
    </row>
    <row r="246" spans="1:8" x14ac:dyDescent="0.25">
      <c r="A246">
        <v>245</v>
      </c>
      <c r="B246">
        <v>245</v>
      </c>
      <c r="C246">
        <v>3228158938</v>
      </c>
      <c r="D246" t="s">
        <v>1123</v>
      </c>
      <c r="F246" t="s">
        <v>187</v>
      </c>
      <c r="G246" t="s">
        <v>3</v>
      </c>
      <c r="H246" t="str">
        <f>VLOOKUP(tblContactoCliente[[#This Row],[id_cliente]],tblClientes[[#All],[id]:[nombre_contacto]],4,0)</f>
        <v>JHON CHARLES CASTAÑEDA BALVUENA</v>
      </c>
    </row>
    <row r="247" spans="1:8" x14ac:dyDescent="0.25">
      <c r="A247">
        <v>246</v>
      </c>
      <c r="B247">
        <v>246</v>
      </c>
      <c r="C247">
        <v>3124112293</v>
      </c>
      <c r="D247" t="s">
        <v>1125</v>
      </c>
      <c r="F247" t="s">
        <v>1126</v>
      </c>
      <c r="G247" t="s">
        <v>1032</v>
      </c>
      <c r="H247" t="str">
        <f>VLOOKUP(tblContactoCliente[[#This Row],[id_cliente]],tblClientes[[#All],[id]:[nombre_contacto]],4,0)</f>
        <v>JHON DIAZ</v>
      </c>
    </row>
    <row r="248" spans="1:8" x14ac:dyDescent="0.25">
      <c r="A248">
        <v>247</v>
      </c>
      <c r="B248">
        <v>247</v>
      </c>
      <c r="C248">
        <v>3153405828</v>
      </c>
      <c r="D248" t="s">
        <v>1130</v>
      </c>
      <c r="F248" t="s">
        <v>1131</v>
      </c>
      <c r="G248" t="s">
        <v>3</v>
      </c>
      <c r="H248" t="str">
        <f>VLOOKUP(tblContactoCliente[[#This Row],[id_cliente]],tblClientes[[#All],[id]:[nombre_contacto]],4,0)</f>
        <v>JHON FREDY AGUILLON</v>
      </c>
    </row>
    <row r="249" spans="1:8" x14ac:dyDescent="0.25">
      <c r="A249">
        <v>248</v>
      </c>
      <c r="B249">
        <v>248</v>
      </c>
      <c r="C249">
        <v>3125951985</v>
      </c>
      <c r="D249" t="s">
        <v>1136</v>
      </c>
      <c r="F249" t="s">
        <v>324</v>
      </c>
      <c r="G249" t="s">
        <v>3</v>
      </c>
      <c r="H249" t="str">
        <f>VLOOKUP(tblContactoCliente[[#This Row],[id_cliente]],tblClientes[[#All],[id]:[nombre_contacto]],4,0)</f>
        <v>JHON FREDY OCAMPO</v>
      </c>
    </row>
    <row r="250" spans="1:8" x14ac:dyDescent="0.25">
      <c r="A250">
        <v>249</v>
      </c>
      <c r="B250">
        <v>249</v>
      </c>
      <c r="C250">
        <v>3126311587</v>
      </c>
      <c r="D250" t="s">
        <v>204</v>
      </c>
      <c r="F250" t="s">
        <v>205</v>
      </c>
      <c r="G250" t="s">
        <v>7</v>
      </c>
      <c r="H250" t="str">
        <f>VLOOKUP(tblContactoCliente[[#This Row],[id_cliente]],tblClientes[[#All],[id]:[nombre_contacto]],4,0)</f>
        <v>JHON GARCIA</v>
      </c>
    </row>
    <row r="251" spans="1:8" x14ac:dyDescent="0.25">
      <c r="A251">
        <v>250</v>
      </c>
      <c r="B251">
        <v>250</v>
      </c>
      <c r="C251">
        <v>3105593371</v>
      </c>
      <c r="D251" t="s">
        <v>1139</v>
      </c>
      <c r="F251" t="s">
        <v>187</v>
      </c>
      <c r="G251" t="s">
        <v>3</v>
      </c>
      <c r="H251" t="str">
        <f>VLOOKUP(tblContactoCliente[[#This Row],[id_cliente]],tblClientes[[#All],[id]:[nombre_contacto]],4,0)</f>
        <v>JHON GOMEZ</v>
      </c>
    </row>
    <row r="252" spans="1:8" x14ac:dyDescent="0.25">
      <c r="A252">
        <v>251</v>
      </c>
      <c r="B252">
        <v>251</v>
      </c>
      <c r="C252">
        <v>3108161043</v>
      </c>
      <c r="D252" t="s">
        <v>412</v>
      </c>
      <c r="F252" t="s">
        <v>413</v>
      </c>
      <c r="G252" t="s">
        <v>3</v>
      </c>
      <c r="H252" t="str">
        <f>VLOOKUP(tblContactoCliente[[#This Row],[id_cliente]],tblClientes[[#All],[id]:[nombre_contacto]],4,0)</f>
        <v>JHON GUERRERO</v>
      </c>
    </row>
    <row r="253" spans="1:8" x14ac:dyDescent="0.25">
      <c r="A253">
        <v>252</v>
      </c>
      <c r="B253">
        <v>252</v>
      </c>
      <c r="C253">
        <v>3132867156</v>
      </c>
      <c r="D253" t="s">
        <v>1145</v>
      </c>
      <c r="F253" t="s">
        <v>1146</v>
      </c>
      <c r="G253" t="s">
        <v>3</v>
      </c>
      <c r="H253" t="str">
        <f>VLOOKUP(tblContactoCliente[[#This Row],[id_cliente]],tblClientes[[#All],[id]:[nombre_contacto]],4,0)</f>
        <v>JHON HENRY DIAZ VELASQUEZ</v>
      </c>
    </row>
    <row r="254" spans="1:8" x14ac:dyDescent="0.25">
      <c r="A254">
        <v>253</v>
      </c>
      <c r="B254">
        <v>253</v>
      </c>
      <c r="C254">
        <v>3102560510</v>
      </c>
      <c r="D254" t="s">
        <v>907</v>
      </c>
      <c r="F254" t="s">
        <v>908</v>
      </c>
      <c r="G254" t="s">
        <v>3</v>
      </c>
      <c r="H254" t="str">
        <f>VLOOKUP(tblContactoCliente[[#This Row],[id_cliente]],tblClientes[[#All],[id]:[nombre_contacto]],4,0)</f>
        <v>JHON HOYOS</v>
      </c>
    </row>
    <row r="255" spans="1:8" x14ac:dyDescent="0.25">
      <c r="A255">
        <v>254</v>
      </c>
      <c r="B255">
        <v>254</v>
      </c>
      <c r="C255">
        <v>3213223825</v>
      </c>
      <c r="D255" t="s">
        <v>1149</v>
      </c>
      <c r="F255" t="s">
        <v>187</v>
      </c>
      <c r="G255" t="s">
        <v>3</v>
      </c>
      <c r="H255" t="str">
        <f>VLOOKUP(tblContactoCliente[[#This Row],[id_cliente]],tblClientes[[#All],[id]:[nombre_contacto]],4,0)</f>
        <v>JHON SUAREZ</v>
      </c>
    </row>
    <row r="256" spans="1:8" x14ac:dyDescent="0.25">
      <c r="A256">
        <v>255</v>
      </c>
      <c r="B256">
        <v>255</v>
      </c>
      <c r="C256">
        <v>3105727717</v>
      </c>
      <c r="D256" t="s">
        <v>1153</v>
      </c>
      <c r="F256" t="s">
        <v>1154</v>
      </c>
      <c r="G256" t="s">
        <v>3</v>
      </c>
      <c r="H256" t="str">
        <f>VLOOKUP(tblContactoCliente[[#This Row],[id_cliente]],tblClientes[[#All],[id]:[nombre_contacto]],4,0)</f>
        <v>JIAMID HERNANDEZ LEON</v>
      </c>
    </row>
    <row r="257" spans="1:8" x14ac:dyDescent="0.25">
      <c r="A257">
        <v>256</v>
      </c>
      <c r="B257">
        <v>256</v>
      </c>
      <c r="C257">
        <v>3118272467</v>
      </c>
      <c r="D257" t="s">
        <v>1156</v>
      </c>
      <c r="F257" t="s">
        <v>217</v>
      </c>
      <c r="G257" t="s">
        <v>1157</v>
      </c>
      <c r="H257" t="str">
        <f>VLOOKUP(tblContactoCliente[[#This Row],[id_cliente]],tblClientes[[#All],[id]:[nombre_contacto]],4,0)</f>
        <v>LIBNI  DORIA JIMENEZ</v>
      </c>
    </row>
    <row r="258" spans="1:8" x14ac:dyDescent="0.25">
      <c r="A258">
        <v>257</v>
      </c>
      <c r="B258">
        <v>257</v>
      </c>
      <c r="C258">
        <v>3143253201</v>
      </c>
      <c r="D258" t="s">
        <v>1160</v>
      </c>
      <c r="F258" t="s">
        <v>187</v>
      </c>
      <c r="G258" t="s">
        <v>3</v>
      </c>
      <c r="H258" t="str">
        <f>VLOOKUP(tblContactoCliente[[#This Row],[id_cliente]],tblClientes[[#All],[id]:[nombre_contacto]],4,0)</f>
        <v>JIMY VEGA</v>
      </c>
    </row>
    <row r="259" spans="1:8" x14ac:dyDescent="0.25">
      <c r="A259">
        <v>258</v>
      </c>
      <c r="B259">
        <v>258</v>
      </c>
      <c r="C259">
        <v>3153314857</v>
      </c>
      <c r="D259" t="s">
        <v>1162</v>
      </c>
      <c r="F259" t="s">
        <v>1163</v>
      </c>
      <c r="G259" t="s">
        <v>3</v>
      </c>
      <c r="H259" t="str">
        <f>VLOOKUP(tblContactoCliente[[#This Row],[id_cliente]],tblClientes[[#All],[id]:[nombre_contacto]],4,0)</f>
        <v>JOHANA</v>
      </c>
    </row>
    <row r="260" spans="1:8" x14ac:dyDescent="0.25">
      <c r="A260">
        <v>259</v>
      </c>
      <c r="B260">
        <v>259</v>
      </c>
      <c r="C260">
        <v>3207176973</v>
      </c>
      <c r="D260" t="s">
        <v>1166</v>
      </c>
      <c r="F260" t="s">
        <v>187</v>
      </c>
      <c r="G260" t="s">
        <v>3</v>
      </c>
      <c r="H260" t="str">
        <f>VLOOKUP(tblContactoCliente[[#This Row],[id_cliente]],tblClientes[[#All],[id]:[nombre_contacto]],4,0)</f>
        <v>JOHANA ESPITIA</v>
      </c>
    </row>
    <row r="261" spans="1:8" x14ac:dyDescent="0.25">
      <c r="A261">
        <v>260</v>
      </c>
      <c r="B261">
        <v>260</v>
      </c>
      <c r="C261">
        <v>3136444903</v>
      </c>
      <c r="D261" t="s">
        <v>1170</v>
      </c>
      <c r="F261" t="s">
        <v>217</v>
      </c>
      <c r="G261" t="s">
        <v>7</v>
      </c>
      <c r="H261" t="str">
        <f>VLOOKUP(tblContactoCliente[[#This Row],[id_cliente]],tblClientes[[#All],[id]:[nombre_contacto]],4,0)</f>
        <v>HARVID LARGACHA</v>
      </c>
    </row>
    <row r="262" spans="1:8" x14ac:dyDescent="0.25">
      <c r="A262">
        <v>261</v>
      </c>
      <c r="B262">
        <v>261</v>
      </c>
      <c r="C262">
        <v>312777365</v>
      </c>
      <c r="D262" t="s">
        <v>1173</v>
      </c>
      <c r="F262" t="s">
        <v>1109</v>
      </c>
      <c r="G262" t="s">
        <v>3</v>
      </c>
      <c r="H262" t="str">
        <f>VLOOKUP(tblContactoCliente[[#This Row],[id_cliente]],tblClientes[[#All],[id]:[nombre_contacto]],4,0)</f>
        <v>JONATHAN CASTRO</v>
      </c>
    </row>
    <row r="263" spans="1:8" x14ac:dyDescent="0.25">
      <c r="A263">
        <v>262</v>
      </c>
      <c r="B263">
        <v>262</v>
      </c>
      <c r="C263">
        <v>3166963971</v>
      </c>
      <c r="D263" t="s">
        <v>1177</v>
      </c>
      <c r="F263" t="s">
        <v>1178</v>
      </c>
      <c r="G263" t="s">
        <v>3</v>
      </c>
      <c r="H263" t="str">
        <f>VLOOKUP(tblContactoCliente[[#This Row],[id_cliente]],tblClientes[[#All],[id]:[nombre_contacto]],4,0)</f>
        <v>JORGE BEDOYA</v>
      </c>
    </row>
    <row r="264" spans="1:8" x14ac:dyDescent="0.25">
      <c r="A264">
        <v>263</v>
      </c>
      <c r="B264">
        <v>263</v>
      </c>
      <c r="C264">
        <v>3102332306</v>
      </c>
      <c r="D264" t="s">
        <v>1180</v>
      </c>
      <c r="F264" t="s">
        <v>1181</v>
      </c>
      <c r="G264" t="s">
        <v>3</v>
      </c>
      <c r="H264" t="str">
        <f>VLOOKUP(tblContactoCliente[[#This Row],[id_cliente]],tblClientes[[#All],[id]:[nombre_contacto]],4,0)</f>
        <v>JORGE FANDIÑO</v>
      </c>
    </row>
    <row r="265" spans="1:8" x14ac:dyDescent="0.25">
      <c r="A265">
        <v>264</v>
      </c>
      <c r="B265">
        <v>264</v>
      </c>
      <c r="C265">
        <v>3117807999</v>
      </c>
      <c r="D265" t="s">
        <v>1186</v>
      </c>
      <c r="F265" t="s">
        <v>1187</v>
      </c>
      <c r="G265" t="s">
        <v>1188</v>
      </c>
      <c r="H265" t="str">
        <f>VLOOKUP(tblContactoCliente[[#This Row],[id_cliente]],tblClientes[[#All],[id]:[nombre_contacto]],4,0)</f>
        <v>JORGE PARRA</v>
      </c>
    </row>
    <row r="266" spans="1:8" x14ac:dyDescent="0.25">
      <c r="A266">
        <v>265</v>
      </c>
      <c r="B266">
        <v>265</v>
      </c>
      <c r="C266">
        <v>3106960273</v>
      </c>
      <c r="D266" t="s">
        <v>1190</v>
      </c>
      <c r="F266" t="s">
        <v>1191</v>
      </c>
      <c r="G266" t="s">
        <v>3</v>
      </c>
      <c r="H266" t="str">
        <f>VLOOKUP(tblContactoCliente[[#This Row],[id_cliente]],tblClientes[[#All],[id]:[nombre_contacto]],4,0)</f>
        <v>JOSE ABRIL</v>
      </c>
    </row>
    <row r="267" spans="1:8" x14ac:dyDescent="0.25">
      <c r="A267">
        <v>266</v>
      </c>
      <c r="B267">
        <v>266</v>
      </c>
      <c r="C267">
        <v>3142669915</v>
      </c>
      <c r="D267" t="s">
        <v>1195</v>
      </c>
      <c r="F267" t="s">
        <v>1196</v>
      </c>
      <c r="G267" t="s">
        <v>3</v>
      </c>
      <c r="H267" t="str">
        <f>VLOOKUP(tblContactoCliente[[#This Row],[id_cliente]],tblClientes[[#All],[id]:[nombre_contacto]],4,0)</f>
        <v>JOSE AGUSTIN ZAPATA</v>
      </c>
    </row>
    <row r="268" spans="1:8" x14ac:dyDescent="0.25">
      <c r="A268">
        <v>267</v>
      </c>
      <c r="B268">
        <v>267</v>
      </c>
      <c r="C268">
        <v>3125866120</v>
      </c>
      <c r="D268" t="s">
        <v>1198</v>
      </c>
      <c r="F268" t="s">
        <v>1199</v>
      </c>
      <c r="G268" t="s">
        <v>3</v>
      </c>
      <c r="H268" t="str">
        <f>VLOOKUP(tblContactoCliente[[#This Row],[id_cliente]],tblClientes[[#All],[id]:[nombre_contacto]],4,0)</f>
        <v>JOSE BENAL</v>
      </c>
    </row>
    <row r="269" spans="1:8" x14ac:dyDescent="0.25">
      <c r="A269">
        <v>268</v>
      </c>
      <c r="B269">
        <v>268</v>
      </c>
      <c r="C269">
        <v>3144666309</v>
      </c>
      <c r="D269" t="s">
        <v>1201</v>
      </c>
      <c r="F269" t="s">
        <v>217</v>
      </c>
      <c r="G269" t="s">
        <v>3</v>
      </c>
      <c r="H269" t="str">
        <f>VLOOKUP(tblContactoCliente[[#This Row],[id_cliente]],tblClientes[[#All],[id]:[nombre_contacto]],4,0)</f>
        <v>JOSE CAICEDO</v>
      </c>
    </row>
    <row r="270" spans="1:8" x14ac:dyDescent="0.25">
      <c r="A270">
        <v>269</v>
      </c>
      <c r="B270">
        <v>269</v>
      </c>
      <c r="C270">
        <v>3118719600</v>
      </c>
      <c r="D270" t="s">
        <v>1204</v>
      </c>
      <c r="F270" t="s">
        <v>1205</v>
      </c>
      <c r="G270" t="s">
        <v>3</v>
      </c>
      <c r="H270" t="str">
        <f>VLOOKUP(tblContactoCliente[[#This Row],[id_cliente]],tblClientes[[#All],[id]:[nombre_contacto]],4,0)</f>
        <v>JOSE FERNANDO VELANDIA</v>
      </c>
    </row>
    <row r="271" spans="1:8" x14ac:dyDescent="0.25">
      <c r="A271">
        <v>270</v>
      </c>
      <c r="B271">
        <v>270</v>
      </c>
      <c r="C271">
        <v>3112492500</v>
      </c>
      <c r="D271" t="s">
        <v>1208</v>
      </c>
      <c r="F271" t="s">
        <v>1209</v>
      </c>
      <c r="G271" t="s">
        <v>3</v>
      </c>
      <c r="H271" t="str">
        <f>VLOOKUP(tblContactoCliente[[#This Row],[id_cliente]],tblClientes[[#All],[id]:[nombre_contacto]],4,0)</f>
        <v>JOSE FORERO</v>
      </c>
    </row>
    <row r="272" spans="1:8" x14ac:dyDescent="0.25">
      <c r="A272">
        <v>271</v>
      </c>
      <c r="B272">
        <v>271</v>
      </c>
      <c r="C272" s="15">
        <v>3108163868</v>
      </c>
      <c r="D272" t="s">
        <v>1211</v>
      </c>
      <c r="F272" t="s">
        <v>1101</v>
      </c>
      <c r="G272" t="s">
        <v>3</v>
      </c>
      <c r="H272" t="str">
        <f>VLOOKUP(tblContactoCliente[[#This Row],[id_cliente]],tblClientes[[#All],[id]:[nombre_contacto]],4,0)</f>
        <v>JOSE GENIR MARTINEZ CASTRO</v>
      </c>
    </row>
    <row r="273" spans="1:8" x14ac:dyDescent="0.25">
      <c r="A273">
        <v>272</v>
      </c>
      <c r="B273">
        <v>272</v>
      </c>
      <c r="C273">
        <v>8072595</v>
      </c>
      <c r="D273" t="s">
        <v>1215</v>
      </c>
      <c r="F273" t="s">
        <v>1079</v>
      </c>
      <c r="G273" t="s">
        <v>3</v>
      </c>
      <c r="H273" t="str">
        <f>VLOOKUP(tblContactoCliente[[#This Row],[id_cliente]],tblClientes[[#All],[id]:[nombre_contacto]],4,0)</f>
        <v>JOSE GREEIFF</v>
      </c>
    </row>
    <row r="274" spans="1:8" x14ac:dyDescent="0.25">
      <c r="A274">
        <v>273</v>
      </c>
      <c r="B274">
        <v>273</v>
      </c>
      <c r="C274">
        <v>3124688075</v>
      </c>
      <c r="D274" t="s">
        <v>1220</v>
      </c>
      <c r="F274" t="s">
        <v>1221</v>
      </c>
      <c r="G274" t="s">
        <v>3</v>
      </c>
      <c r="H274" t="str">
        <f>VLOOKUP(tblContactoCliente[[#This Row],[id_cliente]],tblClientes[[#All],[id]:[nombre_contacto]],4,0)</f>
        <v>JOSE HERNANDEZ</v>
      </c>
    </row>
    <row r="275" spans="1:8" x14ac:dyDescent="0.25">
      <c r="A275">
        <v>274</v>
      </c>
      <c r="B275">
        <v>274</v>
      </c>
      <c r="C275">
        <v>3106263018</v>
      </c>
      <c r="D275" t="s">
        <v>1223</v>
      </c>
      <c r="F275" t="s">
        <v>410</v>
      </c>
      <c r="G275" t="s">
        <v>3</v>
      </c>
      <c r="H275" t="str">
        <f>VLOOKUP(tblContactoCliente[[#This Row],[id_cliente]],tblClientes[[#All],[id]:[nombre_contacto]],4,0)</f>
        <v>JOSE LOPEZ</v>
      </c>
    </row>
    <row r="276" spans="1:8" x14ac:dyDescent="0.25">
      <c r="A276">
        <v>275</v>
      </c>
      <c r="B276">
        <v>275</v>
      </c>
      <c r="C276">
        <v>3115814773</v>
      </c>
      <c r="D276" t="s">
        <v>1226</v>
      </c>
      <c r="F276" t="s">
        <v>1227</v>
      </c>
      <c r="G276" t="s">
        <v>1054</v>
      </c>
      <c r="H276" t="str">
        <f>VLOOKUP(tblContactoCliente[[#This Row],[id_cliente]],tblClientes[[#All],[id]:[nombre_contacto]],4,0)</f>
        <v>JOSE LOZANO</v>
      </c>
    </row>
    <row r="277" spans="1:8" x14ac:dyDescent="0.25">
      <c r="A277">
        <v>276</v>
      </c>
      <c r="B277">
        <v>276</v>
      </c>
      <c r="C277">
        <v>3167417490</v>
      </c>
      <c r="D277" t="s">
        <v>1229</v>
      </c>
      <c r="F277" t="s">
        <v>467</v>
      </c>
      <c r="G277" t="s">
        <v>467</v>
      </c>
      <c r="H277" t="str">
        <f>VLOOKUP(tblContactoCliente[[#This Row],[id_cliente]],tblClientes[[#All],[id]:[nombre_contacto]],4,0)</f>
        <v>JOSE MOSCOSO</v>
      </c>
    </row>
    <row r="278" spans="1:8" x14ac:dyDescent="0.25">
      <c r="A278">
        <v>277</v>
      </c>
      <c r="B278">
        <v>277</v>
      </c>
      <c r="C278">
        <v>3133609614</v>
      </c>
      <c r="D278" t="s">
        <v>1232</v>
      </c>
      <c r="F278" t="s">
        <v>410</v>
      </c>
      <c r="G278" t="s">
        <v>3</v>
      </c>
      <c r="H278" t="str">
        <f>VLOOKUP(tblContactoCliente[[#This Row],[id_cliente]],tblClientes[[#All],[id]:[nombre_contacto]],4,0)</f>
        <v>JOSE MUÑOZ</v>
      </c>
    </row>
    <row r="279" spans="1:8" x14ac:dyDescent="0.25">
      <c r="A279">
        <v>278</v>
      </c>
      <c r="B279">
        <v>278</v>
      </c>
      <c r="C279">
        <v>3132097016</v>
      </c>
      <c r="D279" t="s">
        <v>1234</v>
      </c>
      <c r="F279" t="s">
        <v>217</v>
      </c>
      <c r="G279" t="s">
        <v>3</v>
      </c>
      <c r="H279" t="str">
        <f>VLOOKUP(tblContactoCliente[[#This Row],[id_cliente]],tblClientes[[#All],[id]:[nombre_contacto]],4,0)</f>
        <v>JOSE ORTIZ</v>
      </c>
    </row>
    <row r="280" spans="1:8" x14ac:dyDescent="0.25">
      <c r="A280">
        <v>279</v>
      </c>
      <c r="B280">
        <v>279</v>
      </c>
      <c r="C280" s="15">
        <v>3103296912</v>
      </c>
      <c r="D280" t="s">
        <v>1236</v>
      </c>
      <c r="F280" t="s">
        <v>1237</v>
      </c>
      <c r="G280" t="s">
        <v>3</v>
      </c>
      <c r="H280" t="str">
        <f>VLOOKUP(tblContactoCliente[[#This Row],[id_cliente]],tblClientes[[#All],[id]:[nombre_contacto]],4,0)</f>
        <v>JOSE TIBERIO MUNERA GALVIS</v>
      </c>
    </row>
    <row r="281" spans="1:8" x14ac:dyDescent="0.25">
      <c r="A281">
        <v>280</v>
      </c>
      <c r="B281">
        <v>280</v>
      </c>
      <c r="C281">
        <v>3002249850</v>
      </c>
      <c r="D281" t="s">
        <v>1241</v>
      </c>
      <c r="F281" t="s">
        <v>187</v>
      </c>
      <c r="G281" t="s">
        <v>3</v>
      </c>
      <c r="H281" t="str">
        <f>VLOOKUP(tblContactoCliente[[#This Row],[id_cliente]],tblClientes[[#All],[id]:[nombre_contacto]],4,0)</f>
        <v>JOSE TRIANA</v>
      </c>
    </row>
    <row r="282" spans="1:8" x14ac:dyDescent="0.25">
      <c r="A282">
        <v>281</v>
      </c>
      <c r="B282">
        <v>281</v>
      </c>
      <c r="C282">
        <v>7108706</v>
      </c>
      <c r="D282" t="s">
        <v>1245</v>
      </c>
      <c r="F282" t="s">
        <v>795</v>
      </c>
      <c r="G282" t="s">
        <v>3</v>
      </c>
      <c r="H282" t="str">
        <f>VLOOKUP(tblContactoCliente[[#This Row],[id_cliente]],tblClientes[[#All],[id]:[nombre_contacto]],4,0)</f>
        <v>JOSE URIEL ALBARRACIN</v>
      </c>
    </row>
    <row r="283" spans="1:8" x14ac:dyDescent="0.25">
      <c r="A283">
        <v>282</v>
      </c>
      <c r="B283">
        <v>282</v>
      </c>
      <c r="C283">
        <v>3105004423</v>
      </c>
      <c r="D283" t="s">
        <v>1249</v>
      </c>
      <c r="F283" t="s">
        <v>187</v>
      </c>
      <c r="G283" t="s">
        <v>3</v>
      </c>
      <c r="H283" t="str">
        <f>VLOOKUP(tblContactoCliente[[#This Row],[id_cliente]],tblClientes[[#All],[id]:[nombre_contacto]],4,0)</f>
        <v>JOSELITO MARTINEZ</v>
      </c>
    </row>
    <row r="284" spans="1:8" x14ac:dyDescent="0.25">
      <c r="A284">
        <v>283</v>
      </c>
      <c r="B284">
        <v>283</v>
      </c>
      <c r="C284">
        <v>3002068463</v>
      </c>
      <c r="D284" t="s">
        <v>1252</v>
      </c>
      <c r="F284" t="s">
        <v>187</v>
      </c>
      <c r="G284" t="s">
        <v>3</v>
      </c>
      <c r="H284" t="str">
        <f>VLOOKUP(tblContactoCliente[[#This Row],[id_cliente]],tblClientes[[#All],[id]:[nombre_contacto]],4,0)</f>
        <v>JUAN AYALA</v>
      </c>
    </row>
    <row r="285" spans="1:8" x14ac:dyDescent="0.25">
      <c r="A285">
        <v>284</v>
      </c>
      <c r="B285">
        <v>284</v>
      </c>
      <c r="C285">
        <v>3004827889</v>
      </c>
      <c r="D285" t="s">
        <v>1255</v>
      </c>
      <c r="F285" t="s">
        <v>1256</v>
      </c>
      <c r="G285" t="s">
        <v>3</v>
      </c>
      <c r="H285" t="str">
        <f>VLOOKUP(tblContactoCliente[[#This Row],[id_cliente]],tblClientes[[#All],[id]:[nombre_contacto]],4,0)</f>
        <v>JUAN CAMILO PREORA</v>
      </c>
    </row>
    <row r="286" spans="1:8" x14ac:dyDescent="0.25">
      <c r="A286">
        <v>285</v>
      </c>
      <c r="B286">
        <v>285</v>
      </c>
      <c r="C286">
        <v>3176416465</v>
      </c>
      <c r="D286" t="s">
        <v>187</v>
      </c>
      <c r="F286" t="s">
        <v>187</v>
      </c>
      <c r="G286" t="s">
        <v>3</v>
      </c>
      <c r="H286" t="str">
        <f>VLOOKUP(tblContactoCliente[[#This Row],[id_cliente]],tblClientes[[#All],[id]:[nombre_contacto]],4,0)</f>
        <v>JUAN CARLOS LOPEZ LARA</v>
      </c>
    </row>
    <row r="287" spans="1:8" x14ac:dyDescent="0.25">
      <c r="A287">
        <v>286</v>
      </c>
      <c r="B287">
        <v>286</v>
      </c>
      <c r="C287">
        <v>3002165073</v>
      </c>
      <c r="D287" t="s">
        <v>1261</v>
      </c>
      <c r="F287" t="s">
        <v>187</v>
      </c>
      <c r="G287" t="s">
        <v>3</v>
      </c>
      <c r="H287" t="str">
        <f>VLOOKUP(tblContactoCliente[[#This Row],[id_cliente]],tblClientes[[#All],[id]:[nombre_contacto]],4,0)</f>
        <v>JUAN FERNADO RAMIREZ</v>
      </c>
    </row>
    <row r="288" spans="1:8" x14ac:dyDescent="0.25">
      <c r="A288">
        <v>287</v>
      </c>
      <c r="B288">
        <v>287</v>
      </c>
      <c r="C288">
        <v>3122302244</v>
      </c>
      <c r="D288" t="s">
        <v>1266</v>
      </c>
      <c r="F288" t="s">
        <v>1267</v>
      </c>
      <c r="G288" t="s">
        <v>3</v>
      </c>
      <c r="H288" t="str">
        <f>VLOOKUP(tblContactoCliente[[#This Row],[id_cliente]],tblClientes[[#All],[id]:[nombre_contacto]],4,0)</f>
        <v>JUAN GUILLERMO RAMIREZ</v>
      </c>
    </row>
    <row r="289" spans="1:8" x14ac:dyDescent="0.25">
      <c r="A289">
        <v>288</v>
      </c>
      <c r="B289">
        <v>288</v>
      </c>
      <c r="C289">
        <v>3187863357</v>
      </c>
      <c r="D289" t="s">
        <v>1</v>
      </c>
      <c r="F289" t="s">
        <v>142</v>
      </c>
      <c r="G289" t="s">
        <v>3</v>
      </c>
      <c r="H289" t="str">
        <f>VLOOKUP(tblContactoCliente[[#This Row],[id_cliente]],tblClientes[[#All],[id]:[nombre_contacto]],4,0)</f>
        <v>JUAN MANUEL LOPEZ</v>
      </c>
    </row>
    <row r="290" spans="1:8" x14ac:dyDescent="0.25">
      <c r="A290">
        <v>289</v>
      </c>
      <c r="B290">
        <v>289</v>
      </c>
      <c r="C290">
        <v>3214694461</v>
      </c>
      <c r="D290" t="s">
        <v>1274</v>
      </c>
      <c r="F290" t="s">
        <v>1275</v>
      </c>
      <c r="G290" t="s">
        <v>467</v>
      </c>
      <c r="H290" t="str">
        <f>VLOOKUP(tblContactoCliente[[#This Row],[id_cliente]],tblClientes[[#All],[id]:[nombre_contacto]],4,0)</f>
        <v>JUAN VICENTE RODRIGUEZ</v>
      </c>
    </row>
    <row r="291" spans="1:8" x14ac:dyDescent="0.25">
      <c r="A291">
        <v>290</v>
      </c>
      <c r="B291">
        <v>290</v>
      </c>
      <c r="C291">
        <v>3173546661</v>
      </c>
      <c r="D291" t="s">
        <v>1278</v>
      </c>
      <c r="F291" t="s">
        <v>1279</v>
      </c>
      <c r="G291" t="s">
        <v>165</v>
      </c>
      <c r="H291" t="str">
        <f>VLOOKUP(tblContactoCliente[[#This Row],[id_cliente]],tblClientes[[#All],[id]:[nombre_contacto]],4,0)</f>
        <v>JUDITH PEÑARANDA SOTO</v>
      </c>
    </row>
    <row r="292" spans="1:8" x14ac:dyDescent="0.25">
      <c r="A292">
        <v>291</v>
      </c>
      <c r="B292">
        <v>291</v>
      </c>
      <c r="C292">
        <v>3112077170</v>
      </c>
      <c r="D292" t="s">
        <v>1283</v>
      </c>
      <c r="F292" t="s">
        <v>16</v>
      </c>
      <c r="G292" t="s">
        <v>3</v>
      </c>
      <c r="H292" t="str">
        <f>VLOOKUP(tblContactoCliente[[#This Row],[id_cliente]],tblClientes[[#All],[id]:[nombre_contacto]],4,0)</f>
        <v>JULIO MENESES</v>
      </c>
    </row>
    <row r="293" spans="1:8" x14ac:dyDescent="0.25">
      <c r="A293">
        <v>292</v>
      </c>
      <c r="B293">
        <v>292</v>
      </c>
      <c r="C293">
        <v>3137738951</v>
      </c>
      <c r="D293" t="s">
        <v>1287</v>
      </c>
      <c r="F293" t="s">
        <v>927</v>
      </c>
      <c r="G293" t="s">
        <v>3</v>
      </c>
      <c r="H293" t="str">
        <f>VLOOKUP(tblContactoCliente[[#This Row],[id_cliente]],tblClientes[[#All],[id]:[nombre_contacto]],4,0)</f>
        <v>KAREN FLOREZ</v>
      </c>
    </row>
    <row r="294" spans="1:8" x14ac:dyDescent="0.25">
      <c r="A294">
        <v>293</v>
      </c>
      <c r="B294">
        <v>293</v>
      </c>
      <c r="C294">
        <v>3204981697</v>
      </c>
      <c r="D294" t="s">
        <v>1291</v>
      </c>
      <c r="F294" t="s">
        <v>243</v>
      </c>
      <c r="G294" t="s">
        <v>3</v>
      </c>
      <c r="H294" t="str">
        <f>VLOOKUP(tblContactoCliente[[#This Row],[id_cliente]],tblClientes[[#All],[id]:[nombre_contacto]],4,0)</f>
        <v>KATHERINE RODRIGUEZ</v>
      </c>
    </row>
    <row r="295" spans="1:8" x14ac:dyDescent="0.25">
      <c r="A295">
        <v>294</v>
      </c>
      <c r="B295">
        <v>294</v>
      </c>
      <c r="C295">
        <v>3105593042</v>
      </c>
      <c r="D295" t="s">
        <v>1295</v>
      </c>
      <c r="F295" t="s">
        <v>1036</v>
      </c>
      <c r="G295" t="s">
        <v>3</v>
      </c>
      <c r="H295" t="str">
        <f>VLOOKUP(tblContactoCliente[[#This Row],[id_cliente]],tblClientes[[#All],[id]:[nombre_contacto]],4,0)</f>
        <v>LAURA VIVIANA CARDONA</v>
      </c>
    </row>
    <row r="296" spans="1:8" x14ac:dyDescent="0.25">
      <c r="A296">
        <v>295</v>
      </c>
      <c r="B296">
        <v>295</v>
      </c>
      <c r="C296">
        <v>3123423676</v>
      </c>
      <c r="D296" t="s">
        <v>1299</v>
      </c>
      <c r="F296" t="s">
        <v>908</v>
      </c>
      <c r="G296" t="s">
        <v>3</v>
      </c>
      <c r="H296" t="str">
        <f>VLOOKUP(tblContactoCliente[[#This Row],[id_cliente]],tblClientes[[#All],[id]:[nombre_contacto]],4,0)</f>
        <v>LEIDY JILIETH HOYOS</v>
      </c>
    </row>
    <row r="297" spans="1:8" x14ac:dyDescent="0.25">
      <c r="A297">
        <v>296</v>
      </c>
      <c r="B297">
        <v>296</v>
      </c>
      <c r="C297">
        <v>3177962151</v>
      </c>
      <c r="D297" t="s">
        <v>521</v>
      </c>
      <c r="F297" t="s">
        <v>522</v>
      </c>
      <c r="G297" t="s">
        <v>7</v>
      </c>
      <c r="H297" t="str">
        <f>VLOOKUP(tblContactoCliente[[#This Row],[id_cliente]],tblClientes[[#All],[id]:[nombre_contacto]],4,0)</f>
        <v>LEIDY POZO</v>
      </c>
    </row>
    <row r="298" spans="1:8" x14ac:dyDescent="0.25">
      <c r="A298">
        <v>297</v>
      </c>
      <c r="B298">
        <v>297</v>
      </c>
      <c r="C298" s="15">
        <v>3143373743</v>
      </c>
      <c r="D298" t="s">
        <v>1302</v>
      </c>
      <c r="F298" t="s">
        <v>357</v>
      </c>
      <c r="G298" t="s">
        <v>3</v>
      </c>
      <c r="H298" t="str">
        <f>VLOOKUP(tblContactoCliente[[#This Row],[id_cliente]],tblClientes[[#All],[id]:[nombre_contacto]],4,0)</f>
        <v>LEILA VELANDIA</v>
      </c>
    </row>
    <row r="299" spans="1:8" x14ac:dyDescent="0.25">
      <c r="A299">
        <v>298</v>
      </c>
      <c r="B299">
        <v>298</v>
      </c>
      <c r="C299">
        <v>3102127502</v>
      </c>
      <c r="D299" t="s">
        <v>1305</v>
      </c>
      <c r="F299" t="s">
        <v>830</v>
      </c>
      <c r="G299" t="s">
        <v>3</v>
      </c>
      <c r="H299" t="str">
        <f>VLOOKUP(tblContactoCliente[[#This Row],[id_cliente]],tblClientes[[#All],[id]:[nombre_contacto]],4,0)</f>
        <v>ALEJANDRO ROMERO</v>
      </c>
    </row>
    <row r="300" spans="1:8" x14ac:dyDescent="0.25">
      <c r="A300">
        <v>299</v>
      </c>
      <c r="B300">
        <v>299</v>
      </c>
      <c r="C300">
        <v>3175878245</v>
      </c>
      <c r="D300" t="s">
        <v>1309</v>
      </c>
      <c r="F300" t="s">
        <v>595</v>
      </c>
      <c r="G300" t="s">
        <v>3</v>
      </c>
      <c r="H300" t="str">
        <f>VLOOKUP(tblContactoCliente[[#This Row],[id_cliente]],tblClientes[[#All],[id]:[nombre_contacto]],4,0)</f>
        <v>LEONEL LOPEZ</v>
      </c>
    </row>
    <row r="301" spans="1:8" x14ac:dyDescent="0.25">
      <c r="A301">
        <v>300</v>
      </c>
      <c r="B301">
        <v>300</v>
      </c>
      <c r="C301" t="s">
        <v>1311</v>
      </c>
      <c r="D301" t="s">
        <v>1312</v>
      </c>
      <c r="F301" t="s">
        <v>825</v>
      </c>
      <c r="G301" t="s">
        <v>3</v>
      </c>
      <c r="H301" t="str">
        <f>VLOOKUP(tblContactoCliente[[#This Row],[id_cliente]],tblClientes[[#All],[id]:[nombre_contacto]],4,0)</f>
        <v>LIBARDO ALVEAR</v>
      </c>
    </row>
    <row r="302" spans="1:8" x14ac:dyDescent="0.25">
      <c r="A302">
        <v>301</v>
      </c>
      <c r="B302">
        <v>301</v>
      </c>
      <c r="C302">
        <v>3204029178</v>
      </c>
      <c r="D302" t="s">
        <v>1314</v>
      </c>
      <c r="F302" t="s">
        <v>1098</v>
      </c>
      <c r="G302" t="s">
        <v>3</v>
      </c>
      <c r="H302" t="str">
        <f>VLOOKUP(tblContactoCliente[[#This Row],[id_cliente]],tblClientes[[#All],[id]:[nombre_contacto]],4,0)</f>
        <v>LIGIA PALECHOR</v>
      </c>
    </row>
    <row r="303" spans="1:8" x14ac:dyDescent="0.25">
      <c r="A303">
        <v>302</v>
      </c>
      <c r="B303">
        <v>302</v>
      </c>
      <c r="C303">
        <v>3212910304</v>
      </c>
      <c r="D303" t="s">
        <v>1316</v>
      </c>
      <c r="F303" t="s">
        <v>1317</v>
      </c>
      <c r="G303" t="s">
        <v>3</v>
      </c>
      <c r="H303" t="str">
        <f>VLOOKUP(tblContactoCliente[[#This Row],[id_cliente]],tblClientes[[#All],[id]:[nombre_contacto]],4,0)</f>
        <v>LILIANA GOLONDRINO</v>
      </c>
    </row>
    <row r="304" spans="1:8" x14ac:dyDescent="0.25">
      <c r="A304">
        <v>303</v>
      </c>
      <c r="B304">
        <v>303</v>
      </c>
      <c r="C304">
        <v>3158460984</v>
      </c>
      <c r="D304" t="s">
        <v>1319</v>
      </c>
      <c r="F304" t="s">
        <v>1320</v>
      </c>
      <c r="G304" t="s">
        <v>3</v>
      </c>
      <c r="H304" t="str">
        <f>VLOOKUP(tblContactoCliente[[#This Row],[id_cliente]],tblClientes[[#All],[id]:[nombre_contacto]],4,0)</f>
        <v>LILIANA MARTINEZ</v>
      </c>
    </row>
    <row r="305" spans="1:8" x14ac:dyDescent="0.25">
      <c r="A305">
        <v>304</v>
      </c>
      <c r="B305">
        <v>304</v>
      </c>
      <c r="C305">
        <v>3102472094</v>
      </c>
      <c r="D305" t="s">
        <v>286</v>
      </c>
      <c r="F305" t="s">
        <v>287</v>
      </c>
      <c r="G305" t="s">
        <v>3</v>
      </c>
      <c r="H305" t="str">
        <f>VLOOKUP(tblContactoCliente[[#This Row],[id_cliente]],tblClientes[[#All],[id]:[nombre_contacto]],4,0)</f>
        <v>LINA JINETH MUNERA GRACIANO</v>
      </c>
    </row>
    <row r="306" spans="1:8" x14ac:dyDescent="0.25">
      <c r="A306">
        <v>305</v>
      </c>
      <c r="B306">
        <v>305</v>
      </c>
      <c r="C306">
        <v>3136166556</v>
      </c>
      <c r="D306" t="s">
        <v>1323</v>
      </c>
      <c r="F306" t="s">
        <v>1324</v>
      </c>
      <c r="G306" t="s">
        <v>1324</v>
      </c>
      <c r="H306" t="str">
        <f>VLOOKUP(tblContactoCliente[[#This Row],[id_cliente]],tblClientes[[#All],[id]:[nombre_contacto]],4,0)</f>
        <v>LINA PACHON</v>
      </c>
    </row>
    <row r="307" spans="1:8" x14ac:dyDescent="0.25">
      <c r="A307">
        <v>306</v>
      </c>
      <c r="B307">
        <v>306</v>
      </c>
      <c r="C307">
        <v>3153479836</v>
      </c>
      <c r="D307" t="s">
        <v>1329</v>
      </c>
      <c r="F307" t="s">
        <v>1330</v>
      </c>
      <c r="G307" t="s">
        <v>3</v>
      </c>
      <c r="H307" t="str">
        <f>VLOOKUP(tblContactoCliente[[#This Row],[id_cliente]],tblClientes[[#All],[id]:[nombre_contacto]],4,0)</f>
        <v>JULIAN ANDRES HERMIDA LOZANO</v>
      </c>
    </row>
    <row r="308" spans="1:8" x14ac:dyDescent="0.25">
      <c r="A308">
        <v>307</v>
      </c>
      <c r="B308">
        <v>307</v>
      </c>
      <c r="C308">
        <v>3132414229</v>
      </c>
      <c r="D308" t="s">
        <v>1333</v>
      </c>
      <c r="F308" t="s">
        <v>1334</v>
      </c>
      <c r="G308" t="s">
        <v>3</v>
      </c>
      <c r="H308" t="str">
        <f>VLOOKUP(tblContactoCliente[[#This Row],[id_cliente]],tblClientes[[#All],[id]:[nombre_contacto]],4,0)</f>
        <v>LIZANDRO GONZALEZ</v>
      </c>
    </row>
    <row r="309" spans="1:8" x14ac:dyDescent="0.25">
      <c r="A309">
        <v>308</v>
      </c>
      <c r="B309">
        <v>308</v>
      </c>
      <c r="C309">
        <v>317770697</v>
      </c>
      <c r="D309" t="s">
        <v>1336</v>
      </c>
      <c r="F309" t="s">
        <v>1221</v>
      </c>
      <c r="G309" t="s">
        <v>3</v>
      </c>
      <c r="H309" t="str">
        <f>VLOOKUP(tblContactoCliente[[#This Row],[id_cliente]],tblClientes[[#All],[id]:[nombre_contacto]],4,0)</f>
        <v>LUCILA LOPEZ</v>
      </c>
    </row>
    <row r="310" spans="1:8" x14ac:dyDescent="0.25">
      <c r="A310">
        <v>309</v>
      </c>
      <c r="B310">
        <v>309</v>
      </c>
      <c r="C310">
        <v>3107916984</v>
      </c>
      <c r="D310" t="s">
        <v>1338</v>
      </c>
      <c r="F310" t="s">
        <v>287</v>
      </c>
      <c r="G310" t="s">
        <v>3</v>
      </c>
      <c r="H310" t="str">
        <f>VLOOKUP(tblContactoCliente[[#This Row],[id_cliente]],tblClientes[[#All],[id]:[nombre_contacto]],4,0)</f>
        <v>LUCY ESPERANZA MORA</v>
      </c>
    </row>
    <row r="311" spans="1:8" x14ac:dyDescent="0.25">
      <c r="A311">
        <v>310</v>
      </c>
      <c r="B311">
        <v>310</v>
      </c>
      <c r="C311">
        <v>3108628167</v>
      </c>
      <c r="D311" t="s">
        <v>1340</v>
      </c>
      <c r="F311" t="s">
        <v>1087</v>
      </c>
      <c r="G311" t="s">
        <v>3</v>
      </c>
      <c r="H311" t="str">
        <f>VLOOKUP(tblContactoCliente[[#This Row],[id_cliente]],tblClientes[[#All],[id]:[nombre_contacto]],4,0)</f>
        <v>LUIS ANTONIO MENDOZA RODRIGUEZ</v>
      </c>
    </row>
    <row r="312" spans="1:8" x14ac:dyDescent="0.25">
      <c r="A312">
        <v>311</v>
      </c>
      <c r="B312">
        <v>311</v>
      </c>
      <c r="C312">
        <v>3108799988</v>
      </c>
      <c r="D312" t="s">
        <v>1343</v>
      </c>
      <c r="F312" t="s">
        <v>274</v>
      </c>
      <c r="G312" t="s">
        <v>3</v>
      </c>
      <c r="H312" t="str">
        <f>VLOOKUP(tblContactoCliente[[#This Row],[id_cliente]],tblClientes[[#All],[id]:[nombre_contacto]],4,0)</f>
        <v>LUIS BERNANRDO BURGOS</v>
      </c>
    </row>
    <row r="313" spans="1:8" x14ac:dyDescent="0.25">
      <c r="A313">
        <v>312</v>
      </c>
      <c r="B313">
        <v>312</v>
      </c>
      <c r="C313">
        <v>3112950941</v>
      </c>
      <c r="D313" t="s">
        <v>1345</v>
      </c>
      <c r="F313" t="s">
        <v>1346</v>
      </c>
      <c r="G313" t="s">
        <v>3</v>
      </c>
      <c r="H313" t="str">
        <f>VLOOKUP(tblContactoCliente[[#This Row],[id_cliente]],tblClientes[[#All],[id]:[nombre_contacto]],4,0)</f>
        <v>LUIS DEMETRIO LUNA</v>
      </c>
    </row>
    <row r="314" spans="1:8" x14ac:dyDescent="0.25">
      <c r="A314">
        <v>313</v>
      </c>
      <c r="B314">
        <v>313</v>
      </c>
      <c r="C314">
        <v>3125254247</v>
      </c>
      <c r="D314" t="s">
        <v>1350</v>
      </c>
      <c r="F314" t="s">
        <v>1351</v>
      </c>
      <c r="G314" t="s">
        <v>3</v>
      </c>
      <c r="H314" t="str">
        <f>VLOOKUP(tblContactoCliente[[#This Row],[id_cliente]],tblClientes[[#All],[id]:[nombre_contacto]],4,0)</f>
        <v>LUIS EDUARDO GONZALEZ AGUDELO</v>
      </c>
    </row>
    <row r="315" spans="1:8" x14ac:dyDescent="0.25">
      <c r="A315">
        <v>314</v>
      </c>
      <c r="B315">
        <v>314</v>
      </c>
      <c r="C315">
        <v>3124525002</v>
      </c>
      <c r="D315" t="s">
        <v>1355</v>
      </c>
      <c r="F315" t="s">
        <v>1356</v>
      </c>
      <c r="G315" t="s">
        <v>1356</v>
      </c>
      <c r="H315" t="str">
        <f>VLOOKUP(tblContactoCliente[[#This Row],[id_cliente]],tblClientes[[#All],[id]:[nombre_contacto]],4,0)</f>
        <v>LUIS EDUARDO GUTIERREZ DELGADO</v>
      </c>
    </row>
    <row r="316" spans="1:8" x14ac:dyDescent="0.25">
      <c r="A316">
        <v>315</v>
      </c>
      <c r="B316">
        <v>315</v>
      </c>
      <c r="C316">
        <v>3203368891</v>
      </c>
      <c r="D316" t="s">
        <v>1358</v>
      </c>
      <c r="F316" t="s">
        <v>292</v>
      </c>
      <c r="G316" t="s">
        <v>3</v>
      </c>
      <c r="H316" t="str">
        <f>VLOOKUP(tblContactoCliente[[#This Row],[id_cliente]],tblClientes[[#All],[id]:[nombre_contacto]],4,0)</f>
        <v>LUIS EDUARO CLEVES</v>
      </c>
    </row>
    <row r="317" spans="1:8" x14ac:dyDescent="0.25">
      <c r="A317">
        <v>316</v>
      </c>
      <c r="B317">
        <v>316</v>
      </c>
      <c r="C317" t="s">
        <v>1360</v>
      </c>
      <c r="D317" t="s">
        <v>495</v>
      </c>
      <c r="F317" t="s">
        <v>496</v>
      </c>
      <c r="G317" t="s">
        <v>467</v>
      </c>
      <c r="H317" t="str">
        <f>VLOOKUP(tblContactoCliente[[#This Row],[id_cliente]],tblClientes[[#All],[id]:[nombre_contacto]],4,0)</f>
        <v>LUIS ENRRIQUE ARANZALEZ</v>
      </c>
    </row>
    <row r="318" spans="1:8" x14ac:dyDescent="0.25">
      <c r="A318">
        <v>317</v>
      </c>
      <c r="B318">
        <v>317</v>
      </c>
      <c r="C318" t="s">
        <v>1362</v>
      </c>
      <c r="D318" t="s">
        <v>1363</v>
      </c>
      <c r="F318" t="s">
        <v>1364</v>
      </c>
      <c r="G318" t="s">
        <v>1365</v>
      </c>
      <c r="H318" t="str">
        <f>VLOOKUP(tblContactoCliente[[#This Row],[id_cliente]],tblClientes[[#All],[id]:[nombre_contacto]],4,0)</f>
        <v>LUIS FERNANDO MONTES</v>
      </c>
    </row>
    <row r="319" spans="1:8" x14ac:dyDescent="0.25">
      <c r="A319">
        <v>318</v>
      </c>
      <c r="B319">
        <v>318</v>
      </c>
      <c r="C319">
        <v>3158787357</v>
      </c>
      <c r="D319" t="s">
        <v>1367</v>
      </c>
      <c r="F319" t="s">
        <v>1112</v>
      </c>
      <c r="G319" t="s">
        <v>3</v>
      </c>
      <c r="H319" t="str">
        <f>VLOOKUP(tblContactoCliente[[#This Row],[id_cliente]],tblClientes[[#All],[id]:[nombre_contacto]],4,0)</f>
        <v>LUIS FORERO</v>
      </c>
    </row>
    <row r="320" spans="1:8" x14ac:dyDescent="0.25">
      <c r="A320">
        <v>319</v>
      </c>
      <c r="B320">
        <v>319</v>
      </c>
      <c r="C320">
        <v>3186596929</v>
      </c>
      <c r="D320" t="s">
        <v>1370</v>
      </c>
      <c r="F320" t="s">
        <v>1032</v>
      </c>
      <c r="G320" t="s">
        <v>3</v>
      </c>
      <c r="H320" t="str">
        <f>VLOOKUP(tblContactoCliente[[#This Row],[id_cliente]],tblClientes[[#All],[id]:[nombre_contacto]],4,0)</f>
        <v xml:space="preserve">JAVIER NAJAR GARCIA </v>
      </c>
    </row>
    <row r="321" spans="1:8" x14ac:dyDescent="0.25">
      <c r="A321">
        <v>320</v>
      </c>
      <c r="B321">
        <v>320</v>
      </c>
      <c r="C321">
        <v>3105509941</v>
      </c>
      <c r="D321" t="s">
        <v>455</v>
      </c>
      <c r="F321" t="s">
        <v>456</v>
      </c>
      <c r="G321" t="s">
        <v>3</v>
      </c>
      <c r="H321" t="str">
        <f>VLOOKUP(tblContactoCliente[[#This Row],[id_cliente]],tblClientes[[#All],[id]:[nombre_contacto]],4,0)</f>
        <v>LUIS HERNANDO VANEGAS</v>
      </c>
    </row>
    <row r="322" spans="1:8" x14ac:dyDescent="0.25">
      <c r="A322">
        <v>321</v>
      </c>
      <c r="B322">
        <v>321</v>
      </c>
      <c r="C322">
        <v>3203014149</v>
      </c>
      <c r="D322" t="s">
        <v>1376</v>
      </c>
      <c r="F322" t="s">
        <v>1377</v>
      </c>
      <c r="G322" t="s">
        <v>3</v>
      </c>
      <c r="H322" t="str">
        <f>VLOOKUP(tblContactoCliente[[#This Row],[id_cliente]],tblClientes[[#All],[id]:[nombre_contacto]],4,0)</f>
        <v xml:space="preserve">LUIS LEONARDO RAGUA MOLINA </v>
      </c>
    </row>
    <row r="323" spans="1:8" x14ac:dyDescent="0.25">
      <c r="A323">
        <v>322</v>
      </c>
      <c r="B323">
        <v>322</v>
      </c>
      <c r="C323">
        <v>3123250356</v>
      </c>
      <c r="D323" t="s">
        <v>1381</v>
      </c>
      <c r="F323" t="s">
        <v>1382</v>
      </c>
      <c r="G323" t="s">
        <v>3</v>
      </c>
      <c r="H323" t="str">
        <f>VLOOKUP(tblContactoCliente[[#This Row],[id_cliente]],tblClientes[[#All],[id]:[nombre_contacto]],4,0)</f>
        <v>LUIS PARAMO</v>
      </c>
    </row>
    <row r="324" spans="1:8" x14ac:dyDescent="0.25">
      <c r="A324">
        <v>323</v>
      </c>
      <c r="B324">
        <v>323</v>
      </c>
      <c r="C324" s="15">
        <v>3123737585</v>
      </c>
      <c r="D324" t="s">
        <v>1387</v>
      </c>
      <c r="F324" t="s">
        <v>187</v>
      </c>
      <c r="G324" t="s">
        <v>3</v>
      </c>
      <c r="H324" t="str">
        <f>VLOOKUP(tblContactoCliente[[#This Row],[id_cliente]],tblClientes[[#All],[id]:[nombre_contacto]],4,0)</f>
        <v>LUIS ROJAS LUIGY</v>
      </c>
    </row>
    <row r="325" spans="1:8" x14ac:dyDescent="0.25">
      <c r="A325">
        <v>324</v>
      </c>
      <c r="B325">
        <v>324</v>
      </c>
      <c r="C325">
        <v>3002039580</v>
      </c>
      <c r="D325" t="s">
        <v>1391</v>
      </c>
      <c r="F325" t="s">
        <v>169</v>
      </c>
      <c r="G325" t="s">
        <v>165</v>
      </c>
      <c r="H325" t="str">
        <f>VLOOKUP(tblContactoCliente[[#This Row],[id_cliente]],tblClientes[[#All],[id]:[nombre_contacto]],4,0)</f>
        <v>LUNA ANGELA CARDINALE</v>
      </c>
    </row>
    <row r="326" spans="1:8" x14ac:dyDescent="0.25">
      <c r="A326">
        <v>325</v>
      </c>
      <c r="B326">
        <v>325</v>
      </c>
      <c r="C326">
        <v>3157947370</v>
      </c>
      <c r="D326" t="s">
        <v>1395</v>
      </c>
      <c r="F326" t="s">
        <v>195</v>
      </c>
      <c r="G326" t="s">
        <v>3</v>
      </c>
      <c r="H326" t="str">
        <f>VLOOKUP(tblContactoCliente[[#This Row],[id_cliente]],tblClientes[[#All],[id]:[nombre_contacto]],4,0)</f>
        <v>LUZ DARY GARCIA</v>
      </c>
    </row>
    <row r="327" spans="1:8" x14ac:dyDescent="0.25">
      <c r="A327">
        <v>326</v>
      </c>
      <c r="B327">
        <v>326</v>
      </c>
      <c r="C327" t="s">
        <v>1397</v>
      </c>
      <c r="D327" t="s">
        <v>1398</v>
      </c>
      <c r="F327" t="s">
        <v>1399</v>
      </c>
      <c r="G327" t="s">
        <v>3</v>
      </c>
      <c r="H327" t="str">
        <f>VLOOKUP(tblContactoCliente[[#This Row],[id_cliente]],tblClientes[[#All],[id]:[nombre_contacto]],4,0)</f>
        <v>LUZ MARINA DUQUE</v>
      </c>
    </row>
    <row r="328" spans="1:8" x14ac:dyDescent="0.25">
      <c r="A328">
        <v>327</v>
      </c>
      <c r="B328">
        <v>327</v>
      </c>
      <c r="C328">
        <v>3229020798</v>
      </c>
      <c r="D328" t="s">
        <v>1403</v>
      </c>
      <c r="F328" t="s">
        <v>1404</v>
      </c>
      <c r="G328" t="s">
        <v>165</v>
      </c>
      <c r="H328" t="str">
        <f>VLOOKUP(tblContactoCliente[[#This Row],[id_cliente]],tblClientes[[#All],[id]:[nombre_contacto]],4,0)</f>
        <v>LUZ MARINA RINCON</v>
      </c>
    </row>
    <row r="329" spans="1:8" x14ac:dyDescent="0.25">
      <c r="A329">
        <v>328</v>
      </c>
      <c r="B329">
        <v>328</v>
      </c>
      <c r="C329">
        <v>4062771</v>
      </c>
      <c r="D329" t="s">
        <v>1407</v>
      </c>
      <c r="F329" t="s">
        <v>1408</v>
      </c>
      <c r="G329" t="s">
        <v>3</v>
      </c>
      <c r="H329" t="str">
        <f>VLOOKUP(tblContactoCliente[[#This Row],[id_cliente]],tblClientes[[#All],[id]:[nombre_contacto]],4,0)</f>
        <v>LUZ MERY MORALES</v>
      </c>
    </row>
    <row r="330" spans="1:8" x14ac:dyDescent="0.25">
      <c r="A330">
        <v>329</v>
      </c>
      <c r="B330">
        <v>329</v>
      </c>
      <c r="C330">
        <v>3228229101</v>
      </c>
      <c r="D330" t="s">
        <v>1411</v>
      </c>
      <c r="F330" t="s">
        <v>1412</v>
      </c>
      <c r="G330" t="s">
        <v>3</v>
      </c>
      <c r="H330" t="str">
        <f>VLOOKUP(tblContactoCliente[[#This Row],[id_cliente]],tblClientes[[#All],[id]:[nombre_contacto]],4,0)</f>
        <v>LUZ STELLA ARIAS</v>
      </c>
    </row>
    <row r="331" spans="1:8" x14ac:dyDescent="0.25">
      <c r="A331">
        <v>330</v>
      </c>
      <c r="B331">
        <v>330</v>
      </c>
      <c r="C331">
        <v>3132673239</v>
      </c>
      <c r="D331" t="s">
        <v>1414</v>
      </c>
      <c r="F331" t="s">
        <v>553</v>
      </c>
      <c r="G331" t="s">
        <v>3</v>
      </c>
      <c r="H331" t="str">
        <f>VLOOKUP(tblContactoCliente[[#This Row],[id_cliente]],tblClientes[[#All],[id]:[nombre_contacto]],4,0)</f>
        <v>LUZ VEGA</v>
      </c>
    </row>
    <row r="332" spans="1:8" x14ac:dyDescent="0.25">
      <c r="A332">
        <v>331</v>
      </c>
      <c r="B332">
        <v>331</v>
      </c>
      <c r="C332">
        <v>3114804868</v>
      </c>
      <c r="D332" t="s">
        <v>1418</v>
      </c>
      <c r="F332" t="s">
        <v>429</v>
      </c>
      <c r="G332" t="s">
        <v>429</v>
      </c>
      <c r="H332" t="str">
        <f>VLOOKUP(tblContactoCliente[[#This Row],[id_cliente]],tblClientes[[#All],[id]:[nombre_contacto]],4,0)</f>
        <v>LUZN MARINA ORDOÑEZ</v>
      </c>
    </row>
    <row r="333" spans="1:8" x14ac:dyDescent="0.25">
      <c r="A333">
        <v>332</v>
      </c>
      <c r="B333">
        <v>332</v>
      </c>
      <c r="C333" s="15">
        <v>3123207759</v>
      </c>
      <c r="D333" t="s">
        <v>1420</v>
      </c>
      <c r="F333" t="s">
        <v>1421</v>
      </c>
      <c r="G333" t="s">
        <v>1032</v>
      </c>
      <c r="H333" t="str">
        <f>VLOOKUP(tblContactoCliente[[#This Row],[id_cliente]],tblClientes[[#All],[id]:[nombre_contacto]],4,0)</f>
        <v>MANUEL JIMENEZ</v>
      </c>
    </row>
    <row r="334" spans="1:8" x14ac:dyDescent="0.25">
      <c r="A334">
        <v>333</v>
      </c>
      <c r="B334">
        <v>333</v>
      </c>
      <c r="C334">
        <v>3124645627</v>
      </c>
      <c r="D334" t="s">
        <v>1424</v>
      </c>
      <c r="F334" t="s">
        <v>1425</v>
      </c>
      <c r="G334" t="s">
        <v>3</v>
      </c>
      <c r="H334" t="str">
        <f>VLOOKUP(tblContactoCliente[[#This Row],[id_cliente]],tblClientes[[#All],[id]:[nombre_contacto]],4,0)</f>
        <v>MARCELA BAUTISTA</v>
      </c>
    </row>
    <row r="335" spans="1:8" x14ac:dyDescent="0.25">
      <c r="A335">
        <v>334</v>
      </c>
      <c r="B335">
        <v>334</v>
      </c>
      <c r="C335">
        <v>3134581571</v>
      </c>
      <c r="D335" t="s">
        <v>1429</v>
      </c>
      <c r="F335" t="s">
        <v>1408</v>
      </c>
      <c r="G335" t="s">
        <v>3</v>
      </c>
      <c r="H335" t="str">
        <f>VLOOKUP(tblContactoCliente[[#This Row],[id_cliente]],tblClientes[[#All],[id]:[nombre_contacto]],4,0)</f>
        <v>MARCELA FLECHAS</v>
      </c>
    </row>
    <row r="336" spans="1:8" x14ac:dyDescent="0.25">
      <c r="A336">
        <v>335</v>
      </c>
      <c r="B336">
        <v>335</v>
      </c>
      <c r="C336">
        <v>3003021112</v>
      </c>
      <c r="D336" t="s">
        <v>1434</v>
      </c>
      <c r="F336" t="s">
        <v>187</v>
      </c>
      <c r="G336" t="s">
        <v>3</v>
      </c>
      <c r="H336" t="str">
        <f>VLOOKUP(tblContactoCliente[[#This Row],[id_cliente]],tblClientes[[#All],[id]:[nombre_contacto]],4,0)</f>
        <v>MARCOS BUENO</v>
      </c>
    </row>
    <row r="337" spans="1:8" x14ac:dyDescent="0.25">
      <c r="A337">
        <v>336</v>
      </c>
      <c r="B337">
        <v>336</v>
      </c>
      <c r="C337">
        <v>3132965888</v>
      </c>
      <c r="D337" t="s">
        <v>1438</v>
      </c>
      <c r="F337" t="s">
        <v>463</v>
      </c>
      <c r="G337" t="s">
        <v>3</v>
      </c>
      <c r="H337" t="str">
        <f>VLOOKUP(tblContactoCliente[[#This Row],[id_cliente]],tblClientes[[#All],[id]:[nombre_contacto]],4,0)</f>
        <v>MARCOS SIERRA</v>
      </c>
    </row>
    <row r="338" spans="1:8" x14ac:dyDescent="0.25">
      <c r="A338">
        <v>337</v>
      </c>
      <c r="B338">
        <v>337</v>
      </c>
      <c r="C338">
        <v>3135719875</v>
      </c>
      <c r="D338" t="s">
        <v>815</v>
      </c>
      <c r="F338" t="s">
        <v>816</v>
      </c>
      <c r="G338" t="s">
        <v>1440</v>
      </c>
      <c r="H338" t="str">
        <f>VLOOKUP(tblContactoCliente[[#This Row],[id_cliente]],tblClientes[[#All],[id]:[nombre_contacto]],4,0)</f>
        <v>MARIA ANGELICA QUINTERO</v>
      </c>
    </row>
    <row r="339" spans="1:8" x14ac:dyDescent="0.25">
      <c r="A339">
        <v>338</v>
      </c>
      <c r="B339">
        <v>338</v>
      </c>
      <c r="C339">
        <v>3164389922</v>
      </c>
      <c r="D339" t="s">
        <v>1442</v>
      </c>
      <c r="F339" t="s">
        <v>187</v>
      </c>
      <c r="G339" t="s">
        <v>3</v>
      </c>
      <c r="H339" t="str">
        <f>VLOOKUP(tblContactoCliente[[#This Row],[id_cliente]],tblClientes[[#All],[id]:[nombre_contacto]],4,0)</f>
        <v>MARIA CANO</v>
      </c>
    </row>
    <row r="340" spans="1:8" x14ac:dyDescent="0.25">
      <c r="A340">
        <v>339</v>
      </c>
      <c r="B340">
        <v>339</v>
      </c>
      <c r="C340">
        <v>3132083466</v>
      </c>
      <c r="D340" t="s">
        <v>1</v>
      </c>
      <c r="F340" t="s">
        <v>142</v>
      </c>
      <c r="G340" t="s">
        <v>3</v>
      </c>
      <c r="H340" t="str">
        <f>VLOOKUP(tblContactoCliente[[#This Row],[id_cliente]],tblClientes[[#All],[id]:[nombre_contacto]],4,0)</f>
        <v>MARIA CLARA MELO</v>
      </c>
    </row>
    <row r="341" spans="1:8" x14ac:dyDescent="0.25">
      <c r="A341">
        <v>340</v>
      </c>
      <c r="B341">
        <v>340</v>
      </c>
      <c r="C341">
        <v>3113901976</v>
      </c>
      <c r="D341" t="s">
        <v>1446</v>
      </c>
      <c r="F341" t="s">
        <v>16</v>
      </c>
      <c r="G341" t="s">
        <v>16</v>
      </c>
      <c r="H341" t="str">
        <f>VLOOKUP(tblContactoCliente[[#This Row],[id_cliente]],tblClientes[[#All],[id]:[nombre_contacto]],4,0)</f>
        <v>MARIA CRISTINA CORONADO</v>
      </c>
    </row>
    <row r="342" spans="1:8" x14ac:dyDescent="0.25">
      <c r="A342">
        <v>341</v>
      </c>
      <c r="B342">
        <v>341</v>
      </c>
      <c r="C342">
        <v>3148921085</v>
      </c>
      <c r="D342" t="s">
        <v>1071</v>
      </c>
      <c r="F342" t="s">
        <v>1072</v>
      </c>
      <c r="G342" t="s">
        <v>1073</v>
      </c>
      <c r="H342" t="str">
        <f>VLOOKUP(tblContactoCliente[[#This Row],[id_cliente]],tblClientes[[#All],[id]:[nombre_contacto]],4,0)</f>
        <v>MARIA HEDY MARIN LOPEZ</v>
      </c>
    </row>
    <row r="343" spans="1:8" x14ac:dyDescent="0.25">
      <c r="A343">
        <v>342</v>
      </c>
      <c r="B343">
        <v>342</v>
      </c>
      <c r="C343">
        <v>3116584335</v>
      </c>
      <c r="D343" t="s">
        <v>1</v>
      </c>
      <c r="F343" t="s">
        <v>142</v>
      </c>
      <c r="G343" t="s">
        <v>3</v>
      </c>
      <c r="H343" t="str">
        <f>VLOOKUP(tblContactoCliente[[#This Row],[id_cliente]],tblClientes[[#All],[id]:[nombre_contacto]],4,0)</f>
        <v>MARIA ISABEL GARZON</v>
      </c>
    </row>
    <row r="344" spans="1:8" x14ac:dyDescent="0.25">
      <c r="A344">
        <v>343</v>
      </c>
      <c r="B344">
        <v>343</v>
      </c>
      <c r="C344">
        <v>3143696224</v>
      </c>
      <c r="D344" t="s">
        <v>1451</v>
      </c>
      <c r="F344" t="s">
        <v>264</v>
      </c>
      <c r="G344" t="s">
        <v>3</v>
      </c>
      <c r="H344" t="str">
        <f>VLOOKUP(tblContactoCliente[[#This Row],[id_cliente]],tblClientes[[#All],[id]:[nombre_contacto]],4,0)</f>
        <v>MARIA MIRIAM CHAPARRO</v>
      </c>
    </row>
    <row r="345" spans="1:8" x14ac:dyDescent="0.25">
      <c r="A345">
        <v>344</v>
      </c>
      <c r="B345">
        <v>344</v>
      </c>
      <c r="C345">
        <v>3138889472</v>
      </c>
      <c r="D345" t="s">
        <v>1454</v>
      </c>
      <c r="F345" t="s">
        <v>1455</v>
      </c>
      <c r="G345" t="s">
        <v>3</v>
      </c>
      <c r="H345" t="str">
        <f>VLOOKUP(tblContactoCliente[[#This Row],[id_cliente]],tblClientes[[#All],[id]:[nombre_contacto]],4,0)</f>
        <v>MARIA ROSARIO UCROS</v>
      </c>
    </row>
    <row r="346" spans="1:8" x14ac:dyDescent="0.25">
      <c r="A346">
        <v>345</v>
      </c>
      <c r="B346">
        <v>345</v>
      </c>
      <c r="C346">
        <v>3117509427</v>
      </c>
      <c r="D346" t="s">
        <v>1460</v>
      </c>
      <c r="F346" t="s">
        <v>1461</v>
      </c>
      <c r="G346" t="s">
        <v>429</v>
      </c>
      <c r="H346" t="str">
        <f>VLOOKUP(tblContactoCliente[[#This Row],[id_cliente]],tblClientes[[#All],[id]:[nombre_contacto]],4,0)</f>
        <v>MARICELA DELGADO</v>
      </c>
    </row>
    <row r="347" spans="1:8" x14ac:dyDescent="0.25">
      <c r="A347">
        <v>346</v>
      </c>
      <c r="B347">
        <v>346</v>
      </c>
      <c r="C347">
        <v>3115975428</v>
      </c>
      <c r="D347" t="s">
        <v>1464</v>
      </c>
      <c r="F347" t="s">
        <v>142</v>
      </c>
      <c r="G347" t="s">
        <v>3</v>
      </c>
      <c r="H347" t="str">
        <f>VLOOKUP(tblContactoCliente[[#This Row],[id_cliente]],tblClientes[[#All],[id]:[nombre_contacto]],4,0)</f>
        <v>MARLENY GARZON GUZMAN</v>
      </c>
    </row>
    <row r="348" spans="1:8" x14ac:dyDescent="0.25">
      <c r="A348">
        <v>347</v>
      </c>
      <c r="B348">
        <v>347</v>
      </c>
      <c r="C348">
        <v>3166925508</v>
      </c>
      <c r="D348" t="s">
        <v>1</v>
      </c>
      <c r="F348" t="s">
        <v>1</v>
      </c>
      <c r="G348" t="s">
        <v>3</v>
      </c>
      <c r="H348" t="str">
        <f>VLOOKUP(tblContactoCliente[[#This Row],[id_cliente]],tblClientes[[#All],[id]:[nombre_contacto]],4,0)</f>
        <v>MARTIN BERNARDO JAIME</v>
      </c>
    </row>
    <row r="349" spans="1:8" x14ac:dyDescent="0.25">
      <c r="A349">
        <v>348</v>
      </c>
      <c r="B349">
        <v>348</v>
      </c>
      <c r="C349" s="15">
        <v>3134428939</v>
      </c>
      <c r="D349" t="s">
        <v>490</v>
      </c>
      <c r="F349" t="s">
        <v>491</v>
      </c>
      <c r="G349" t="s">
        <v>3</v>
      </c>
      <c r="H349" t="str">
        <f>VLOOKUP(tblContactoCliente[[#This Row],[id_cliente]],tblClientes[[#All],[id]:[nombre_contacto]],4,0)</f>
        <v>MAURA ARGOTE</v>
      </c>
    </row>
    <row r="350" spans="1:8" x14ac:dyDescent="0.25">
      <c r="A350">
        <v>349</v>
      </c>
      <c r="B350">
        <v>349</v>
      </c>
      <c r="C350">
        <v>3185745820</v>
      </c>
      <c r="D350" t="s">
        <v>1469</v>
      </c>
      <c r="F350" t="s">
        <v>1470</v>
      </c>
      <c r="G350" t="s">
        <v>165</v>
      </c>
      <c r="H350" t="str">
        <f>VLOOKUP(tblContactoCliente[[#This Row],[id_cliente]],tblClientes[[#All],[id]:[nombre_contacto]],4,0)</f>
        <v>MAURICIO BARRERA</v>
      </c>
    </row>
    <row r="351" spans="1:8" x14ac:dyDescent="0.25">
      <c r="A351">
        <v>350</v>
      </c>
      <c r="B351">
        <v>350</v>
      </c>
      <c r="C351">
        <v>3123886191</v>
      </c>
      <c r="D351" t="s">
        <v>1044</v>
      </c>
      <c r="F351" t="s">
        <v>1045</v>
      </c>
      <c r="G351" t="s">
        <v>3</v>
      </c>
      <c r="H351" t="str">
        <f>VLOOKUP(tblContactoCliente[[#This Row],[id_cliente]],tblClientes[[#All],[id]:[nombre_contacto]],4,0)</f>
        <v>MAURICIO DIAZ</v>
      </c>
    </row>
    <row r="352" spans="1:8" x14ac:dyDescent="0.25">
      <c r="A352">
        <v>351</v>
      </c>
      <c r="B352">
        <v>351</v>
      </c>
      <c r="C352">
        <v>3013316648</v>
      </c>
      <c r="D352" t="s">
        <v>1429</v>
      </c>
      <c r="F352" t="s">
        <v>1408</v>
      </c>
      <c r="G352" t="s">
        <v>3</v>
      </c>
      <c r="H352" t="str">
        <f>VLOOKUP(tblContactoCliente[[#This Row],[id_cliente]],tblClientes[[#All],[id]:[nombre_contacto]],4,0)</f>
        <v>MAURICIO GALVIS</v>
      </c>
    </row>
    <row r="353" spans="1:8" x14ac:dyDescent="0.25">
      <c r="A353">
        <v>352</v>
      </c>
      <c r="B353">
        <v>352</v>
      </c>
      <c r="C353">
        <v>3204943911</v>
      </c>
      <c r="D353" t="s">
        <v>1476</v>
      </c>
      <c r="F353" t="s">
        <v>187</v>
      </c>
      <c r="G353" t="s">
        <v>3</v>
      </c>
      <c r="H353" t="str">
        <f>VLOOKUP(tblContactoCliente[[#This Row],[id_cliente]],tblClientes[[#All],[id]:[nombre_contacto]],4,0)</f>
        <v>MERCEDEZ GUTIERREZ</v>
      </c>
    </row>
    <row r="354" spans="1:8" x14ac:dyDescent="0.25">
      <c r="A354">
        <v>353</v>
      </c>
      <c r="B354">
        <v>353</v>
      </c>
      <c r="C354">
        <v>3102761560</v>
      </c>
      <c r="D354" t="s">
        <v>1480</v>
      </c>
      <c r="F354" t="s">
        <v>187</v>
      </c>
      <c r="G354" t="s">
        <v>3</v>
      </c>
      <c r="H354" t="str">
        <f>VLOOKUP(tblContactoCliente[[#This Row],[id_cliente]],tblClientes[[#All],[id]:[nombre_contacto]],4,0)</f>
        <v>MICHAEL STEVEN  OYOLA RAMIREZ</v>
      </c>
    </row>
    <row r="355" spans="1:8" x14ac:dyDescent="0.25">
      <c r="A355">
        <v>354</v>
      </c>
      <c r="B355">
        <v>354</v>
      </c>
      <c r="C355" s="15">
        <v>3102040130</v>
      </c>
      <c r="D355" t="s">
        <v>1484</v>
      </c>
      <c r="F355" t="s">
        <v>1485</v>
      </c>
      <c r="G355" t="s">
        <v>3</v>
      </c>
      <c r="H355" t="str">
        <f>VLOOKUP(tblContactoCliente[[#This Row],[id_cliente]],tblClientes[[#All],[id]:[nombre_contacto]],4,0)</f>
        <v>MICHAEL TRIANA</v>
      </c>
    </row>
    <row r="356" spans="1:8" x14ac:dyDescent="0.25">
      <c r="A356">
        <v>355</v>
      </c>
      <c r="B356">
        <v>355</v>
      </c>
      <c r="C356">
        <v>3045231252</v>
      </c>
      <c r="D356" t="s">
        <v>1489</v>
      </c>
      <c r="F356" t="s">
        <v>1346</v>
      </c>
      <c r="G356" t="s">
        <v>3</v>
      </c>
      <c r="H356" t="str">
        <f>VLOOKUP(tblContactoCliente[[#This Row],[id_cliente]],tblClientes[[#All],[id]:[nombre_contacto]],4,0)</f>
        <v>MILENA MOSQUERA</v>
      </c>
    </row>
    <row r="357" spans="1:8" x14ac:dyDescent="0.25">
      <c r="A357">
        <v>356</v>
      </c>
      <c r="B357">
        <v>356</v>
      </c>
      <c r="C357" s="15">
        <v>3107853973</v>
      </c>
      <c r="D357" t="s">
        <v>1492</v>
      </c>
      <c r="F357" t="s">
        <v>274</v>
      </c>
      <c r="G357" t="s">
        <v>3</v>
      </c>
      <c r="H357" t="str">
        <f>VLOOKUP(tblContactoCliente[[#This Row],[id_cliente]],tblClientes[[#All],[id]:[nombre_contacto]],4,0)</f>
        <v>MILLER ROJAS</v>
      </c>
    </row>
    <row r="358" spans="1:8" x14ac:dyDescent="0.25">
      <c r="A358">
        <v>357</v>
      </c>
      <c r="B358">
        <v>357</v>
      </c>
      <c r="C358">
        <v>3008406101</v>
      </c>
      <c r="D358" t="s">
        <v>1494</v>
      </c>
      <c r="F358" t="s">
        <v>187</v>
      </c>
      <c r="G358" t="s">
        <v>3</v>
      </c>
      <c r="H358" t="str">
        <f>VLOOKUP(tblContactoCliente[[#This Row],[id_cliente]],tblClientes[[#All],[id]:[nombre_contacto]],4,0)</f>
        <v>MILLER TAFUR</v>
      </c>
    </row>
    <row r="359" spans="1:8" x14ac:dyDescent="0.25">
      <c r="A359">
        <v>358</v>
      </c>
      <c r="B359">
        <v>358</v>
      </c>
      <c r="C359">
        <v>3116229092</v>
      </c>
      <c r="D359" t="s">
        <v>1498</v>
      </c>
      <c r="F359" t="s">
        <v>357</v>
      </c>
      <c r="G359" t="s">
        <v>3</v>
      </c>
      <c r="H359" t="str">
        <f>VLOOKUP(tblContactoCliente[[#This Row],[id_cliente]],tblClientes[[#All],[id]:[nombre_contacto]],4,0)</f>
        <v>MIREYA REALPE</v>
      </c>
    </row>
    <row r="360" spans="1:8" x14ac:dyDescent="0.25">
      <c r="A360">
        <v>359</v>
      </c>
      <c r="B360">
        <v>359</v>
      </c>
      <c r="C360">
        <v>3182185057</v>
      </c>
      <c r="D360" t="s">
        <v>1503</v>
      </c>
      <c r="F360" t="s">
        <v>549</v>
      </c>
      <c r="G360" t="s">
        <v>3</v>
      </c>
      <c r="H360" t="str">
        <f>VLOOKUP(tblContactoCliente[[#This Row],[id_cliente]],tblClientes[[#All],[id]:[nombre_contacto]],4,0)</f>
        <v>MONICA TORO</v>
      </c>
    </row>
    <row r="361" spans="1:8" x14ac:dyDescent="0.25">
      <c r="A361">
        <v>360</v>
      </c>
      <c r="B361">
        <v>360</v>
      </c>
      <c r="C361">
        <v>3168750069</v>
      </c>
      <c r="D361" t="s">
        <v>1507</v>
      </c>
      <c r="F361" t="s">
        <v>1508</v>
      </c>
      <c r="G361" t="s">
        <v>3</v>
      </c>
      <c r="H361" t="str">
        <f>VLOOKUP(tblContactoCliente[[#This Row],[id_cliente]],tblClientes[[#All],[id]:[nombre_contacto]],4,0)</f>
        <v>MONICA ULLOA</v>
      </c>
    </row>
    <row r="362" spans="1:8" x14ac:dyDescent="0.25">
      <c r="A362">
        <v>361</v>
      </c>
      <c r="B362">
        <v>361</v>
      </c>
      <c r="C362">
        <v>3132087149</v>
      </c>
      <c r="D362" t="s">
        <v>258</v>
      </c>
      <c r="F362" t="s">
        <v>259</v>
      </c>
      <c r="G362" t="s">
        <v>3</v>
      </c>
      <c r="H362" t="str">
        <f>VLOOKUP(tblContactoCliente[[#This Row],[id_cliente]],tblClientes[[#All],[id]:[nombre_contacto]],4,0)</f>
        <v>PAOLA BAYONA ASCANIO</v>
      </c>
    </row>
    <row r="363" spans="1:8" x14ac:dyDescent="0.25">
      <c r="A363">
        <v>362</v>
      </c>
      <c r="B363">
        <v>362</v>
      </c>
      <c r="C363">
        <v>3132004288</v>
      </c>
      <c r="D363" t="s">
        <v>1513</v>
      </c>
      <c r="F363" t="s">
        <v>747</v>
      </c>
      <c r="G363" t="s">
        <v>3</v>
      </c>
      <c r="H363" t="str">
        <f>VLOOKUP(tblContactoCliente[[#This Row],[id_cliente]],tblClientes[[#All],[id]:[nombre_contacto]],4,0)</f>
        <v>NELCY CALLEJAS PARRA</v>
      </c>
    </row>
    <row r="364" spans="1:8" x14ac:dyDescent="0.25">
      <c r="A364">
        <v>363</v>
      </c>
      <c r="B364">
        <v>363</v>
      </c>
      <c r="C364">
        <v>3147652202</v>
      </c>
      <c r="D364" t="s">
        <v>1516</v>
      </c>
      <c r="F364" t="s">
        <v>217</v>
      </c>
      <c r="G364" t="s">
        <v>1073</v>
      </c>
      <c r="H364" t="str">
        <f>VLOOKUP(tblContactoCliente[[#This Row],[id_cliente]],tblClientes[[#All],[id]:[nombre_contacto]],4,0)</f>
        <v>NELLI  PEÑA</v>
      </c>
    </row>
    <row r="365" spans="1:8" x14ac:dyDescent="0.25">
      <c r="A365">
        <v>364</v>
      </c>
      <c r="B365">
        <v>364</v>
      </c>
      <c r="C365">
        <v>3132517014</v>
      </c>
      <c r="D365" t="s">
        <v>1520</v>
      </c>
      <c r="F365" t="s">
        <v>1521</v>
      </c>
      <c r="G365" t="s">
        <v>3</v>
      </c>
      <c r="H365" t="str">
        <f>VLOOKUP(tblContactoCliente[[#This Row],[id_cliente]],tblClientes[[#All],[id]:[nombre_contacto]],4,0)</f>
        <v>NELSON GAMA</v>
      </c>
    </row>
    <row r="366" spans="1:8" x14ac:dyDescent="0.25">
      <c r="A366">
        <v>365</v>
      </c>
      <c r="B366">
        <v>365</v>
      </c>
      <c r="C366">
        <v>3133006828</v>
      </c>
      <c r="D366" t="s">
        <v>1526</v>
      </c>
      <c r="F366" t="s">
        <v>1408</v>
      </c>
      <c r="G366" t="s">
        <v>3</v>
      </c>
      <c r="H366" t="str">
        <f>VLOOKUP(tblContactoCliente[[#This Row],[id_cliente]],tblClientes[[#All],[id]:[nombre_contacto]],4,0)</f>
        <v>NELSON LOZANO</v>
      </c>
    </row>
    <row r="367" spans="1:8" x14ac:dyDescent="0.25">
      <c r="A367">
        <v>366</v>
      </c>
      <c r="B367">
        <v>366</v>
      </c>
      <c r="C367">
        <v>3168341670</v>
      </c>
      <c r="D367" t="s">
        <v>1530</v>
      </c>
      <c r="F367" t="s">
        <v>1531</v>
      </c>
      <c r="G367" t="s">
        <v>3</v>
      </c>
      <c r="H367" t="str">
        <f>VLOOKUP(tblContactoCliente[[#This Row],[id_cliente]],tblClientes[[#All],[id]:[nombre_contacto]],4,0)</f>
        <v>NELSON ROMERO</v>
      </c>
    </row>
    <row r="368" spans="1:8" x14ac:dyDescent="0.25">
      <c r="A368">
        <v>367</v>
      </c>
      <c r="B368">
        <v>367</v>
      </c>
      <c r="C368">
        <v>3112201151</v>
      </c>
      <c r="D368" t="s">
        <v>1535</v>
      </c>
      <c r="F368" t="s">
        <v>1536</v>
      </c>
      <c r="G368" t="s">
        <v>3</v>
      </c>
      <c r="H368" t="str">
        <f>VLOOKUP(tblContactoCliente[[#This Row],[id_cliente]],tblClientes[[#All],[id]:[nombre_contacto]],4,0)</f>
        <v>NELSON SOTO</v>
      </c>
    </row>
    <row r="369" spans="1:8" x14ac:dyDescent="0.25">
      <c r="A369">
        <v>368</v>
      </c>
      <c r="B369">
        <v>368</v>
      </c>
      <c r="C369" t="s">
        <v>1540</v>
      </c>
      <c r="D369" t="s">
        <v>1541</v>
      </c>
      <c r="F369" t="s">
        <v>1542</v>
      </c>
      <c r="G369" t="s">
        <v>3</v>
      </c>
      <c r="H369" t="str">
        <f>VLOOKUP(tblContactoCliente[[#This Row],[id_cliente]],tblClientes[[#All],[id]:[nombre_contacto]],4,0)</f>
        <v>NELSON VARON</v>
      </c>
    </row>
    <row r="370" spans="1:8" x14ac:dyDescent="0.25">
      <c r="A370">
        <v>369</v>
      </c>
      <c r="B370">
        <v>369</v>
      </c>
      <c r="C370">
        <v>2073105</v>
      </c>
      <c r="D370" t="s">
        <v>1546</v>
      </c>
      <c r="F370" t="s">
        <v>1547</v>
      </c>
      <c r="G370" t="s">
        <v>3</v>
      </c>
      <c r="H370" t="str">
        <f>VLOOKUP(tblContactoCliente[[#This Row],[id_cliente]],tblClientes[[#All],[id]:[nombre_contacto]],4,0)</f>
        <v>NERSY RODRIGUEZ</v>
      </c>
    </row>
    <row r="371" spans="1:8" x14ac:dyDescent="0.25">
      <c r="A371">
        <v>370</v>
      </c>
      <c r="B371">
        <v>370</v>
      </c>
      <c r="C371">
        <v>3138897287</v>
      </c>
      <c r="D371" t="s">
        <v>1551</v>
      </c>
      <c r="F371" t="s">
        <v>187</v>
      </c>
      <c r="G371" t="s">
        <v>3</v>
      </c>
      <c r="H371" t="str">
        <f>VLOOKUP(tblContactoCliente[[#This Row],[id_cliente]],tblClientes[[#All],[id]:[nombre_contacto]],4,0)</f>
        <v>NILSON PLATA GOMEZ</v>
      </c>
    </row>
    <row r="372" spans="1:8" x14ac:dyDescent="0.25">
      <c r="A372">
        <v>371</v>
      </c>
      <c r="B372">
        <v>371</v>
      </c>
      <c r="C372">
        <v>3184066844</v>
      </c>
      <c r="D372" t="s">
        <v>1554</v>
      </c>
      <c r="F372" t="s">
        <v>467</v>
      </c>
      <c r="G372" t="s">
        <v>467</v>
      </c>
      <c r="H372" t="str">
        <f>VLOOKUP(tblContactoCliente[[#This Row],[id_cliente]],tblClientes[[#All],[id]:[nombre_contacto]],4,0)</f>
        <v>NOHORA LEIDY GARCIA</v>
      </c>
    </row>
    <row r="373" spans="1:8" x14ac:dyDescent="0.25">
      <c r="A373">
        <v>372</v>
      </c>
      <c r="B373">
        <v>372</v>
      </c>
      <c r="C373">
        <v>3164481853</v>
      </c>
      <c r="D373" t="s">
        <v>1558</v>
      </c>
      <c r="F373" t="s">
        <v>987</v>
      </c>
      <c r="G373" t="s">
        <v>3</v>
      </c>
      <c r="H373" t="str">
        <f>VLOOKUP(tblContactoCliente[[#This Row],[id_cliente]],tblClientes[[#All],[id]:[nombre_contacto]],4,0)</f>
        <v>NORBEY URREGO</v>
      </c>
    </row>
    <row r="374" spans="1:8" x14ac:dyDescent="0.25">
      <c r="A374">
        <v>373</v>
      </c>
      <c r="B374">
        <v>373</v>
      </c>
      <c r="C374" s="15">
        <v>3114467455</v>
      </c>
      <c r="D374" t="s">
        <v>1561</v>
      </c>
      <c r="F374" t="s">
        <v>187</v>
      </c>
      <c r="G374" t="s">
        <v>3</v>
      </c>
      <c r="H374" t="str">
        <f>VLOOKUP(tblContactoCliente[[#This Row],[id_cliente]],tblClientes[[#All],[id]:[nombre_contacto]],4,0)</f>
        <v>NUBIA CASTRO</v>
      </c>
    </row>
    <row r="375" spans="1:8" x14ac:dyDescent="0.25">
      <c r="A375">
        <v>374</v>
      </c>
      <c r="B375">
        <v>374</v>
      </c>
      <c r="C375">
        <v>3134565525</v>
      </c>
      <c r="D375" t="s">
        <v>1563</v>
      </c>
      <c r="F375" t="s">
        <v>1564</v>
      </c>
      <c r="G375" t="s">
        <v>668</v>
      </c>
      <c r="H375" t="str">
        <f>VLOOKUP(tblContactoCliente[[#This Row],[id_cliente]],tblClientes[[#All],[id]:[nombre_contacto]],4,0)</f>
        <v>NUBIA PERDOMO</v>
      </c>
    </row>
    <row r="376" spans="1:8" x14ac:dyDescent="0.25">
      <c r="A376">
        <v>375</v>
      </c>
      <c r="B376">
        <v>375</v>
      </c>
      <c r="C376">
        <v>3214218512</v>
      </c>
      <c r="D376" t="s">
        <v>1567</v>
      </c>
      <c r="F376" t="s">
        <v>1568</v>
      </c>
      <c r="G376" t="s">
        <v>3</v>
      </c>
      <c r="H376" t="str">
        <f>VLOOKUP(tblContactoCliente[[#This Row],[id_cliente]],tblClientes[[#All],[id]:[nombre_contacto]],4,0)</f>
        <v>NURY CERA</v>
      </c>
    </row>
    <row r="377" spans="1:8" x14ac:dyDescent="0.25">
      <c r="A377">
        <v>376</v>
      </c>
      <c r="B377">
        <v>376</v>
      </c>
      <c r="C377">
        <v>3112337155</v>
      </c>
      <c r="D377" t="s">
        <v>1571</v>
      </c>
      <c r="F377" t="s">
        <v>1572</v>
      </c>
      <c r="G377" t="s">
        <v>3</v>
      </c>
      <c r="H377" t="str">
        <f>VLOOKUP(tblContactoCliente[[#This Row],[id_cliente]],tblClientes[[#All],[id]:[nombre_contacto]],4,0)</f>
        <v>OCTAVIO CARRILLO</v>
      </c>
    </row>
    <row r="378" spans="1:8" x14ac:dyDescent="0.25">
      <c r="A378">
        <v>377</v>
      </c>
      <c r="B378">
        <v>377</v>
      </c>
      <c r="C378">
        <v>3223110414</v>
      </c>
      <c r="D378" t="s">
        <v>1576</v>
      </c>
      <c r="F378" t="s">
        <v>1577</v>
      </c>
      <c r="G378" t="s">
        <v>3</v>
      </c>
      <c r="H378" t="str">
        <f>VLOOKUP(tblContactoCliente[[#This Row],[id_cliente]],tblClientes[[#All],[id]:[nombre_contacto]],4,0)</f>
        <v>OLIVERIO ARTULUAGA</v>
      </c>
    </row>
    <row r="379" spans="1:8" x14ac:dyDescent="0.25">
      <c r="A379">
        <v>378</v>
      </c>
      <c r="B379">
        <v>378</v>
      </c>
      <c r="C379">
        <v>3223716284</v>
      </c>
      <c r="D379" t="s">
        <v>1581</v>
      </c>
      <c r="F379" t="s">
        <v>1582</v>
      </c>
      <c r="G379" t="s">
        <v>3</v>
      </c>
      <c r="H379" t="str">
        <f>VLOOKUP(tblContactoCliente[[#This Row],[id_cliente]],tblClientes[[#All],[id]:[nombre_contacto]],4,0)</f>
        <v>OLMEDO GALLEGO</v>
      </c>
    </row>
    <row r="380" spans="1:8" x14ac:dyDescent="0.25">
      <c r="A380">
        <v>379</v>
      </c>
      <c r="B380">
        <v>379</v>
      </c>
      <c r="C380">
        <v>3138558959</v>
      </c>
      <c r="D380" t="s">
        <v>1584</v>
      </c>
      <c r="F380" t="s">
        <v>1585</v>
      </c>
      <c r="G380" t="s">
        <v>467</v>
      </c>
      <c r="H380" t="str">
        <f>VLOOKUP(tblContactoCliente[[#This Row],[id_cliente]],tblClientes[[#All],[id]:[nombre_contacto]],4,0)</f>
        <v>OLMEDO TRUJILLO</v>
      </c>
    </row>
    <row r="381" spans="1:8" x14ac:dyDescent="0.25">
      <c r="A381">
        <v>380</v>
      </c>
      <c r="B381">
        <v>380</v>
      </c>
      <c r="C381">
        <v>3208214249</v>
      </c>
      <c r="D381" t="s">
        <v>1587</v>
      </c>
      <c r="F381" t="s">
        <v>274</v>
      </c>
      <c r="G381" t="s">
        <v>3</v>
      </c>
      <c r="H381" t="str">
        <f>VLOOKUP(tblContactoCliente[[#This Row],[id_cliente]],tblClientes[[#All],[id]:[nombre_contacto]],4,0)</f>
        <v>OLVER SILVA</v>
      </c>
    </row>
    <row r="382" spans="1:8" x14ac:dyDescent="0.25">
      <c r="A382">
        <v>381</v>
      </c>
      <c r="B382">
        <v>381</v>
      </c>
      <c r="C382">
        <v>3125800500</v>
      </c>
      <c r="D382" t="s">
        <v>1589</v>
      </c>
      <c r="F382" t="s">
        <v>1590</v>
      </c>
      <c r="G382" t="s">
        <v>3</v>
      </c>
      <c r="H382" t="str">
        <f>VLOOKUP(tblContactoCliente[[#This Row],[id_cliente]],tblClientes[[#All],[id]:[nombre_contacto]],4,0)</f>
        <v>OMAR QUIÑONES</v>
      </c>
    </row>
    <row r="383" spans="1:8" x14ac:dyDescent="0.25">
      <c r="A383">
        <v>382</v>
      </c>
      <c r="B383">
        <v>382</v>
      </c>
      <c r="C383">
        <v>3118702101</v>
      </c>
      <c r="D383" t="s">
        <v>1594</v>
      </c>
      <c r="F383" t="s">
        <v>1595</v>
      </c>
      <c r="G383" t="s">
        <v>3</v>
      </c>
      <c r="H383" t="str">
        <f>VLOOKUP(tblContactoCliente[[#This Row],[id_cliente]],tblClientes[[#All],[id]:[nombre_contacto]],4,0)</f>
        <v>ORLADO ORTEGA MUÑOZ</v>
      </c>
    </row>
    <row r="384" spans="1:8" x14ac:dyDescent="0.25">
      <c r="A384">
        <v>383</v>
      </c>
      <c r="B384">
        <v>383</v>
      </c>
      <c r="C384">
        <v>3108844740</v>
      </c>
      <c r="D384" t="s">
        <v>1598</v>
      </c>
      <c r="F384" t="s">
        <v>217</v>
      </c>
      <c r="G384" t="s">
        <v>3</v>
      </c>
      <c r="H384" t="str">
        <f>VLOOKUP(tblContactoCliente[[#This Row],[id_cliente]],tblClientes[[#All],[id]:[nombre_contacto]],4,0)</f>
        <v>ORLANDO JIMENEZ</v>
      </c>
    </row>
    <row r="385" spans="1:8" x14ac:dyDescent="0.25">
      <c r="A385">
        <v>384</v>
      </c>
      <c r="B385">
        <v>384</v>
      </c>
      <c r="C385" s="15">
        <v>3115364820</v>
      </c>
      <c r="D385" t="s">
        <v>1602</v>
      </c>
      <c r="F385" t="s">
        <v>1603</v>
      </c>
      <c r="G385" t="s">
        <v>3</v>
      </c>
      <c r="H385" t="str">
        <f>VLOOKUP(tblContactoCliente[[#This Row],[id_cliente]],tblClientes[[#All],[id]:[nombre_contacto]],4,0)</f>
        <v>OSCAR DUARTE</v>
      </c>
    </row>
    <row r="386" spans="1:8" x14ac:dyDescent="0.25">
      <c r="A386">
        <v>385</v>
      </c>
      <c r="B386">
        <v>385</v>
      </c>
      <c r="C386">
        <v>3133517171</v>
      </c>
      <c r="D386" t="s">
        <v>1607</v>
      </c>
      <c r="F386" t="s">
        <v>1608</v>
      </c>
      <c r="G386" t="s">
        <v>3</v>
      </c>
      <c r="H386" t="str">
        <f>VLOOKUP(tblContactoCliente[[#This Row],[id_cliente]],tblClientes[[#All],[id]:[nombre_contacto]],4,0)</f>
        <v>OSCAR RAMIRO CERON MUÑOZ</v>
      </c>
    </row>
    <row r="387" spans="1:8" x14ac:dyDescent="0.25">
      <c r="A387">
        <v>386</v>
      </c>
      <c r="B387">
        <v>386</v>
      </c>
      <c r="C387">
        <v>3103327015</v>
      </c>
      <c r="D387" t="s">
        <v>1611</v>
      </c>
      <c r="F387" t="s">
        <v>1320</v>
      </c>
      <c r="G387" t="s">
        <v>3</v>
      </c>
      <c r="H387" t="str">
        <f>VLOOKUP(tblContactoCliente[[#This Row],[id_cliente]],tblClientes[[#All],[id]:[nombre_contacto]],4,0)</f>
        <v>OSMAN CROS</v>
      </c>
    </row>
    <row r="388" spans="1:8" x14ac:dyDescent="0.25">
      <c r="A388">
        <v>387</v>
      </c>
      <c r="B388">
        <v>387</v>
      </c>
      <c r="C388">
        <v>3108124017</v>
      </c>
      <c r="D388" t="s">
        <v>1613</v>
      </c>
      <c r="F388" t="s">
        <v>1614</v>
      </c>
      <c r="G388" t="s">
        <v>3</v>
      </c>
      <c r="H388" t="str">
        <f>VLOOKUP(tblContactoCliente[[#This Row],[id_cliente]],tblClientes[[#All],[id]:[nombre_contacto]],4,0)</f>
        <v>OSWALDO RAMO</v>
      </c>
    </row>
    <row r="389" spans="1:8" x14ac:dyDescent="0.25">
      <c r="A389">
        <v>388</v>
      </c>
      <c r="B389">
        <v>388</v>
      </c>
      <c r="C389">
        <v>3178882567</v>
      </c>
      <c r="D389" t="s">
        <v>1616</v>
      </c>
      <c r="F389" t="s">
        <v>1617</v>
      </c>
      <c r="G389" t="s">
        <v>3</v>
      </c>
      <c r="H389" t="str">
        <f>VLOOKUP(tblContactoCliente[[#This Row],[id_cliente]],tblClientes[[#All],[id]:[nombre_contacto]],4,0)</f>
        <v>OTONIEL MENSA</v>
      </c>
    </row>
    <row r="390" spans="1:8" x14ac:dyDescent="0.25">
      <c r="A390">
        <v>389</v>
      </c>
      <c r="B390">
        <v>389</v>
      </c>
      <c r="C390" s="15">
        <v>3005558948</v>
      </c>
      <c r="D390" t="s">
        <v>1619</v>
      </c>
      <c r="F390" t="s">
        <v>1620</v>
      </c>
      <c r="G390" t="s">
        <v>3</v>
      </c>
      <c r="H390" t="str">
        <f>VLOOKUP(tblContactoCliente[[#This Row],[id_cliente]],tblClientes[[#All],[id]:[nombre_contacto]],4,0)</f>
        <v>PATRICIA CHACON</v>
      </c>
    </row>
    <row r="391" spans="1:8" x14ac:dyDescent="0.25">
      <c r="A391">
        <v>390</v>
      </c>
      <c r="B391">
        <v>390</v>
      </c>
      <c r="C391" s="15">
        <v>3104515132</v>
      </c>
      <c r="D391" t="s">
        <v>1624</v>
      </c>
      <c r="F391" t="s">
        <v>7</v>
      </c>
      <c r="G391" t="s">
        <v>7</v>
      </c>
      <c r="H391" t="str">
        <f>VLOOKUP(tblContactoCliente[[#This Row],[id_cliente]],tblClientes[[#All],[id]:[nombre_contacto]],4,0)</f>
        <v>PAULA CALI</v>
      </c>
    </row>
    <row r="392" spans="1:8" x14ac:dyDescent="0.25">
      <c r="A392">
        <v>391</v>
      </c>
      <c r="B392">
        <v>391</v>
      </c>
      <c r="C392">
        <v>3123838312</v>
      </c>
      <c r="D392" t="s">
        <v>1628</v>
      </c>
      <c r="F392" t="s">
        <v>1629</v>
      </c>
      <c r="G392" t="s">
        <v>253</v>
      </c>
      <c r="H392" t="str">
        <f>VLOOKUP(tblContactoCliente[[#This Row],[id_cliente]],tblClientes[[#All],[id]:[nombre_contacto]],4,0)</f>
        <v>PEDRO AGUSTIN MUÑOZ CARREÑO</v>
      </c>
    </row>
    <row r="393" spans="1:8" x14ac:dyDescent="0.25">
      <c r="A393">
        <v>392</v>
      </c>
      <c r="B393">
        <v>392</v>
      </c>
      <c r="C393">
        <v>31750145859</v>
      </c>
      <c r="D393" t="s">
        <v>1633</v>
      </c>
      <c r="F393" t="s">
        <v>444</v>
      </c>
      <c r="G393" t="s">
        <v>3</v>
      </c>
      <c r="H393" t="str">
        <f>VLOOKUP(tblContactoCliente[[#This Row],[id_cliente]],tblClientes[[#All],[id]:[nombre_contacto]],4,0)</f>
        <v>PEDRO GOMEZ</v>
      </c>
    </row>
    <row r="394" spans="1:8" x14ac:dyDescent="0.25">
      <c r="A394">
        <v>393</v>
      </c>
      <c r="B394">
        <v>393</v>
      </c>
      <c r="C394">
        <v>3222851367</v>
      </c>
      <c r="D394" t="s">
        <v>1637</v>
      </c>
      <c r="F394" t="s">
        <v>1629</v>
      </c>
      <c r="G394" t="s">
        <v>224</v>
      </c>
      <c r="H394" t="str">
        <f>VLOOKUP(tblContactoCliente[[#This Row],[id_cliente]],tblClientes[[#All],[id]:[nombre_contacto]],4,0)</f>
        <v>PEDRO MUÑOZ</v>
      </c>
    </row>
    <row r="395" spans="1:8" x14ac:dyDescent="0.25">
      <c r="A395">
        <v>394</v>
      </c>
      <c r="B395">
        <v>394</v>
      </c>
      <c r="C395">
        <v>3124873060</v>
      </c>
      <c r="D395" t="s">
        <v>1</v>
      </c>
      <c r="F395" t="s">
        <v>142</v>
      </c>
      <c r="G395" t="s">
        <v>3</v>
      </c>
      <c r="H395" t="str">
        <f>VLOOKUP(tblContactoCliente[[#This Row],[id_cliente]],tblClientes[[#All],[id]:[nombre_contacto]],4,0)</f>
        <v>PEDRO PABLO PEÑUELA</v>
      </c>
    </row>
    <row r="396" spans="1:8" x14ac:dyDescent="0.25">
      <c r="A396">
        <v>395</v>
      </c>
      <c r="B396">
        <v>395</v>
      </c>
      <c r="C396">
        <v>3102663193</v>
      </c>
      <c r="D396" t="s">
        <v>1641</v>
      </c>
      <c r="F396" t="s">
        <v>274</v>
      </c>
      <c r="G396" t="s">
        <v>3</v>
      </c>
      <c r="H396" t="str">
        <f>VLOOKUP(tblContactoCliente[[#This Row],[id_cliente]],tblClientes[[#All],[id]:[nombre_contacto]],4,0)</f>
        <v>PEDRO PARRA ROJAS</v>
      </c>
    </row>
    <row r="397" spans="1:8" x14ac:dyDescent="0.25">
      <c r="A397">
        <v>396</v>
      </c>
      <c r="B397">
        <v>396</v>
      </c>
      <c r="C397">
        <v>3114631700</v>
      </c>
      <c r="D397" t="s">
        <v>1643</v>
      </c>
      <c r="F397" t="s">
        <v>1644</v>
      </c>
      <c r="G397" t="s">
        <v>3</v>
      </c>
      <c r="H397" t="str">
        <f>VLOOKUP(tblContactoCliente[[#This Row],[id_cliente]],tblClientes[[#All],[id]:[nombre_contacto]],4,0)</f>
        <v>PEDRO PINILLA</v>
      </c>
    </row>
    <row r="398" spans="1:8" x14ac:dyDescent="0.25">
      <c r="A398">
        <v>397</v>
      </c>
      <c r="B398">
        <v>397</v>
      </c>
      <c r="C398">
        <v>3102353006</v>
      </c>
      <c r="D398" t="s">
        <v>1646</v>
      </c>
      <c r="F398" t="s">
        <v>1032</v>
      </c>
      <c r="G398" t="s">
        <v>3</v>
      </c>
      <c r="H398" t="str">
        <f>VLOOKUP(tblContactoCliente[[#This Row],[id_cliente]],tblClientes[[#All],[id]:[nombre_contacto]],4,0)</f>
        <v>RAMIRO CLAVIJO</v>
      </c>
    </row>
    <row r="399" spans="1:8" x14ac:dyDescent="0.25">
      <c r="A399">
        <v>398</v>
      </c>
      <c r="B399">
        <v>398</v>
      </c>
      <c r="C399">
        <v>3118538870</v>
      </c>
      <c r="D399" t="s">
        <v>1648</v>
      </c>
      <c r="F399" t="s">
        <v>1649</v>
      </c>
      <c r="G399" t="s">
        <v>3</v>
      </c>
      <c r="H399" t="str">
        <f>VLOOKUP(tblContactoCliente[[#This Row],[id_cliente]],tblClientes[[#All],[id]:[nombre_contacto]],4,0)</f>
        <v>RAMON PIZA</v>
      </c>
    </row>
    <row r="400" spans="1:8" x14ac:dyDescent="0.25">
      <c r="A400">
        <v>399</v>
      </c>
      <c r="B400">
        <v>399</v>
      </c>
      <c r="C400">
        <v>3153611320</v>
      </c>
      <c r="D400" t="s">
        <v>1651</v>
      </c>
      <c r="F400" t="s">
        <v>264</v>
      </c>
      <c r="G400" t="s">
        <v>3</v>
      </c>
      <c r="H400" t="str">
        <f>VLOOKUP(tblContactoCliente[[#This Row],[id_cliente]],tblClientes[[#All],[id]:[nombre_contacto]],4,0)</f>
        <v>RAUL BOLAÑOS</v>
      </c>
    </row>
    <row r="401" spans="1:8" x14ac:dyDescent="0.25">
      <c r="A401">
        <v>400</v>
      </c>
      <c r="B401">
        <v>400</v>
      </c>
      <c r="C401">
        <v>3118880110</v>
      </c>
      <c r="D401" t="s">
        <v>1653</v>
      </c>
      <c r="F401" t="s">
        <v>795</v>
      </c>
      <c r="G401" t="s">
        <v>3</v>
      </c>
      <c r="H401" t="str">
        <f>VLOOKUP(tblContactoCliente[[#This Row],[id_cliente]],tblClientes[[#All],[id]:[nombre_contacto]],4,0)</f>
        <v>REINALDO BUITRAGO</v>
      </c>
    </row>
    <row r="402" spans="1:8" x14ac:dyDescent="0.25">
      <c r="A402">
        <v>401</v>
      </c>
      <c r="B402">
        <v>401</v>
      </c>
      <c r="C402">
        <v>3105617193</v>
      </c>
      <c r="D402" t="s">
        <v>1657</v>
      </c>
      <c r="F402" t="s">
        <v>549</v>
      </c>
      <c r="G402" t="s">
        <v>3</v>
      </c>
      <c r="H402" t="str">
        <f>VLOOKUP(tblContactoCliente[[#This Row],[id_cliente]],tblClientes[[#All],[id]:[nombre_contacto]],4,0)</f>
        <v>RICARDO CAMELO</v>
      </c>
    </row>
    <row r="403" spans="1:8" x14ac:dyDescent="0.25">
      <c r="A403">
        <v>402</v>
      </c>
      <c r="B403">
        <v>402</v>
      </c>
      <c r="C403">
        <v>3203028213</v>
      </c>
      <c r="D403" t="s">
        <v>1661</v>
      </c>
      <c r="F403" t="s">
        <v>1531</v>
      </c>
      <c r="G403" t="s">
        <v>3</v>
      </c>
      <c r="H403" t="str">
        <f>VLOOKUP(tblContactoCliente[[#This Row],[id_cliente]],tblClientes[[#All],[id]:[nombre_contacto]],4,0)</f>
        <v>RICARDO GARCIA</v>
      </c>
    </row>
    <row r="404" spans="1:8" x14ac:dyDescent="0.25">
      <c r="A404">
        <v>403</v>
      </c>
      <c r="B404">
        <v>403</v>
      </c>
      <c r="C404" s="15">
        <v>3125377414</v>
      </c>
      <c r="D404" t="s">
        <v>1664</v>
      </c>
      <c r="F404" t="s">
        <v>243</v>
      </c>
      <c r="G404" t="s">
        <v>3</v>
      </c>
      <c r="H404" t="str">
        <f>VLOOKUP(tblContactoCliente[[#This Row],[id_cliente]],tblClientes[[#All],[id]:[nombre_contacto]],4,0)</f>
        <v>RICARDO OYUELA</v>
      </c>
    </row>
    <row r="405" spans="1:8" x14ac:dyDescent="0.25">
      <c r="A405">
        <v>404</v>
      </c>
      <c r="B405">
        <v>404</v>
      </c>
      <c r="C405">
        <v>3158953158</v>
      </c>
      <c r="D405" t="s">
        <v>1667</v>
      </c>
      <c r="F405" t="s">
        <v>1032</v>
      </c>
      <c r="G405" t="s">
        <v>1032</v>
      </c>
      <c r="H405" t="str">
        <f>VLOOKUP(tblContactoCliente[[#This Row],[id_cliente]],tblClientes[[#All],[id]:[nombre_contacto]],4,0)</f>
        <v>RICARDO PINEDA MARIN</v>
      </c>
    </row>
    <row r="406" spans="1:8" x14ac:dyDescent="0.25">
      <c r="A406">
        <v>405</v>
      </c>
      <c r="B406">
        <v>405</v>
      </c>
      <c r="C406" s="15">
        <v>3123058742</v>
      </c>
      <c r="D406" t="s">
        <v>1670</v>
      </c>
      <c r="F406" t="s">
        <v>187</v>
      </c>
      <c r="G406" t="s">
        <v>3</v>
      </c>
      <c r="H406" t="str">
        <f>VLOOKUP(tblContactoCliente[[#This Row],[id_cliente]],tblClientes[[#All],[id]:[nombre_contacto]],4,0)</f>
        <v>RICARDO SAAB HIJO</v>
      </c>
    </row>
    <row r="407" spans="1:8" x14ac:dyDescent="0.25">
      <c r="A407">
        <v>406</v>
      </c>
      <c r="B407">
        <v>406</v>
      </c>
      <c r="C407">
        <v>3208482012</v>
      </c>
      <c r="D407" t="s">
        <v>1670</v>
      </c>
      <c r="F407" t="s">
        <v>187</v>
      </c>
      <c r="G407" t="s">
        <v>3</v>
      </c>
      <c r="H407" t="str">
        <f>VLOOKUP(tblContactoCliente[[#This Row],[id_cliente]],tblClientes[[#All],[id]:[nombre_contacto]],4,0)</f>
        <v xml:space="preserve">RICARDO SAAB PAPA </v>
      </c>
    </row>
    <row r="408" spans="1:8" x14ac:dyDescent="0.25">
      <c r="A408">
        <v>407</v>
      </c>
      <c r="B408">
        <v>407</v>
      </c>
      <c r="C408">
        <v>3142300244</v>
      </c>
      <c r="D408" t="s">
        <v>1675</v>
      </c>
      <c r="F408" t="s">
        <v>1676</v>
      </c>
      <c r="G408" t="s">
        <v>3</v>
      </c>
      <c r="H408" t="str">
        <f>VLOOKUP(tblContactoCliente[[#This Row],[id_cliente]],tblClientes[[#All],[id]:[nombre_contacto]],4,0)</f>
        <v>RICARDO SILVA</v>
      </c>
    </row>
    <row r="409" spans="1:8" x14ac:dyDescent="0.25">
      <c r="A409">
        <v>408</v>
      </c>
      <c r="B409">
        <v>408</v>
      </c>
      <c r="C409">
        <v>3203063145</v>
      </c>
      <c r="D409" t="s">
        <v>1678</v>
      </c>
      <c r="F409" t="s">
        <v>1679</v>
      </c>
      <c r="G409" t="s">
        <v>3</v>
      </c>
      <c r="H409" t="str">
        <f>VLOOKUP(tblContactoCliente[[#This Row],[id_cliente]],tblClientes[[#All],[id]:[nombre_contacto]],4,0)</f>
        <v>RICARDO VARGAS</v>
      </c>
    </row>
    <row r="410" spans="1:8" x14ac:dyDescent="0.25">
      <c r="A410">
        <v>409</v>
      </c>
      <c r="B410">
        <v>409</v>
      </c>
      <c r="C410">
        <v>3213857069</v>
      </c>
      <c r="D410" t="s">
        <v>1684</v>
      </c>
      <c r="F410" t="s">
        <v>1685</v>
      </c>
      <c r="G410" t="s">
        <v>3</v>
      </c>
      <c r="H410" t="str">
        <f>VLOOKUP(tblContactoCliente[[#This Row],[id_cliente]],tblClientes[[#All],[id]:[nombre_contacto]],4,0)</f>
        <v>RICHARD ANTONY CHACON</v>
      </c>
    </row>
    <row r="411" spans="1:8" x14ac:dyDescent="0.25">
      <c r="A411">
        <v>410</v>
      </c>
      <c r="B411">
        <v>410</v>
      </c>
      <c r="C411">
        <v>3014519898</v>
      </c>
      <c r="D411" t="s">
        <v>526</v>
      </c>
      <c r="F411" t="s">
        <v>527</v>
      </c>
      <c r="G411" t="s">
        <v>3</v>
      </c>
      <c r="H411" t="str">
        <f>VLOOKUP(tblContactoCliente[[#This Row],[id_cliente]],tblClientes[[#All],[id]:[nombre_contacto]],4,0)</f>
        <v>ROCIO VARGAS</v>
      </c>
    </row>
    <row r="412" spans="1:8" x14ac:dyDescent="0.25">
      <c r="A412">
        <v>411</v>
      </c>
      <c r="B412">
        <v>411</v>
      </c>
      <c r="C412">
        <v>3138260611</v>
      </c>
      <c r="D412" t="s">
        <v>1688</v>
      </c>
      <c r="F412" t="s">
        <v>146</v>
      </c>
      <c r="G412" t="s">
        <v>3</v>
      </c>
      <c r="H412" t="str">
        <f>VLOOKUP(tblContactoCliente[[#This Row],[id_cliente]],tblClientes[[#All],[id]:[nombre_contacto]],4,0)</f>
        <v>RODOLFO JURADO</v>
      </c>
    </row>
    <row r="413" spans="1:8" x14ac:dyDescent="0.25">
      <c r="A413">
        <v>412</v>
      </c>
      <c r="B413">
        <v>412</v>
      </c>
      <c r="C413">
        <v>3103374837</v>
      </c>
      <c r="D413" t="s">
        <v>1690</v>
      </c>
      <c r="F413" t="s">
        <v>1079</v>
      </c>
      <c r="G413" t="s">
        <v>3</v>
      </c>
      <c r="H413" t="str">
        <f>VLOOKUP(tblContactoCliente[[#This Row],[id_cliente]],tblClientes[[#All],[id]:[nombre_contacto]],4,0)</f>
        <v>ROGER LOPEZ</v>
      </c>
    </row>
    <row r="414" spans="1:8" x14ac:dyDescent="0.25">
      <c r="A414">
        <v>413</v>
      </c>
      <c r="B414">
        <v>413</v>
      </c>
      <c r="C414">
        <v>3123382440</v>
      </c>
      <c r="D414" t="s">
        <v>1</v>
      </c>
      <c r="F414" t="s">
        <v>142</v>
      </c>
      <c r="G414" t="s">
        <v>3</v>
      </c>
      <c r="H414" t="str">
        <f>VLOOKUP(tblContactoCliente[[#This Row],[id_cliente]],tblClientes[[#All],[id]:[nombre_contacto]],4,0)</f>
        <v xml:space="preserve">ROSA CUELLAR </v>
      </c>
    </row>
    <row r="415" spans="1:8" x14ac:dyDescent="0.25">
      <c r="A415">
        <v>414</v>
      </c>
      <c r="B415">
        <v>414</v>
      </c>
      <c r="C415">
        <v>3204492734</v>
      </c>
      <c r="D415" t="s">
        <v>1693</v>
      </c>
      <c r="F415" t="s">
        <v>187</v>
      </c>
      <c r="G415" t="s">
        <v>3</v>
      </c>
      <c r="H415" t="str">
        <f>VLOOKUP(tblContactoCliente[[#This Row],[id_cliente]],tblClientes[[#All],[id]:[nombre_contacto]],4,0)</f>
        <v>RUFINO ARIAS</v>
      </c>
    </row>
    <row r="416" spans="1:8" x14ac:dyDescent="0.25">
      <c r="A416">
        <v>415</v>
      </c>
      <c r="B416">
        <v>415</v>
      </c>
      <c r="C416">
        <v>3123010296</v>
      </c>
      <c r="D416" t="s">
        <v>1697</v>
      </c>
      <c r="F416" t="s">
        <v>734</v>
      </c>
      <c r="G416" t="s">
        <v>3</v>
      </c>
      <c r="H416" t="str">
        <f>VLOOKUP(tblContactoCliente[[#This Row],[id_cliente]],tblClientes[[#All],[id]:[nombre_contacto]],4,0)</f>
        <v>RUTILIO MARTINEZ ERAZO</v>
      </c>
    </row>
    <row r="417" spans="1:8" x14ac:dyDescent="0.25">
      <c r="A417">
        <v>416</v>
      </c>
      <c r="B417">
        <v>416</v>
      </c>
      <c r="C417">
        <v>3124972221</v>
      </c>
      <c r="D417" t="s">
        <v>1701</v>
      </c>
      <c r="F417" t="s">
        <v>1702</v>
      </c>
      <c r="G417" t="s">
        <v>3</v>
      </c>
      <c r="H417" t="str">
        <f>VLOOKUP(tblContactoCliente[[#This Row],[id_cliente]],tblClientes[[#All],[id]:[nombre_contacto]],4,0)</f>
        <v>SANDRA CABREJO</v>
      </c>
    </row>
    <row r="418" spans="1:8" x14ac:dyDescent="0.25">
      <c r="A418">
        <v>417</v>
      </c>
      <c r="B418">
        <v>417</v>
      </c>
      <c r="C418">
        <v>3203049882</v>
      </c>
      <c r="D418" t="s">
        <v>1704</v>
      </c>
      <c r="F418" t="s">
        <v>1365</v>
      </c>
      <c r="G418" t="s">
        <v>1365</v>
      </c>
      <c r="H418" t="str">
        <f>VLOOKUP(tblContactoCliente[[#This Row],[id_cliente]],tblClientes[[#All],[id]:[nombre_contacto]],4,0)</f>
        <v>SANDRA LILIANA CASTANEDA</v>
      </c>
    </row>
    <row r="419" spans="1:8" x14ac:dyDescent="0.25">
      <c r="A419">
        <v>418</v>
      </c>
      <c r="B419">
        <v>418</v>
      </c>
      <c r="C419">
        <v>304536228</v>
      </c>
      <c r="D419" t="s">
        <v>1706</v>
      </c>
      <c r="F419" t="s">
        <v>1707</v>
      </c>
      <c r="G419" t="s">
        <v>3</v>
      </c>
      <c r="H419" t="str">
        <f>VLOOKUP(tblContactoCliente[[#This Row],[id_cliente]],tblClientes[[#All],[id]:[nombre_contacto]],4,0)</f>
        <v>SANDRA MILENA SANCHEZ</v>
      </c>
    </row>
    <row r="420" spans="1:8" x14ac:dyDescent="0.25">
      <c r="A420">
        <v>419</v>
      </c>
      <c r="B420">
        <v>419</v>
      </c>
      <c r="C420">
        <v>3007369161</v>
      </c>
      <c r="D420" t="s">
        <v>1711</v>
      </c>
      <c r="F420" t="s">
        <v>1712</v>
      </c>
      <c r="G420" t="s">
        <v>16</v>
      </c>
      <c r="H420" t="str">
        <f>VLOOKUP(tblContactoCliente[[#This Row],[id_cliente]],tblClientes[[#All],[id]:[nombre_contacto]],4,0)</f>
        <v>SANDRA RICAURTE</v>
      </c>
    </row>
    <row r="421" spans="1:8" x14ac:dyDescent="0.25">
      <c r="A421">
        <v>420</v>
      </c>
      <c r="B421">
        <v>420</v>
      </c>
      <c r="C421">
        <v>3007369161</v>
      </c>
      <c r="D421" t="s">
        <v>1715</v>
      </c>
      <c r="F421" t="s">
        <v>1716</v>
      </c>
      <c r="G421" t="s">
        <v>16</v>
      </c>
      <c r="H421" t="str">
        <f>VLOOKUP(tblContactoCliente[[#This Row],[id_cliente]],tblClientes[[#All],[id]:[nombre_contacto]],4,0)</f>
        <v>SANTIAGO YEPES</v>
      </c>
    </row>
    <row r="422" spans="1:8" x14ac:dyDescent="0.25">
      <c r="A422">
        <v>421</v>
      </c>
      <c r="B422">
        <v>421</v>
      </c>
      <c r="C422">
        <v>3176783106</v>
      </c>
      <c r="D422" t="s">
        <v>1720</v>
      </c>
      <c r="F422" t="s">
        <v>1721</v>
      </c>
      <c r="G422" t="s">
        <v>3</v>
      </c>
      <c r="H422" t="str">
        <f>VLOOKUP(tblContactoCliente[[#This Row],[id_cliente]],tblClientes[[#All],[id]:[nombre_contacto]],4,0)</f>
        <v>SANTOS GAHONA</v>
      </c>
    </row>
    <row r="423" spans="1:8" x14ac:dyDescent="0.25">
      <c r="A423">
        <v>422</v>
      </c>
      <c r="B423">
        <v>422</v>
      </c>
      <c r="C423">
        <v>3123869492</v>
      </c>
      <c r="D423" t="s">
        <v>1725</v>
      </c>
      <c r="F423" t="s">
        <v>513</v>
      </c>
      <c r="G423" t="s">
        <v>3</v>
      </c>
      <c r="H423" t="str">
        <f>VLOOKUP(tblContactoCliente[[#This Row],[id_cliente]],tblClientes[[#All],[id]:[nombre_contacto]],4,0)</f>
        <v>SEBASTIAN RAMIREZ</v>
      </c>
    </row>
    <row r="424" spans="1:8" x14ac:dyDescent="0.25">
      <c r="A424">
        <v>423</v>
      </c>
      <c r="B424">
        <v>423</v>
      </c>
      <c r="C424">
        <v>3182185057</v>
      </c>
      <c r="D424" t="s">
        <v>1729</v>
      </c>
      <c r="F424" t="s">
        <v>549</v>
      </c>
      <c r="G424" t="s">
        <v>3</v>
      </c>
      <c r="H424" t="str">
        <f>VLOOKUP(tblContactoCliente[[#This Row],[id_cliente]],tblClientes[[#All],[id]:[nombre_contacto]],4,0)</f>
        <v>SELVIO RODRIGUEZ</v>
      </c>
    </row>
    <row r="425" spans="1:8" x14ac:dyDescent="0.25">
      <c r="A425">
        <v>424</v>
      </c>
      <c r="B425">
        <v>424</v>
      </c>
      <c r="C425">
        <v>3208475417</v>
      </c>
      <c r="D425" t="s">
        <v>1731</v>
      </c>
      <c r="F425" t="s">
        <v>366</v>
      </c>
      <c r="G425" t="s">
        <v>3</v>
      </c>
      <c r="H425" t="str">
        <f>VLOOKUP(tblContactoCliente[[#This Row],[id_cliente]],tblClientes[[#All],[id]:[nombre_contacto]],4,0)</f>
        <v>SERAFIN URBANO</v>
      </c>
    </row>
    <row r="426" spans="1:8" x14ac:dyDescent="0.25">
      <c r="A426">
        <v>425</v>
      </c>
      <c r="B426">
        <v>425</v>
      </c>
      <c r="C426">
        <v>5604945</v>
      </c>
      <c r="D426" t="s">
        <v>656</v>
      </c>
      <c r="F426" t="s">
        <v>187</v>
      </c>
      <c r="G426" t="s">
        <v>3</v>
      </c>
      <c r="H426" t="str">
        <f>VLOOKUP(tblContactoCliente[[#This Row],[id_cliente]],tblClientes[[#All],[id]:[nombre_contacto]],4,0)</f>
        <v>SERGIO FOREZ</v>
      </c>
    </row>
    <row r="427" spans="1:8" x14ac:dyDescent="0.25">
      <c r="A427">
        <v>426</v>
      </c>
      <c r="B427">
        <v>426</v>
      </c>
      <c r="C427">
        <v>3206320494</v>
      </c>
      <c r="D427" t="s">
        <v>1734</v>
      </c>
      <c r="F427" t="s">
        <v>187</v>
      </c>
      <c r="G427" t="s">
        <v>3</v>
      </c>
      <c r="H427" t="str">
        <f>VLOOKUP(tblContactoCliente[[#This Row],[id_cliente]],tblClientes[[#All],[id]:[nombre_contacto]],4,0)</f>
        <v>SERGIO MENESES</v>
      </c>
    </row>
    <row r="428" spans="1:8" x14ac:dyDescent="0.25">
      <c r="A428">
        <v>427</v>
      </c>
      <c r="B428">
        <v>427</v>
      </c>
      <c r="C428">
        <v>3212104078</v>
      </c>
      <c r="D428" t="s">
        <v>1738</v>
      </c>
      <c r="F428" t="s">
        <v>1739</v>
      </c>
      <c r="G428" t="s">
        <v>3</v>
      </c>
      <c r="H428" t="str">
        <f>VLOOKUP(tblContactoCliente[[#This Row],[id_cliente]],tblClientes[[#All],[id]:[nombre_contacto]],4,0)</f>
        <v>SIGIFREDO VIVEROS</v>
      </c>
    </row>
    <row r="429" spans="1:8" x14ac:dyDescent="0.25">
      <c r="A429">
        <v>428</v>
      </c>
      <c r="B429">
        <v>428</v>
      </c>
      <c r="C429">
        <v>3132691455</v>
      </c>
      <c r="D429" t="s">
        <v>1741</v>
      </c>
      <c r="F429" t="s">
        <v>1199</v>
      </c>
      <c r="G429" t="s">
        <v>3</v>
      </c>
      <c r="H429" t="str">
        <f>VLOOKUP(tblContactoCliente[[#This Row],[id_cliente]],tblClientes[[#All],[id]:[nombre_contacto]],4,0)</f>
        <v>SNEIDER CORREA</v>
      </c>
    </row>
    <row r="430" spans="1:8" x14ac:dyDescent="0.25">
      <c r="A430">
        <v>429</v>
      </c>
      <c r="B430">
        <v>429</v>
      </c>
      <c r="C430">
        <v>3108558903</v>
      </c>
      <c r="D430" t="s">
        <v>1745</v>
      </c>
      <c r="F430" t="s">
        <v>1746</v>
      </c>
      <c r="G430" t="s">
        <v>3</v>
      </c>
      <c r="H430" t="str">
        <f>VLOOKUP(tblContactoCliente[[#This Row],[id_cliente]],tblClientes[[#All],[id]:[nombre_contacto]],4,0)</f>
        <v>SNEIDER MONTAÑA RUIZ</v>
      </c>
    </row>
    <row r="431" spans="1:8" x14ac:dyDescent="0.25">
      <c r="A431">
        <v>430</v>
      </c>
      <c r="B431">
        <v>430</v>
      </c>
      <c r="C431">
        <v>2622930</v>
      </c>
      <c r="D431" t="s">
        <v>1749</v>
      </c>
      <c r="F431" t="s">
        <v>1750</v>
      </c>
      <c r="G431" t="s">
        <v>3</v>
      </c>
      <c r="H431" t="str">
        <f>VLOOKUP(tblContactoCliente[[#This Row],[id_cliente]],tblClientes[[#All],[id]:[nombre_contacto]],4,0)</f>
        <v>TARCISIO LOPEZ</v>
      </c>
    </row>
    <row r="432" spans="1:8" x14ac:dyDescent="0.25">
      <c r="A432">
        <v>431</v>
      </c>
      <c r="B432">
        <v>431</v>
      </c>
      <c r="C432">
        <v>3118402144</v>
      </c>
      <c r="D432" t="s">
        <v>1754</v>
      </c>
      <c r="F432" t="s">
        <v>1755</v>
      </c>
      <c r="G432" t="s">
        <v>3</v>
      </c>
      <c r="H432" t="str">
        <f>VLOOKUP(tblContactoCliente[[#This Row],[id_cliente]],tblClientes[[#All],[id]:[nombre_contacto]],4,0)</f>
        <v>TATIANA VELOZA</v>
      </c>
    </row>
    <row r="433" spans="1:8" x14ac:dyDescent="0.25">
      <c r="A433">
        <v>432</v>
      </c>
      <c r="B433">
        <v>432</v>
      </c>
      <c r="C433">
        <v>3192478082</v>
      </c>
      <c r="D433" t="s">
        <v>573</v>
      </c>
      <c r="F433" t="s">
        <v>574</v>
      </c>
      <c r="G433" t="s">
        <v>3</v>
      </c>
      <c r="H433" t="str">
        <f>VLOOKUP(tblContactoCliente[[#This Row],[id_cliente]],tblClientes[[#All],[id]:[nombre_contacto]],4,0)</f>
        <v>TITO RUBIANO</v>
      </c>
    </row>
    <row r="434" spans="1:8" x14ac:dyDescent="0.25">
      <c r="A434">
        <v>433</v>
      </c>
      <c r="B434">
        <v>433</v>
      </c>
      <c r="C434">
        <v>3194828430</v>
      </c>
      <c r="D434" t="s">
        <v>1759</v>
      </c>
      <c r="F434" t="s">
        <v>1760</v>
      </c>
      <c r="G434" t="s">
        <v>3</v>
      </c>
      <c r="H434" t="str">
        <f>VLOOKUP(tblContactoCliente[[#This Row],[id_cliente]],tblClientes[[#All],[id]:[nombre_contacto]],4,0)</f>
        <v>URIEL ESPITIA</v>
      </c>
    </row>
    <row r="435" spans="1:8" x14ac:dyDescent="0.25">
      <c r="A435">
        <v>434</v>
      </c>
      <c r="B435">
        <v>434</v>
      </c>
      <c r="C435">
        <v>3125797361</v>
      </c>
      <c r="D435" t="s">
        <v>1762</v>
      </c>
      <c r="F435" t="s">
        <v>1763</v>
      </c>
      <c r="G435" t="s">
        <v>3</v>
      </c>
      <c r="H435" t="str">
        <f>VLOOKUP(tblContactoCliente[[#This Row],[id_cliente]],tblClientes[[#All],[id]:[nombre_contacto]],4,0)</f>
        <v>URPIANO ENSISO</v>
      </c>
    </row>
    <row r="436" spans="1:8" x14ac:dyDescent="0.25">
      <c r="A436">
        <v>435</v>
      </c>
      <c r="B436">
        <v>435</v>
      </c>
      <c r="C436">
        <v>3213379859</v>
      </c>
      <c r="D436" t="s">
        <v>1765</v>
      </c>
      <c r="F436" t="s">
        <v>274</v>
      </c>
      <c r="G436" t="s">
        <v>3</v>
      </c>
      <c r="H436" t="str">
        <f>VLOOKUP(tblContactoCliente[[#This Row],[id_cliente]],tblClientes[[#All],[id]:[nombre_contacto]],4,0)</f>
        <v>VICENTE ROJAS</v>
      </c>
    </row>
    <row r="437" spans="1:8" x14ac:dyDescent="0.25">
      <c r="A437">
        <v>436</v>
      </c>
      <c r="B437">
        <v>436</v>
      </c>
      <c r="C437" s="15">
        <v>3175114461</v>
      </c>
      <c r="D437" t="s">
        <v>1767</v>
      </c>
      <c r="F437" t="s">
        <v>553</v>
      </c>
      <c r="G437" t="s">
        <v>3</v>
      </c>
      <c r="H437" t="str">
        <f>VLOOKUP(tblContactoCliente[[#This Row],[id_cliente]],tblClientes[[#All],[id]:[nombre_contacto]],4,0)</f>
        <v>VICTOR HUGO FRIAS</v>
      </c>
    </row>
    <row r="438" spans="1:8" x14ac:dyDescent="0.25">
      <c r="A438">
        <v>437</v>
      </c>
      <c r="B438">
        <v>437</v>
      </c>
      <c r="C438" s="15">
        <v>3107847726</v>
      </c>
      <c r="D438" t="s">
        <v>1770</v>
      </c>
      <c r="F438" t="s">
        <v>366</v>
      </c>
      <c r="G438" t="s">
        <v>3</v>
      </c>
      <c r="H438" t="str">
        <f>VLOOKUP(tblContactoCliente[[#This Row],[id_cliente]],tblClientes[[#All],[id]:[nombre_contacto]],4,0)</f>
        <v>VICTOR TAPIAS GABRIEL GARCIA</v>
      </c>
    </row>
    <row r="439" spans="1:8" x14ac:dyDescent="0.25">
      <c r="A439">
        <v>438</v>
      </c>
      <c r="B439">
        <v>438</v>
      </c>
      <c r="C439">
        <v>3013818601</v>
      </c>
      <c r="D439" t="s">
        <v>1772</v>
      </c>
      <c r="F439" t="s">
        <v>1036</v>
      </c>
      <c r="G439" t="s">
        <v>3</v>
      </c>
      <c r="H439" t="str">
        <f>VLOOKUP(tblContactoCliente[[#This Row],[id_cliente]],tblClientes[[#All],[id]:[nombre_contacto]],4,0)</f>
        <v>VICTORIA ORTIZ</v>
      </c>
    </row>
    <row r="440" spans="1:8" x14ac:dyDescent="0.25">
      <c r="A440">
        <v>439</v>
      </c>
      <c r="B440">
        <v>439</v>
      </c>
      <c r="C440">
        <v>3112250782</v>
      </c>
      <c r="D440" t="s">
        <v>1775</v>
      </c>
      <c r="F440" t="s">
        <v>1776</v>
      </c>
      <c r="G440" t="s">
        <v>3</v>
      </c>
      <c r="H440" t="str">
        <f>VLOOKUP(tblContactoCliente[[#This Row],[id_cliente]],tblClientes[[#All],[id]:[nombre_contacto]],4,0)</f>
        <v>VIVIANA CARDENAS</v>
      </c>
    </row>
    <row r="441" spans="1:8" x14ac:dyDescent="0.25">
      <c r="A441">
        <v>440</v>
      </c>
      <c r="B441">
        <v>440</v>
      </c>
      <c r="C441">
        <v>3124470416</v>
      </c>
      <c r="D441" t="s">
        <v>1780</v>
      </c>
      <c r="F441" t="s">
        <v>1781</v>
      </c>
      <c r="G441" t="s">
        <v>3</v>
      </c>
      <c r="H441" t="str">
        <f>VLOOKUP(tblContactoCliente[[#This Row],[id_cliente]],tblClientes[[#All],[id]:[nombre_contacto]],4,0)</f>
        <v>WALTER GRACIANO</v>
      </c>
    </row>
    <row r="442" spans="1:8" x14ac:dyDescent="0.25">
      <c r="A442">
        <v>441</v>
      </c>
      <c r="B442">
        <v>441</v>
      </c>
      <c r="C442">
        <v>3144861744</v>
      </c>
      <c r="D442" t="s">
        <v>1</v>
      </c>
      <c r="F442" t="s">
        <v>142</v>
      </c>
      <c r="G442" t="s">
        <v>3</v>
      </c>
      <c r="H442" t="str">
        <f>VLOOKUP(tblContactoCliente[[#This Row],[id_cliente]],tblClientes[[#All],[id]:[nombre_contacto]],4,0)</f>
        <v>WALTER VARGAS</v>
      </c>
    </row>
    <row r="443" spans="1:8" x14ac:dyDescent="0.25">
      <c r="A443">
        <v>442</v>
      </c>
      <c r="B443">
        <v>442</v>
      </c>
      <c r="C443">
        <v>3196804487</v>
      </c>
      <c r="D443" t="s">
        <v>1785</v>
      </c>
      <c r="F443" t="s">
        <v>187</v>
      </c>
      <c r="G443" t="s">
        <v>3</v>
      </c>
      <c r="H443" t="str">
        <f>VLOOKUP(tblContactoCliente[[#This Row],[id_cliente]],tblClientes[[#All],[id]:[nombre_contacto]],4,0)</f>
        <v>WILFER ARIAS</v>
      </c>
    </row>
    <row r="444" spans="1:8" x14ac:dyDescent="0.25">
      <c r="A444">
        <v>443</v>
      </c>
      <c r="B444">
        <v>443</v>
      </c>
      <c r="C444">
        <v>3118206848</v>
      </c>
      <c r="D444" t="s">
        <v>1788</v>
      </c>
      <c r="F444" t="s">
        <v>195</v>
      </c>
      <c r="G444" t="s">
        <v>3</v>
      </c>
      <c r="H444" t="str">
        <f>VLOOKUP(tblContactoCliente[[#This Row],[id_cliente]],tblClientes[[#All],[id]:[nombre_contacto]],4,0)</f>
        <v>WILIAM ACEVEDO</v>
      </c>
    </row>
    <row r="445" spans="1:8" x14ac:dyDescent="0.25">
      <c r="A445">
        <v>444</v>
      </c>
      <c r="B445">
        <v>444</v>
      </c>
      <c r="C445">
        <v>3202410991</v>
      </c>
      <c r="D445" t="s">
        <v>552</v>
      </c>
      <c r="F445" t="s">
        <v>1791</v>
      </c>
      <c r="G445" t="s">
        <v>3</v>
      </c>
      <c r="H445" t="str">
        <f>VLOOKUP(tblContactoCliente[[#This Row],[id_cliente]],tblClientes[[#All],[id]:[nombre_contacto]],4,0)</f>
        <v>WILIAM FERNANDO GARAVITO</v>
      </c>
    </row>
    <row r="446" spans="1:8" x14ac:dyDescent="0.25">
      <c r="A446">
        <v>445</v>
      </c>
      <c r="B446">
        <v>445</v>
      </c>
      <c r="C446">
        <v>3106108790</v>
      </c>
      <c r="D446" t="s">
        <v>1794</v>
      </c>
      <c r="F446" t="s">
        <v>1795</v>
      </c>
      <c r="G446" t="s">
        <v>7</v>
      </c>
      <c r="H446" t="str">
        <f>VLOOKUP(tblContactoCliente[[#This Row],[id_cliente]],tblClientes[[#All],[id]:[nombre_contacto]],4,0)</f>
        <v>WILIAM FLOREZ</v>
      </c>
    </row>
    <row r="447" spans="1:8" x14ac:dyDescent="0.25">
      <c r="A447">
        <v>446</v>
      </c>
      <c r="B447">
        <v>446</v>
      </c>
      <c r="C447" s="15">
        <v>3204272652</v>
      </c>
      <c r="D447" t="s">
        <v>1798</v>
      </c>
      <c r="F447" t="s">
        <v>421</v>
      </c>
      <c r="G447" t="s">
        <v>3</v>
      </c>
      <c r="H447" t="str">
        <f>VLOOKUP(tblContactoCliente[[#This Row],[id_cliente]],tblClientes[[#All],[id]:[nombre_contacto]],4,0)</f>
        <v>WILLIAM HERNANDEZ</v>
      </c>
    </row>
    <row r="448" spans="1:8" x14ac:dyDescent="0.25">
      <c r="A448">
        <v>447</v>
      </c>
      <c r="B448">
        <v>447</v>
      </c>
      <c r="C448">
        <v>3134440193</v>
      </c>
      <c r="D448" t="s">
        <v>1801</v>
      </c>
      <c r="F448" t="s">
        <v>703</v>
      </c>
      <c r="G448" t="s">
        <v>3</v>
      </c>
      <c r="H448" t="str">
        <f>VLOOKUP(tblContactoCliente[[#This Row],[id_cliente]],tblClientes[[#All],[id]:[nombre_contacto]],4,0)</f>
        <v>WILLIAM ORTIZ</v>
      </c>
    </row>
    <row r="449" spans="1:8" x14ac:dyDescent="0.25">
      <c r="A449">
        <v>448</v>
      </c>
      <c r="B449">
        <v>448</v>
      </c>
      <c r="C449">
        <v>3167204203</v>
      </c>
      <c r="D449" t="s">
        <v>1805</v>
      </c>
      <c r="F449" t="s">
        <v>187</v>
      </c>
      <c r="G449" t="s">
        <v>3</v>
      </c>
      <c r="H449" t="str">
        <f>VLOOKUP(tblContactoCliente[[#This Row],[id_cliente]],tblClientes[[#All],[id]:[nombre_contacto]],4,0)</f>
        <v>WILLIAM SALCEDO LILIANA AMESQUITA</v>
      </c>
    </row>
    <row r="450" spans="1:8" x14ac:dyDescent="0.25">
      <c r="A450">
        <v>449</v>
      </c>
      <c r="B450">
        <v>449</v>
      </c>
      <c r="C450">
        <v>3208719016</v>
      </c>
      <c r="D450" t="s">
        <v>1809</v>
      </c>
      <c r="F450" t="s">
        <v>1036</v>
      </c>
      <c r="G450" t="s">
        <v>3</v>
      </c>
      <c r="H450" t="str">
        <f>VLOOKUP(tblContactoCliente[[#This Row],[id_cliente]],tblClientes[[#All],[id]:[nombre_contacto]],4,0)</f>
        <v>WILMAR RAMIREZ</v>
      </c>
    </row>
    <row r="451" spans="1:8" x14ac:dyDescent="0.25">
      <c r="A451">
        <v>450</v>
      </c>
      <c r="B451">
        <v>450</v>
      </c>
      <c r="C451">
        <v>3202190936</v>
      </c>
      <c r="D451" t="s">
        <v>1813</v>
      </c>
      <c r="F451" t="s">
        <v>1814</v>
      </c>
      <c r="G451" t="s">
        <v>3</v>
      </c>
      <c r="H451" t="str">
        <f>VLOOKUP(tblContactoCliente[[#This Row],[id_cliente]],tblClientes[[#All],[id]:[nombre_contacto]],4,0)</f>
        <v>WILSON CATAÑO</v>
      </c>
    </row>
    <row r="452" spans="1:8" x14ac:dyDescent="0.25">
      <c r="A452">
        <v>451</v>
      </c>
      <c r="B452">
        <v>451</v>
      </c>
      <c r="C452">
        <v>3153218925</v>
      </c>
      <c r="D452" t="s">
        <v>1816</v>
      </c>
      <c r="F452" t="s">
        <v>217</v>
      </c>
      <c r="G452" t="s">
        <v>16</v>
      </c>
      <c r="H452" t="str">
        <f>VLOOKUP(tblContactoCliente[[#This Row],[id_cliente]],tblClientes[[#All],[id]:[nombre_contacto]],4,0)</f>
        <v>WILSON JIMENEZ</v>
      </c>
    </row>
    <row r="453" spans="1:8" x14ac:dyDescent="0.25">
      <c r="A453">
        <v>452</v>
      </c>
      <c r="B453">
        <v>452</v>
      </c>
      <c r="C453">
        <v>3203539037</v>
      </c>
      <c r="D453" t="s">
        <v>1062</v>
      </c>
      <c r="F453" t="s">
        <v>995</v>
      </c>
      <c r="G453" t="s">
        <v>3</v>
      </c>
      <c r="H453" t="str">
        <f>VLOOKUP(tblContactoCliente[[#This Row],[id_cliente]],tblClientes[[#All],[id]:[nombre_contacto]],4,0)</f>
        <v>WILSON RUIZ</v>
      </c>
    </row>
    <row r="454" spans="1:8" x14ac:dyDescent="0.25">
      <c r="A454">
        <v>453</v>
      </c>
      <c r="B454">
        <v>453</v>
      </c>
      <c r="C454">
        <v>3133609614</v>
      </c>
      <c r="D454" t="s">
        <v>1232</v>
      </c>
      <c r="F454" t="s">
        <v>1820</v>
      </c>
      <c r="G454" t="s">
        <v>3</v>
      </c>
      <c r="H454" t="str">
        <f>VLOOKUP(tblContactoCliente[[#This Row],[id_cliente]],tblClientes[[#All],[id]:[nombre_contacto]],4,0)</f>
        <v>YAMILE PARRA</v>
      </c>
    </row>
    <row r="455" spans="1:8" x14ac:dyDescent="0.25">
      <c r="A455">
        <v>454</v>
      </c>
      <c r="B455">
        <v>454</v>
      </c>
      <c r="C455">
        <v>3142310598</v>
      </c>
      <c r="D455" t="s">
        <v>1</v>
      </c>
      <c r="F455" t="s">
        <v>1822</v>
      </c>
      <c r="G455" t="s">
        <v>3</v>
      </c>
      <c r="H455" t="str">
        <f>VLOOKUP(tblContactoCliente[[#This Row],[id_cliente]],tblClientes[[#All],[id]:[nombre_contacto]],4,0)</f>
        <v>YANETH  FORERO</v>
      </c>
    </row>
    <row r="456" spans="1:8" x14ac:dyDescent="0.25">
      <c r="A456">
        <v>455</v>
      </c>
      <c r="B456">
        <v>455</v>
      </c>
      <c r="C456">
        <v>3123608362</v>
      </c>
      <c r="D456" t="s">
        <v>1824</v>
      </c>
      <c r="F456" t="s">
        <v>217</v>
      </c>
      <c r="G456" t="s">
        <v>240</v>
      </c>
      <c r="H456" t="str">
        <f>VLOOKUP(tblContactoCliente[[#This Row],[id_cliente]],tblClientes[[#All],[id]:[nombre_contacto]],4,0)</f>
        <v>YERLI ROCIO MENDOZA LOZANO</v>
      </c>
    </row>
    <row r="457" spans="1:8" x14ac:dyDescent="0.25">
      <c r="A457">
        <v>456</v>
      </c>
      <c r="B457">
        <v>456</v>
      </c>
      <c r="C457">
        <v>3157477715</v>
      </c>
      <c r="D457" t="s">
        <v>1826</v>
      </c>
      <c r="F457" t="s">
        <v>780</v>
      </c>
      <c r="G457" t="s">
        <v>1007</v>
      </c>
      <c r="H457" t="str">
        <f>VLOOKUP(tblContactoCliente[[#This Row],[id_cliente]],tblClientes[[#All],[id]:[nombre_contacto]],4,0)</f>
        <v>YESMY PATIÑO</v>
      </c>
    </row>
    <row r="458" spans="1:8" x14ac:dyDescent="0.25">
      <c r="A458">
        <v>457</v>
      </c>
      <c r="B458">
        <v>457</v>
      </c>
      <c r="C458">
        <v>3144141749</v>
      </c>
      <c r="D458" t="s">
        <v>1828</v>
      </c>
      <c r="F458" t="s">
        <v>187</v>
      </c>
      <c r="G458" t="s">
        <v>3</v>
      </c>
      <c r="H458" t="str">
        <f>VLOOKUP(tblContactoCliente[[#This Row],[id_cliente]],tblClientes[[#All],[id]:[nombre_contacto]],4,0)</f>
        <v>YOLANDA SARTA</v>
      </c>
    </row>
    <row r="459" spans="1:8" x14ac:dyDescent="0.25">
      <c r="A459">
        <v>458</v>
      </c>
      <c r="B459">
        <v>458</v>
      </c>
      <c r="C459">
        <v>3208402810</v>
      </c>
      <c r="D459" t="s">
        <v>1832</v>
      </c>
      <c r="F459" t="s">
        <v>187</v>
      </c>
      <c r="G459" t="s">
        <v>3</v>
      </c>
      <c r="H459" t="str">
        <f>VLOOKUP(tblContactoCliente[[#This Row],[id_cliente]],tblClientes[[#All],[id]:[nombre_contacto]],4,0)</f>
        <v>YURI CONTRERAS</v>
      </c>
    </row>
    <row r="460" spans="1:8" x14ac:dyDescent="0.25">
      <c r="A460">
        <v>459</v>
      </c>
      <c r="B460">
        <v>459</v>
      </c>
      <c r="C460">
        <v>3134257526</v>
      </c>
      <c r="D460" t="s">
        <v>2</v>
      </c>
      <c r="F460" t="s">
        <v>2</v>
      </c>
      <c r="G460" t="s">
        <v>3</v>
      </c>
      <c r="H460" t="str">
        <f>VLOOKUP(tblContactoCliente[[#This Row],[id_cliente]],tblClientes[[#All],[id]:[nombre_contacto]],4,0)</f>
        <v>ANDERSON PELETERIA EL LIDER</v>
      </c>
    </row>
    <row r="461" spans="1:8" x14ac:dyDescent="0.25">
      <c r="A461">
        <v>460</v>
      </c>
      <c r="B461">
        <v>460</v>
      </c>
      <c r="C461">
        <v>3186869776</v>
      </c>
      <c r="D461" t="s">
        <v>2</v>
      </c>
      <c r="F461" t="s">
        <v>2</v>
      </c>
      <c r="G461" t="s">
        <v>3</v>
      </c>
      <c r="H461" t="str">
        <f>VLOOKUP(tblContactoCliente[[#This Row],[id_cliente]],tblClientes[[#All],[id]:[nombre_contacto]],4,0)</f>
        <v>NATALY ROMERO</v>
      </c>
    </row>
    <row r="462" spans="1:8" x14ac:dyDescent="0.25">
      <c r="A462">
        <v>461</v>
      </c>
      <c r="B462">
        <v>461</v>
      </c>
      <c r="C462">
        <v>3114702890</v>
      </c>
      <c r="D462" t="s">
        <v>2</v>
      </c>
      <c r="F462" t="s">
        <v>2</v>
      </c>
      <c r="G462" t="s">
        <v>3</v>
      </c>
      <c r="H462" t="str">
        <f>VLOOKUP(tblContactoCliente[[#This Row],[id_cliente]],tblClientes[[#All],[id]:[nombre_contacto]],4,0)</f>
        <v>JHON PORRAS</v>
      </c>
    </row>
    <row r="463" spans="1:8" x14ac:dyDescent="0.25">
      <c r="A463">
        <v>462</v>
      </c>
      <c r="B463">
        <v>462</v>
      </c>
      <c r="C463">
        <v>3215062721</v>
      </c>
      <c r="D463" t="s">
        <v>2</v>
      </c>
      <c r="F463" t="s">
        <v>2</v>
      </c>
      <c r="G463" t="s">
        <v>3</v>
      </c>
      <c r="H463" t="str">
        <f>VLOOKUP(tblContactoCliente[[#This Row],[id_cliente]],tblClientes[[#All],[id]:[nombre_contacto]],4,0)</f>
        <v>ALEXANDER RAMOS</v>
      </c>
    </row>
    <row r="464" spans="1:8" x14ac:dyDescent="0.25">
      <c r="A464">
        <v>463</v>
      </c>
      <c r="B464">
        <v>463</v>
      </c>
      <c r="C464">
        <v>3202475617</v>
      </c>
      <c r="D464" t="s">
        <v>2</v>
      </c>
      <c r="F464" t="s">
        <v>2</v>
      </c>
      <c r="G464" t="s">
        <v>3</v>
      </c>
      <c r="H464" t="str">
        <f>VLOOKUP(tblContactoCliente[[#This Row],[id_cliente]],tblClientes[[#All],[id]:[nombre_contacto]],4,0)</f>
        <v>BENJAMIN GUERRA</v>
      </c>
    </row>
    <row r="465" spans="1:8" x14ac:dyDescent="0.25">
      <c r="A465">
        <v>464</v>
      </c>
      <c r="B465">
        <v>464</v>
      </c>
      <c r="C465">
        <v>3003658383</v>
      </c>
      <c r="D465" t="s">
        <v>2</v>
      </c>
      <c r="F465" t="s">
        <v>2</v>
      </c>
      <c r="G465" t="s">
        <v>3</v>
      </c>
      <c r="H465" t="str">
        <f>VLOOKUP(tblContactoCliente[[#This Row],[id_cliente]],tblClientes[[#All],[id]:[nombre_contacto]],4,0)</f>
        <v>JULIAN MESA</v>
      </c>
    </row>
    <row r="466" spans="1:8" x14ac:dyDescent="0.25">
      <c r="A466">
        <v>465</v>
      </c>
      <c r="B466">
        <v>465</v>
      </c>
      <c r="C466">
        <v>3204885119</v>
      </c>
      <c r="D466" t="s">
        <v>2</v>
      </c>
      <c r="F466" t="s">
        <v>2</v>
      </c>
      <c r="G466" t="s">
        <v>3</v>
      </c>
      <c r="H466" t="str">
        <f>VLOOKUP(tblContactoCliente[[#This Row],[id_cliente]],tblClientes[[#All],[id]:[nombre_contacto]],4,0)</f>
        <v>TOPMARK COLOMBIA SAS</v>
      </c>
    </row>
    <row r="467" spans="1:8" x14ac:dyDescent="0.25">
      <c r="A467">
        <v>466</v>
      </c>
      <c r="B467">
        <v>466</v>
      </c>
      <c r="C467">
        <v>3167520664</v>
      </c>
      <c r="D467" t="s">
        <v>1846</v>
      </c>
      <c r="F467" t="s">
        <v>187</v>
      </c>
      <c r="G467" t="s">
        <v>3</v>
      </c>
      <c r="H467" t="str">
        <f>VLOOKUP(tblContactoCliente[[#This Row],[id_cliente]],tblClientes[[#All],[id]:[nombre_contacto]],4,0)</f>
        <v>JOHAN PIRAGAUTA</v>
      </c>
    </row>
    <row r="468" spans="1:8" x14ac:dyDescent="0.25">
      <c r="A468">
        <v>467</v>
      </c>
      <c r="B468">
        <v>467</v>
      </c>
      <c r="C468">
        <v>3143488396</v>
      </c>
      <c r="D468" t="s">
        <v>1850</v>
      </c>
      <c r="F468" t="s">
        <v>2</v>
      </c>
      <c r="G468" t="s">
        <v>3</v>
      </c>
      <c r="H468" t="str">
        <f>VLOOKUP(tblContactoCliente[[#This Row],[id_cliente]],tblClientes[[#All],[id]:[nombre_contacto]],4,0)</f>
        <v xml:space="preserve">NELSON ROZO </v>
      </c>
    </row>
    <row r="469" spans="1:8" x14ac:dyDescent="0.25">
      <c r="A469">
        <v>468</v>
      </c>
      <c r="B469">
        <v>468</v>
      </c>
      <c r="C469">
        <v>3013668900</v>
      </c>
      <c r="D469" t="s">
        <v>1852</v>
      </c>
      <c r="F469" t="s">
        <v>1853</v>
      </c>
      <c r="G469" t="s">
        <v>224</v>
      </c>
      <c r="H469" t="str">
        <f>VLOOKUP(tblContactoCliente[[#This Row],[id_cliente]],tblClientes[[#All],[id]:[nombre_contacto]],4,0)</f>
        <v xml:space="preserve">ARNULFO QUIÑONES </v>
      </c>
    </row>
    <row r="470" spans="1:8" x14ac:dyDescent="0.25">
      <c r="A470">
        <v>469</v>
      </c>
      <c r="B470">
        <v>469</v>
      </c>
      <c r="C470">
        <v>3002039580</v>
      </c>
      <c r="D470" t="s">
        <v>1856</v>
      </c>
      <c r="F470" t="s">
        <v>2</v>
      </c>
      <c r="G470" t="s">
        <v>165</v>
      </c>
      <c r="H470" t="str">
        <f>VLOOKUP(tblContactoCliente[[#This Row],[id_cliente]],tblClientes[[#All],[id]:[nombre_contacto]],4,0)</f>
        <v>ANGELA CARDINALY</v>
      </c>
    </row>
    <row r="471" spans="1:8" x14ac:dyDescent="0.25">
      <c r="A471">
        <v>470</v>
      </c>
      <c r="B471">
        <v>470</v>
      </c>
      <c r="C471">
        <v>3124416485</v>
      </c>
      <c r="D471" t="s">
        <v>1859</v>
      </c>
      <c r="F471" t="s">
        <v>2</v>
      </c>
      <c r="G471" t="s">
        <v>3</v>
      </c>
      <c r="H471" t="str">
        <f>VLOOKUP(tblContactoCliente[[#This Row],[id_cliente]],tblClientes[[#All],[id]:[nombre_contacto]],4,0)</f>
        <v>DIOGENES MAECHA</v>
      </c>
    </row>
    <row r="472" spans="1:8" x14ac:dyDescent="0.25">
      <c r="A472">
        <v>471</v>
      </c>
      <c r="B472">
        <v>471</v>
      </c>
      <c r="C472">
        <v>3212013757</v>
      </c>
      <c r="D472" t="s">
        <v>1861</v>
      </c>
      <c r="F472" t="s">
        <v>1862</v>
      </c>
      <c r="G472" t="s">
        <v>3</v>
      </c>
      <c r="H472" t="str">
        <f>VLOOKUP(tblContactoCliente[[#This Row],[id_cliente]],tblClientes[[#All],[id]:[nombre_contacto]],4,0)</f>
        <v>MANUEL EDUARDO MATAMOROS</v>
      </c>
    </row>
    <row r="473" spans="1:8" x14ac:dyDescent="0.25">
      <c r="A473">
        <v>472</v>
      </c>
      <c r="B473">
        <v>472</v>
      </c>
      <c r="C473" t="s">
        <v>1864</v>
      </c>
      <c r="D473" t="s">
        <v>2</v>
      </c>
      <c r="F473" t="s">
        <v>2</v>
      </c>
      <c r="G473" t="s">
        <v>3</v>
      </c>
      <c r="H473" t="str">
        <f>VLOOKUP(tblContactoCliente[[#This Row],[id_cliente]],tblClientes[[#All],[id]:[nombre_contacto]],4,0)</f>
        <v>FREDY TAPIAS</v>
      </c>
    </row>
    <row r="474" spans="1:8" x14ac:dyDescent="0.25">
      <c r="A474">
        <v>473</v>
      </c>
      <c r="B474">
        <v>473</v>
      </c>
      <c r="C474">
        <v>3105545528</v>
      </c>
      <c r="D474" t="s">
        <v>1867</v>
      </c>
      <c r="F474" t="s">
        <v>448</v>
      </c>
      <c r="G474" t="s">
        <v>3</v>
      </c>
      <c r="H474" t="str">
        <f>VLOOKUP(tblContactoCliente[[#This Row],[id_cliente]],tblClientes[[#All],[id]:[nombre_contacto]],4,0)</f>
        <v>JHON SUAZA</v>
      </c>
    </row>
    <row r="475" spans="1:8" x14ac:dyDescent="0.25">
      <c r="A475">
        <v>474</v>
      </c>
      <c r="B475">
        <v>474</v>
      </c>
      <c r="C475">
        <v>3204693975</v>
      </c>
      <c r="D475" t="s">
        <v>1870</v>
      </c>
      <c r="F475" t="s">
        <v>410</v>
      </c>
      <c r="G475" t="s">
        <v>3</v>
      </c>
      <c r="H475" t="str">
        <f>VLOOKUP(tblContactoCliente[[#This Row],[id_cliente]],tblClientes[[#All],[id]:[nombre_contacto]],4,0)</f>
        <v>ARAMINTA ALFONSO</v>
      </c>
    </row>
    <row r="476" spans="1:8" x14ac:dyDescent="0.25">
      <c r="A476">
        <v>475</v>
      </c>
      <c r="B476">
        <v>475</v>
      </c>
      <c r="C476">
        <v>3118179936</v>
      </c>
      <c r="D476" t="s">
        <v>1870</v>
      </c>
      <c r="F476" t="s">
        <v>410</v>
      </c>
      <c r="G476" t="s">
        <v>3</v>
      </c>
      <c r="H476" t="str">
        <f>VLOOKUP(tblContactoCliente[[#This Row],[id_cliente]],tblClientes[[#All],[id]:[nombre_contacto]],4,0)</f>
        <v>JULIO CESAR CORTEZ</v>
      </c>
    </row>
    <row r="477" spans="1:8" x14ac:dyDescent="0.25">
      <c r="A477">
        <v>476</v>
      </c>
      <c r="B477">
        <v>476</v>
      </c>
      <c r="C477">
        <v>3124480871</v>
      </c>
      <c r="D477" t="s">
        <v>1873</v>
      </c>
      <c r="F477" t="s">
        <v>187</v>
      </c>
      <c r="G477" t="s">
        <v>3</v>
      </c>
      <c r="H477" t="str">
        <f>VLOOKUP(tblContactoCliente[[#This Row],[id_cliente]],tblClientes[[#All],[id]:[nombre_contacto]],4,0)</f>
        <v>LUCY ABRIL</v>
      </c>
    </row>
    <row r="478" spans="1:8" x14ac:dyDescent="0.25">
      <c r="A478">
        <v>477</v>
      </c>
      <c r="B478">
        <v>477</v>
      </c>
      <c r="C478">
        <v>3115151578</v>
      </c>
      <c r="D478" t="s">
        <v>2</v>
      </c>
      <c r="F478" t="s">
        <v>2</v>
      </c>
      <c r="G478" t="s">
        <v>3</v>
      </c>
      <c r="H478" t="str">
        <f>VLOOKUP(tblContactoCliente[[#This Row],[id_cliente]],tblClientes[[#All],[id]:[nombre_contacto]],4,0)</f>
        <v>JOSE RICARDO VARGAS DIAZ</v>
      </c>
    </row>
    <row r="479" spans="1:8" x14ac:dyDescent="0.25">
      <c r="A479">
        <v>478</v>
      </c>
      <c r="B479">
        <v>478</v>
      </c>
      <c r="C479">
        <v>3124116485</v>
      </c>
      <c r="D479" t="s">
        <v>2</v>
      </c>
      <c r="F479" t="s">
        <v>2</v>
      </c>
      <c r="G479" t="s">
        <v>3</v>
      </c>
      <c r="H479" t="str">
        <f>VLOOKUP(tblContactoCliente[[#This Row],[id_cliente]],tblClientes[[#All],[id]:[nombre_contacto]],4,0)</f>
        <v>THOMAS MAECHA</v>
      </c>
    </row>
    <row r="480" spans="1:8" x14ac:dyDescent="0.25">
      <c r="A480">
        <v>479</v>
      </c>
      <c r="B480">
        <v>479</v>
      </c>
      <c r="C480">
        <v>3104253929</v>
      </c>
      <c r="D480" t="s">
        <v>1859</v>
      </c>
      <c r="F480" t="s">
        <v>1882</v>
      </c>
      <c r="G480" t="s">
        <v>16</v>
      </c>
      <c r="H480" t="str">
        <f>VLOOKUP(tblContactoCliente[[#This Row],[id_cliente]],tblClientes[[#All],[id]:[nombre_contacto]],4,0)</f>
        <v>NILSON BENAVIDEZ</v>
      </c>
    </row>
    <row r="481" spans="1:8" x14ac:dyDescent="0.25">
      <c r="A481">
        <v>480</v>
      </c>
      <c r="B481">
        <v>480</v>
      </c>
      <c r="C481">
        <v>3133056982</v>
      </c>
      <c r="D481" t="s">
        <v>2</v>
      </c>
      <c r="F481" t="s">
        <v>2</v>
      </c>
      <c r="G481" t="s">
        <v>3</v>
      </c>
      <c r="H481" t="str">
        <f>VLOOKUP(tblContactoCliente[[#This Row],[id_cliente]],tblClientes[[#All],[id]:[nombre_contacto]],4,0)</f>
        <v>GUILLERMO DIAZ ALVARADO</v>
      </c>
    </row>
    <row r="482" spans="1:8" x14ac:dyDescent="0.25">
      <c r="A482">
        <v>481</v>
      </c>
      <c r="B482">
        <v>481</v>
      </c>
      <c r="C482">
        <v>3142285267</v>
      </c>
      <c r="D482" t="s">
        <v>1887</v>
      </c>
      <c r="F482" t="s">
        <v>2</v>
      </c>
      <c r="G482" t="s">
        <v>3</v>
      </c>
      <c r="H482" t="str">
        <f>VLOOKUP(tblContactoCliente[[#This Row],[id_cliente]],tblClientes[[#All],[id]:[nombre_contacto]],4,0)</f>
        <v>CIRO ACOSTA</v>
      </c>
    </row>
    <row r="483" spans="1:8" x14ac:dyDescent="0.25">
      <c r="A483">
        <v>482</v>
      </c>
      <c r="B483">
        <v>482</v>
      </c>
      <c r="C483">
        <v>3112250782</v>
      </c>
      <c r="D483" t="s">
        <v>1889</v>
      </c>
      <c r="F483" t="s">
        <v>908</v>
      </c>
      <c r="G483" t="s">
        <v>3</v>
      </c>
      <c r="H483" t="str">
        <f>VLOOKUP(tblContactoCliente[[#This Row],[id_cliente]],tblClientes[[#All],[id]:[nombre_contacto]],4,0)</f>
        <v>ALEXANDER VASQUEZ</v>
      </c>
    </row>
    <row r="484" spans="1:8" x14ac:dyDescent="0.25">
      <c r="A484">
        <v>483</v>
      </c>
      <c r="B484">
        <v>483</v>
      </c>
      <c r="C484" s="15">
        <v>3125497228</v>
      </c>
      <c r="D484" t="s">
        <v>2</v>
      </c>
      <c r="F484" t="s">
        <v>2</v>
      </c>
      <c r="G484" t="s">
        <v>3</v>
      </c>
      <c r="H484" t="str">
        <f>VLOOKUP(tblContactoCliente[[#This Row],[id_cliente]],tblClientes[[#All],[id]:[nombre_contacto]],4,0)</f>
        <v>JUAN  DAVID SALCEDO</v>
      </c>
    </row>
    <row r="485" spans="1:8" x14ac:dyDescent="0.25">
      <c r="A485">
        <v>484</v>
      </c>
      <c r="B485">
        <v>484</v>
      </c>
      <c r="C485" s="15">
        <v>3163364114</v>
      </c>
      <c r="D485" t="s">
        <v>1893</v>
      </c>
      <c r="F485" t="s">
        <v>187</v>
      </c>
      <c r="G485" t="s">
        <v>3</v>
      </c>
      <c r="H485" t="str">
        <f>VLOOKUP(tblContactoCliente[[#This Row],[id_cliente]],tblClientes[[#All],[id]:[nombre_contacto]],4,0)</f>
        <v>LA REINA</v>
      </c>
    </row>
    <row r="486" spans="1:8" x14ac:dyDescent="0.25">
      <c r="A486">
        <v>485</v>
      </c>
      <c r="B486">
        <v>485</v>
      </c>
      <c r="C486">
        <v>3208993891</v>
      </c>
      <c r="D486" t="s">
        <v>2</v>
      </c>
      <c r="F486" t="s">
        <v>2</v>
      </c>
      <c r="G486" t="s">
        <v>3</v>
      </c>
      <c r="H486" t="str">
        <f>VLOOKUP(tblContactoCliente[[#This Row],[id_cliente]],tblClientes[[#All],[id]:[nombre_contacto]],4,0)</f>
        <v>AIDA FORERO</v>
      </c>
    </row>
    <row r="487" spans="1:8" x14ac:dyDescent="0.25">
      <c r="A487">
        <v>486</v>
      </c>
      <c r="B487">
        <v>486</v>
      </c>
      <c r="C487">
        <v>3164916588</v>
      </c>
      <c r="D487" t="s">
        <v>1897</v>
      </c>
      <c r="F487" t="s">
        <v>1898</v>
      </c>
      <c r="G487" t="s">
        <v>3</v>
      </c>
      <c r="H487" t="str">
        <f>VLOOKUP(tblContactoCliente[[#This Row],[id_cliente]],tblClientes[[#All],[id]:[nombre_contacto]],4,0)</f>
        <v>JAVIER PEREZ</v>
      </c>
    </row>
    <row r="488" spans="1:8" x14ac:dyDescent="0.25">
      <c r="A488">
        <v>487</v>
      </c>
      <c r="B488">
        <v>487</v>
      </c>
      <c r="C488">
        <v>0</v>
      </c>
      <c r="D488" t="s">
        <v>2</v>
      </c>
      <c r="F488" t="s">
        <v>2</v>
      </c>
      <c r="G488" t="s">
        <v>3</v>
      </c>
      <c r="H488" t="str">
        <f>VLOOKUP(tblContactoCliente[[#This Row],[id_cliente]],tblClientes[[#All],[id]:[nombre_contacto]],4,0)</f>
        <v>JHANET CEPEDA</v>
      </c>
    </row>
    <row r="489" spans="1:8" x14ac:dyDescent="0.25">
      <c r="A489">
        <v>488</v>
      </c>
      <c r="B489">
        <v>488</v>
      </c>
      <c r="C489">
        <v>3006426981</v>
      </c>
      <c r="D489" t="s">
        <v>1903</v>
      </c>
      <c r="F489" t="s">
        <v>1904</v>
      </c>
      <c r="G489" t="s">
        <v>3</v>
      </c>
      <c r="H489" t="str">
        <f>VLOOKUP(tblContactoCliente[[#This Row],[id_cliente]],tblClientes[[#All],[id]:[nombre_contacto]],4,0)</f>
        <v>LUIS FERNANDO TOVAR</v>
      </c>
    </row>
    <row r="490" spans="1:8" x14ac:dyDescent="0.25">
      <c r="A490">
        <v>489</v>
      </c>
      <c r="B490">
        <v>489</v>
      </c>
      <c r="C490">
        <v>3284931271</v>
      </c>
      <c r="D490" t="s">
        <v>2</v>
      </c>
      <c r="F490" t="s">
        <v>2</v>
      </c>
      <c r="G490" t="s">
        <v>3</v>
      </c>
      <c r="H490" t="str">
        <f>VLOOKUP(tblContactoCliente[[#This Row],[id_cliente]],tblClientes[[#All],[id]:[nombre_contacto]],4,0)</f>
        <v>RAUL BAUTISTA</v>
      </c>
    </row>
    <row r="491" spans="1:8" x14ac:dyDescent="0.25">
      <c r="A491">
        <v>490</v>
      </c>
      <c r="B491">
        <v>490</v>
      </c>
      <c r="C491">
        <v>3105890649</v>
      </c>
      <c r="D491" t="s">
        <v>2</v>
      </c>
      <c r="F491" t="s">
        <v>2</v>
      </c>
      <c r="G491" t="s">
        <v>3</v>
      </c>
      <c r="H491" t="str">
        <f>VLOOKUP(tblContactoCliente[[#This Row],[id_cliente]],tblClientes[[#All],[id]:[nombre_contacto]],4,0)</f>
        <v>JHON GALVIS</v>
      </c>
    </row>
    <row r="492" spans="1:8" x14ac:dyDescent="0.25">
      <c r="A492">
        <v>491</v>
      </c>
      <c r="B492">
        <v>491</v>
      </c>
      <c r="C492">
        <v>3016214222</v>
      </c>
      <c r="D492" t="s">
        <v>1911</v>
      </c>
      <c r="F492" t="s">
        <v>1079</v>
      </c>
      <c r="G492" t="s">
        <v>3</v>
      </c>
      <c r="H492" t="str">
        <f>VLOOKUP(tblContactoCliente[[#This Row],[id_cliente]],tblClientes[[#All],[id]:[nombre_contacto]],4,0)</f>
        <v>OSWALDO HERRERA</v>
      </c>
    </row>
    <row r="493" spans="1:8" x14ac:dyDescent="0.25">
      <c r="A493">
        <v>492</v>
      </c>
      <c r="B493">
        <v>492</v>
      </c>
      <c r="C493">
        <v>3208265674</v>
      </c>
      <c r="D493" t="s">
        <v>1914</v>
      </c>
      <c r="F493" t="s">
        <v>1915</v>
      </c>
      <c r="G493" t="s">
        <v>1915</v>
      </c>
      <c r="H493" t="str">
        <f>VLOOKUP(tblContactoCliente[[#This Row],[id_cliente]],tblClientes[[#All],[id]:[nombre_contacto]],4,0)</f>
        <v>KAREN JARAMILLO</v>
      </c>
    </row>
    <row r="494" spans="1:8" x14ac:dyDescent="0.25">
      <c r="A494">
        <v>493</v>
      </c>
      <c r="B494">
        <v>493</v>
      </c>
      <c r="C494">
        <v>3143714412</v>
      </c>
      <c r="D494" t="s">
        <v>1918</v>
      </c>
      <c r="F494" t="s">
        <v>1750</v>
      </c>
      <c r="G494" t="s">
        <v>3</v>
      </c>
      <c r="H494" t="str">
        <f>VLOOKUP(tblContactoCliente[[#This Row],[id_cliente]],tblClientes[[#All],[id]:[nombre_contacto]],4,0)</f>
        <v>OSCAR VEGA</v>
      </c>
    </row>
    <row r="495" spans="1:8" x14ac:dyDescent="0.25">
      <c r="A495">
        <v>494</v>
      </c>
      <c r="B495">
        <v>494</v>
      </c>
      <c r="C495">
        <v>3212444187</v>
      </c>
      <c r="D495" t="s">
        <v>1921</v>
      </c>
      <c r="F495" t="s">
        <v>1922</v>
      </c>
      <c r="G495" t="s">
        <v>3</v>
      </c>
      <c r="H495" t="str">
        <f>VLOOKUP(tblContactoCliente[[#This Row],[id_cliente]],tblClientes[[#All],[id]:[nombre_contacto]],4,0)</f>
        <v>JULIAN GAMBA</v>
      </c>
    </row>
    <row r="496" spans="1:8" x14ac:dyDescent="0.25">
      <c r="A496">
        <v>495</v>
      </c>
      <c r="B496">
        <v>495</v>
      </c>
      <c r="C496">
        <v>3235910583</v>
      </c>
      <c r="D496" t="s">
        <v>4172</v>
      </c>
      <c r="F496" t="s">
        <v>287</v>
      </c>
      <c r="G496" t="s">
        <v>801</v>
      </c>
      <c r="H496" t="str">
        <f>VLOOKUP(tblContactoCliente[[#This Row],[id_cliente]],tblClientes[[#All],[id]:[nombre_contacto]],4,0)</f>
        <v>GUILLERMO GOMEZ</v>
      </c>
    </row>
    <row r="497" spans="1:8" x14ac:dyDescent="0.25">
      <c r="A497">
        <v>496</v>
      </c>
      <c r="B497">
        <v>496</v>
      </c>
      <c r="C497" s="15">
        <v>3114567501</v>
      </c>
      <c r="D497" t="s">
        <v>2</v>
      </c>
      <c r="F497" t="s">
        <v>2</v>
      </c>
      <c r="G497" t="s">
        <v>3</v>
      </c>
      <c r="H497" t="str">
        <f>VLOOKUP(tblContactoCliente[[#This Row],[id_cliente]],tblClientes[[#All],[id]:[nombre_contacto]],4,0)</f>
        <v>MILTON GARRIDO</v>
      </c>
    </row>
    <row r="498" spans="1:8" x14ac:dyDescent="0.25">
      <c r="A498">
        <v>497</v>
      </c>
      <c r="B498">
        <v>497</v>
      </c>
      <c r="C498">
        <v>3016849054</v>
      </c>
      <c r="D498" t="s">
        <v>1927</v>
      </c>
      <c r="F498" t="s">
        <v>1928</v>
      </c>
      <c r="G498" t="s">
        <v>3</v>
      </c>
      <c r="H498" t="str">
        <f>VLOOKUP(tblContactoCliente[[#This Row],[id_cliente]],tblClientes[[#All],[id]:[nombre_contacto]],4,0)</f>
        <v>FERNANDO SIERRA</v>
      </c>
    </row>
    <row r="499" spans="1:8" x14ac:dyDescent="0.25">
      <c r="A499">
        <v>498</v>
      </c>
      <c r="B499">
        <v>498</v>
      </c>
      <c r="C499">
        <v>3008550902</v>
      </c>
      <c r="D499" t="s">
        <v>1930</v>
      </c>
      <c r="F499" t="s">
        <v>1931</v>
      </c>
      <c r="G499" t="s">
        <v>3</v>
      </c>
      <c r="H499" t="str">
        <f>VLOOKUP(tblContactoCliente[[#This Row],[id_cliente]],tblClientes[[#All],[id]:[nombre_contacto]],4,0)</f>
        <v>IVAN AGUIRRE</v>
      </c>
    </row>
    <row r="500" spans="1:8" x14ac:dyDescent="0.25">
      <c r="A500">
        <v>499</v>
      </c>
      <c r="B500">
        <v>499</v>
      </c>
      <c r="C500">
        <v>3192688221</v>
      </c>
      <c r="D500" t="s">
        <v>1933</v>
      </c>
      <c r="F500" t="s">
        <v>217</v>
      </c>
      <c r="G500" t="s">
        <v>3</v>
      </c>
      <c r="H500" t="str">
        <f>VLOOKUP(tblContactoCliente[[#This Row],[id_cliente]],tblClientes[[#All],[id]:[nombre_contacto]],4,0)</f>
        <v>FABIAN MORENO</v>
      </c>
    </row>
    <row r="501" spans="1:8" x14ac:dyDescent="0.25">
      <c r="A501">
        <v>500</v>
      </c>
      <c r="B501">
        <v>500</v>
      </c>
      <c r="C501">
        <v>3144610285</v>
      </c>
      <c r="D501" t="s">
        <v>1935</v>
      </c>
      <c r="F501" t="s">
        <v>1936</v>
      </c>
      <c r="G501" t="s">
        <v>3</v>
      </c>
      <c r="H501" t="str">
        <f>VLOOKUP(tblContactoCliente[[#This Row],[id_cliente]],tblClientes[[#All],[id]:[nombre_contacto]],4,0)</f>
        <v>JESUS DAVID VILLAMIZAR</v>
      </c>
    </row>
    <row r="502" spans="1:8" x14ac:dyDescent="0.25">
      <c r="A502">
        <v>501</v>
      </c>
      <c r="B502">
        <v>501</v>
      </c>
      <c r="C502">
        <v>3154887319</v>
      </c>
      <c r="D502" t="s">
        <v>1938</v>
      </c>
      <c r="F502" t="s">
        <v>187</v>
      </c>
      <c r="G502" t="s">
        <v>3</v>
      </c>
      <c r="H502" t="str">
        <f>VLOOKUP(tblContactoCliente[[#This Row],[id_cliente]],tblClientes[[#All],[id]:[nombre_contacto]],4,0)</f>
        <v>RODRIGO SALAMANCA</v>
      </c>
    </row>
    <row r="503" spans="1:8" x14ac:dyDescent="0.25">
      <c r="A503">
        <v>502</v>
      </c>
      <c r="B503">
        <v>502</v>
      </c>
      <c r="C503">
        <v>3003623902</v>
      </c>
      <c r="D503" t="s">
        <v>1940</v>
      </c>
      <c r="F503" t="s">
        <v>747</v>
      </c>
      <c r="G503" t="s">
        <v>3</v>
      </c>
      <c r="H503" t="str">
        <f>VLOOKUP(tblContactoCliente[[#This Row],[id_cliente]],tblClientes[[#All],[id]:[nombre_contacto]],4,0)</f>
        <v>JAIME DUQUE</v>
      </c>
    </row>
    <row r="504" spans="1:8" x14ac:dyDescent="0.25">
      <c r="A504">
        <v>503</v>
      </c>
      <c r="B504">
        <v>503</v>
      </c>
      <c r="C504">
        <v>3118672669</v>
      </c>
      <c r="D504" t="s">
        <v>1942</v>
      </c>
      <c r="F504" t="s">
        <v>995</v>
      </c>
      <c r="G504" t="s">
        <v>3</v>
      </c>
      <c r="H504" t="str">
        <f>VLOOKUP(tblContactoCliente[[#This Row],[id_cliente]],tblClientes[[#All],[id]:[nombre_contacto]],4,0)</f>
        <v>WILLIAM MOSQUERA</v>
      </c>
    </row>
    <row r="505" spans="1:8" x14ac:dyDescent="0.25">
      <c r="A505">
        <v>504</v>
      </c>
      <c r="B505">
        <v>504</v>
      </c>
      <c r="C505">
        <v>3108062133</v>
      </c>
      <c r="D505" t="s">
        <v>1945</v>
      </c>
      <c r="F505" t="s">
        <v>1946</v>
      </c>
      <c r="G505" t="s">
        <v>3</v>
      </c>
      <c r="H505" t="str">
        <f>VLOOKUP(tblContactoCliente[[#This Row],[id_cliente]],tblClientes[[#All],[id]:[nombre_contacto]],4,0)</f>
        <v>WILSON MARIÑO</v>
      </c>
    </row>
    <row r="506" spans="1:8" x14ac:dyDescent="0.25">
      <c r="A506">
        <v>505</v>
      </c>
      <c r="B506">
        <v>505</v>
      </c>
      <c r="C506">
        <v>3124470790</v>
      </c>
      <c r="D506" t="s">
        <v>1951</v>
      </c>
      <c r="F506" t="s">
        <v>791</v>
      </c>
      <c r="G506" t="s">
        <v>3</v>
      </c>
      <c r="H506" t="str">
        <f>VLOOKUP(tblContactoCliente[[#This Row],[id_cliente]],tblClientes[[#All],[id]:[nombre_contacto]],4,0)</f>
        <v>EDEBERTO PINILLOS</v>
      </c>
    </row>
    <row r="507" spans="1:8" x14ac:dyDescent="0.25">
      <c r="A507">
        <v>506</v>
      </c>
      <c r="B507">
        <v>506</v>
      </c>
      <c r="C507">
        <v>3197145577</v>
      </c>
      <c r="D507" t="s">
        <v>1955</v>
      </c>
      <c r="F507" t="s">
        <v>1956</v>
      </c>
      <c r="G507" t="s">
        <v>3</v>
      </c>
      <c r="H507" t="str">
        <f>VLOOKUP(tblContactoCliente[[#This Row],[id_cliente]],tblClientes[[#All],[id]:[nombre_contacto]],4,0)</f>
        <v>LEIDY JOANA PALECHOR</v>
      </c>
    </row>
    <row r="508" spans="1:8" x14ac:dyDescent="0.25">
      <c r="A508">
        <v>507</v>
      </c>
      <c r="B508">
        <v>507</v>
      </c>
      <c r="C508">
        <v>3107782174</v>
      </c>
      <c r="D508" t="s">
        <v>1960</v>
      </c>
      <c r="F508" t="s">
        <v>1109</v>
      </c>
      <c r="G508" t="s">
        <v>3</v>
      </c>
      <c r="H508" t="str">
        <f>VLOOKUP(tblContactoCliente[[#This Row],[id_cliente]],tblClientes[[#All],[id]:[nombre_contacto]],4,0)</f>
        <v>CARMEN LUCIA PARRA</v>
      </c>
    </row>
    <row r="509" spans="1:8" x14ac:dyDescent="0.25">
      <c r="A509">
        <v>508</v>
      </c>
      <c r="B509">
        <v>508</v>
      </c>
      <c r="C509">
        <v>3012588867</v>
      </c>
      <c r="D509" t="s">
        <v>1963</v>
      </c>
      <c r="F509" t="s">
        <v>1964</v>
      </c>
      <c r="G509" t="s">
        <v>3</v>
      </c>
      <c r="H509" t="str">
        <f>VLOOKUP(tblContactoCliente[[#This Row],[id_cliente]],tblClientes[[#All],[id]:[nombre_contacto]],4,0)</f>
        <v>HUGO LEON</v>
      </c>
    </row>
    <row r="510" spans="1:8" x14ac:dyDescent="0.25">
      <c r="A510">
        <v>509</v>
      </c>
      <c r="B510">
        <v>509</v>
      </c>
      <c r="C510">
        <v>3008627169</v>
      </c>
      <c r="D510" t="s">
        <v>1969</v>
      </c>
      <c r="F510" t="s">
        <v>1970</v>
      </c>
      <c r="G510" t="s">
        <v>3</v>
      </c>
      <c r="H510" t="str">
        <f>VLOOKUP(tblContactoCliente[[#This Row],[id_cliente]],tblClientes[[#All],[id]:[nombre_contacto]],4,0)</f>
        <v>EVELIO ALVIRA</v>
      </c>
    </row>
    <row r="511" spans="1:8" x14ac:dyDescent="0.25">
      <c r="A511">
        <v>510</v>
      </c>
      <c r="B511">
        <v>510</v>
      </c>
      <c r="C511">
        <v>3134841301</v>
      </c>
      <c r="D511" t="s">
        <v>1974</v>
      </c>
      <c r="F511" t="s">
        <v>217</v>
      </c>
      <c r="G511" t="s">
        <v>3</v>
      </c>
      <c r="H511" t="str">
        <f>VLOOKUP(tblContactoCliente[[#This Row],[id_cliente]],tblClientes[[#All],[id]:[nombre_contacto]],4,0)</f>
        <v>JHON EDISON ARDILA SANCHEZ</v>
      </c>
    </row>
    <row r="512" spans="1:8" x14ac:dyDescent="0.25">
      <c r="A512">
        <v>511</v>
      </c>
      <c r="B512">
        <v>511</v>
      </c>
      <c r="C512">
        <v>3105583555</v>
      </c>
      <c r="D512" t="s">
        <v>1979</v>
      </c>
      <c r="F512" t="s">
        <v>1980</v>
      </c>
      <c r="G512" t="s">
        <v>3</v>
      </c>
      <c r="H512" t="str">
        <f>VLOOKUP(tblContactoCliente[[#This Row],[id_cliente]],tblClientes[[#All],[id]:[nombre_contacto]],4,0)</f>
        <v>ANTONIO ZUÑIGA</v>
      </c>
    </row>
    <row r="513" spans="1:8" x14ac:dyDescent="0.25">
      <c r="A513">
        <v>512</v>
      </c>
      <c r="B513">
        <v>512</v>
      </c>
      <c r="C513">
        <v>3113399975</v>
      </c>
      <c r="D513" t="s">
        <v>1985</v>
      </c>
      <c r="F513" t="s">
        <v>448</v>
      </c>
      <c r="G513" t="s">
        <v>3</v>
      </c>
      <c r="H513" t="str">
        <f>VLOOKUP(tblContactoCliente[[#This Row],[id_cliente]],tblClientes[[#All],[id]:[nombre_contacto]],4,0)</f>
        <v>WILLINTON ORDOÑEZ</v>
      </c>
    </row>
    <row r="514" spans="1:8" x14ac:dyDescent="0.25">
      <c r="A514">
        <v>513</v>
      </c>
      <c r="B514">
        <v>513</v>
      </c>
      <c r="C514">
        <v>3043697950</v>
      </c>
      <c r="D514" t="s">
        <v>1990</v>
      </c>
      <c r="F514" t="s">
        <v>1991</v>
      </c>
      <c r="G514" t="s">
        <v>3</v>
      </c>
      <c r="H514" t="str">
        <f>VLOOKUP(tblContactoCliente[[#This Row],[id_cliente]],tblClientes[[#All],[id]:[nombre_contacto]],4,0)</f>
        <v>JEISON BERNAL</v>
      </c>
    </row>
    <row r="515" spans="1:8" x14ac:dyDescent="0.25">
      <c r="A515">
        <v>514</v>
      </c>
      <c r="B515">
        <v>514</v>
      </c>
      <c r="C515">
        <v>3204080626</v>
      </c>
      <c r="D515" t="s">
        <v>1995</v>
      </c>
      <c r="F515" t="s">
        <v>217</v>
      </c>
      <c r="G515" t="s">
        <v>3</v>
      </c>
      <c r="H515" t="str">
        <f>VLOOKUP(tblContactoCliente[[#This Row],[id_cliente]],tblClientes[[#All],[id]:[nombre_contacto]],4,0)</f>
        <v>YOVANNY PULIDO</v>
      </c>
    </row>
    <row r="516" spans="1:8" x14ac:dyDescent="0.25">
      <c r="A516">
        <v>515</v>
      </c>
      <c r="B516">
        <v>515</v>
      </c>
      <c r="C516" s="15">
        <v>3144824718</v>
      </c>
      <c r="D516" t="s">
        <v>2000</v>
      </c>
      <c r="F516" t="s">
        <v>527</v>
      </c>
      <c r="G516" t="s">
        <v>3</v>
      </c>
      <c r="H516" t="str">
        <f>VLOOKUP(tblContactoCliente[[#This Row],[id_cliente]],tblClientes[[#All],[id]:[nombre_contacto]],4,0)</f>
        <v xml:space="preserve">OSCAR MAURICIO AVENDAÑO/ HUGO FERNANDO AVENDAÑO </v>
      </c>
    </row>
    <row r="517" spans="1:8" x14ac:dyDescent="0.25">
      <c r="A517">
        <v>516</v>
      </c>
      <c r="B517">
        <v>516</v>
      </c>
      <c r="C517" s="15">
        <v>3112879388</v>
      </c>
      <c r="D517" t="s">
        <v>2004</v>
      </c>
      <c r="F517" t="s">
        <v>217</v>
      </c>
      <c r="G517" t="s">
        <v>3</v>
      </c>
      <c r="H517" t="str">
        <f>VLOOKUP(tblContactoCliente[[#This Row],[id_cliente]],tblClientes[[#All],[id]:[nombre_contacto]],4,0)</f>
        <v>JAIR MARTINEZ CASTRO</v>
      </c>
    </row>
    <row r="518" spans="1:8" x14ac:dyDescent="0.25">
      <c r="A518">
        <v>517</v>
      </c>
      <c r="B518">
        <v>517</v>
      </c>
      <c r="C518">
        <v>3112701349</v>
      </c>
      <c r="D518" t="s">
        <v>2008</v>
      </c>
      <c r="F518" t="s">
        <v>234</v>
      </c>
      <c r="G518" t="s">
        <v>3</v>
      </c>
      <c r="H518" t="str">
        <f>VLOOKUP(tblContactoCliente[[#This Row],[id_cliente]],tblClientes[[#All],[id]:[nombre_contacto]],4,0)</f>
        <v>ILDA MORENO SANCHEZ</v>
      </c>
    </row>
    <row r="519" spans="1:8" x14ac:dyDescent="0.25">
      <c r="A519">
        <v>518</v>
      </c>
      <c r="B519">
        <v>518</v>
      </c>
      <c r="C519">
        <v>3125151500</v>
      </c>
      <c r="D519" t="s">
        <v>2010</v>
      </c>
      <c r="F519" t="s">
        <v>2011</v>
      </c>
      <c r="G519" t="s">
        <v>3</v>
      </c>
      <c r="H519" t="str">
        <f>VLOOKUP(tblContactoCliente[[#This Row],[id_cliente]],tblClientes[[#All],[id]:[nombre_contacto]],4,0)</f>
        <v>LUIS CARLOS HERNANDEZ</v>
      </c>
    </row>
    <row r="520" spans="1:8" x14ac:dyDescent="0.25">
      <c r="A520">
        <v>519</v>
      </c>
      <c r="B520">
        <v>519</v>
      </c>
      <c r="C520">
        <v>3123896392</v>
      </c>
      <c r="D520" t="s">
        <v>2013</v>
      </c>
      <c r="F520" t="s">
        <v>187</v>
      </c>
      <c r="G520" t="s">
        <v>3</v>
      </c>
      <c r="H520" t="str">
        <f>VLOOKUP(tblContactoCliente[[#This Row],[id_cliente]],tblClientes[[#All],[id]:[nombre_contacto]],4,0)</f>
        <v>HENRY FIERRO</v>
      </c>
    </row>
    <row r="521" spans="1:8" x14ac:dyDescent="0.25">
      <c r="A521">
        <v>520</v>
      </c>
      <c r="B521">
        <v>520</v>
      </c>
      <c r="C521">
        <v>3154168449</v>
      </c>
      <c r="D521" t="s">
        <v>2018</v>
      </c>
      <c r="F521" t="s">
        <v>2019</v>
      </c>
      <c r="G521" t="s">
        <v>7</v>
      </c>
      <c r="H521" t="str">
        <f>VLOOKUP(tblContactoCliente[[#This Row],[id_cliente]],tblClientes[[#All],[id]:[nombre_contacto]],4,0)</f>
        <v>JAVIER ALONZO MUNERA</v>
      </c>
    </row>
    <row r="522" spans="1:8" x14ac:dyDescent="0.25">
      <c r="A522">
        <v>521</v>
      </c>
      <c r="B522">
        <v>521</v>
      </c>
      <c r="C522">
        <v>3184580449</v>
      </c>
      <c r="D522" t="s">
        <v>2023</v>
      </c>
      <c r="F522" t="s">
        <v>1946</v>
      </c>
      <c r="G522" t="s">
        <v>3</v>
      </c>
      <c r="H522" t="str">
        <f>VLOOKUP(tblContactoCliente[[#This Row],[id_cliente]],tblClientes[[#All],[id]:[nombre_contacto]],4,0)</f>
        <v>ANGELA GUERRA</v>
      </c>
    </row>
    <row r="523" spans="1:8" x14ac:dyDescent="0.25">
      <c r="A523">
        <v>522</v>
      </c>
      <c r="B523">
        <v>522</v>
      </c>
      <c r="C523">
        <v>3132903794</v>
      </c>
      <c r="D523" t="s">
        <v>2026</v>
      </c>
      <c r="F523" t="s">
        <v>2027</v>
      </c>
      <c r="G523" t="s">
        <v>585</v>
      </c>
      <c r="H523" t="str">
        <f>VLOOKUP(tblContactoCliente[[#This Row],[id_cliente]],tblClientes[[#All],[id]:[nombre_contacto]],4,0)</f>
        <v>JENNY MONTOYA</v>
      </c>
    </row>
    <row r="524" spans="1:8" x14ac:dyDescent="0.25">
      <c r="A524">
        <v>523</v>
      </c>
      <c r="B524">
        <v>523</v>
      </c>
      <c r="C524">
        <v>3205749727</v>
      </c>
      <c r="D524" t="s">
        <v>2032</v>
      </c>
      <c r="F524" t="s">
        <v>1440</v>
      </c>
      <c r="G524" t="s">
        <v>2033</v>
      </c>
      <c r="H524" t="str">
        <f>VLOOKUP(tblContactoCliente[[#This Row],[id_cliente]],tblClientes[[#All],[id]:[nombre_contacto]],4,0)</f>
        <v xml:space="preserve">EBERLIDES CONTRERAS </v>
      </c>
    </row>
    <row r="525" spans="1:8" x14ac:dyDescent="0.25">
      <c r="A525">
        <v>524</v>
      </c>
      <c r="B525">
        <v>524</v>
      </c>
      <c r="C525">
        <v>3112809559</v>
      </c>
      <c r="D525" t="s">
        <v>4172</v>
      </c>
      <c r="F525" t="s">
        <v>4172</v>
      </c>
      <c r="G525" t="s">
        <v>3</v>
      </c>
      <c r="H525" t="str">
        <f>VLOOKUP(tblContactoCliente[[#This Row],[id_cliente]],tblClientes[[#All],[id]:[nombre_contacto]],4,0)</f>
        <v>EDWIN LIZARAZO</v>
      </c>
    </row>
    <row r="526" spans="1:8" x14ac:dyDescent="0.25">
      <c r="A526">
        <v>525</v>
      </c>
      <c r="B526">
        <v>525</v>
      </c>
      <c r="C526">
        <v>3212163104</v>
      </c>
      <c r="D526" t="s">
        <v>4172</v>
      </c>
      <c r="F526" t="s">
        <v>4172</v>
      </c>
      <c r="G526" t="s">
        <v>3</v>
      </c>
      <c r="H526" t="str">
        <f>VLOOKUP(tblContactoCliente[[#This Row],[id_cliente]],tblClientes[[#All],[id]:[nombre_contacto]],4,0)</f>
        <v>CRISTIAN LISARAZO</v>
      </c>
    </row>
    <row r="527" spans="1:8" x14ac:dyDescent="0.25">
      <c r="A527">
        <v>526</v>
      </c>
      <c r="B527">
        <v>526</v>
      </c>
      <c r="C527">
        <v>3224781067</v>
      </c>
      <c r="D527" t="s">
        <v>4172</v>
      </c>
      <c r="F527" t="s">
        <v>4172</v>
      </c>
      <c r="G527" t="s">
        <v>3</v>
      </c>
      <c r="H527" t="str">
        <f>VLOOKUP(tblContactoCliente[[#This Row],[id_cliente]],tblClientes[[#All],[id]:[nombre_contacto]],4,0)</f>
        <v>FABER</v>
      </c>
    </row>
    <row r="528" spans="1:8" x14ac:dyDescent="0.25">
      <c r="A528">
        <v>527</v>
      </c>
      <c r="B528">
        <v>527</v>
      </c>
      <c r="C528">
        <v>3172273781</v>
      </c>
      <c r="D528" t="s">
        <v>4172</v>
      </c>
      <c r="F528" t="s">
        <v>4172</v>
      </c>
      <c r="G528" t="s">
        <v>7</v>
      </c>
      <c r="H528" t="str">
        <f>VLOOKUP(tblContactoCliente[[#This Row],[id_cliente]],tblClientes[[#All],[id]:[nombre_contacto]],4,0)</f>
        <v>PABLO</v>
      </c>
    </row>
    <row r="529" spans="1:8" x14ac:dyDescent="0.25">
      <c r="A529">
        <v>528</v>
      </c>
      <c r="B529">
        <v>528</v>
      </c>
      <c r="C529">
        <v>3502652786</v>
      </c>
      <c r="D529" t="s">
        <v>4172</v>
      </c>
      <c r="F529" t="s">
        <v>4172</v>
      </c>
      <c r="G529" t="s">
        <v>3</v>
      </c>
      <c r="H529" t="str">
        <f>VLOOKUP(tblContactoCliente[[#This Row],[id_cliente]],tblClientes[[#All],[id]:[nombre_contacto]],4,0)</f>
        <v>JUAN FERNANDO ROMERO</v>
      </c>
    </row>
    <row r="530" spans="1:8" x14ac:dyDescent="0.25">
      <c r="A530">
        <v>529</v>
      </c>
      <c r="B530">
        <v>529</v>
      </c>
      <c r="C530">
        <v>3157316015</v>
      </c>
      <c r="D530" t="s">
        <v>2042</v>
      </c>
      <c r="F530" t="s">
        <v>217</v>
      </c>
      <c r="G530" t="s">
        <v>16</v>
      </c>
      <c r="H530" t="str">
        <f>VLOOKUP(tblContactoCliente[[#This Row],[id_cliente]],tblClientes[[#All],[id]:[nombre_contacto]],4,0)</f>
        <v>DAHIAN BERRIO</v>
      </c>
    </row>
    <row r="531" spans="1:8" x14ac:dyDescent="0.25">
      <c r="A531">
        <v>530</v>
      </c>
      <c r="B531">
        <v>530</v>
      </c>
      <c r="C531">
        <v>3208362333</v>
      </c>
      <c r="D531" t="s">
        <v>4172</v>
      </c>
      <c r="F531" t="s">
        <v>187</v>
      </c>
      <c r="G531" t="s">
        <v>3</v>
      </c>
      <c r="H531" t="str">
        <f>VLOOKUP(tblContactoCliente[[#This Row],[id_cliente]],tblClientes[[#All],[id]:[nombre_contacto]],4,0)</f>
        <v>BARBARA CHAPARRO</v>
      </c>
    </row>
    <row r="532" spans="1:8" x14ac:dyDescent="0.25">
      <c r="A532">
        <v>531</v>
      </c>
      <c r="B532">
        <v>531</v>
      </c>
      <c r="C532">
        <v>3112042132</v>
      </c>
      <c r="D532" t="s">
        <v>2045</v>
      </c>
      <c r="F532" t="s">
        <v>187</v>
      </c>
      <c r="G532" t="s">
        <v>3</v>
      </c>
      <c r="H532" t="str">
        <f>VLOOKUP(tblContactoCliente[[#This Row],[id_cliente]],tblClientes[[#All],[id]:[nombre_contacto]],4,0)</f>
        <v>ALFONZO</v>
      </c>
    </row>
    <row r="533" spans="1:8" x14ac:dyDescent="0.25">
      <c r="A533">
        <v>532</v>
      </c>
      <c r="B533">
        <v>532</v>
      </c>
      <c r="C533">
        <v>3102487265</v>
      </c>
      <c r="D533" t="s">
        <v>2047</v>
      </c>
      <c r="F533" t="s">
        <v>747</v>
      </c>
      <c r="G533" t="s">
        <v>3</v>
      </c>
      <c r="H533" t="str">
        <f>VLOOKUP(tblContactoCliente[[#This Row],[id_cliente]],tblClientes[[#All],[id]:[nombre_contacto]],4,0)</f>
        <v>LUCIO MARTINEZ</v>
      </c>
    </row>
    <row r="534" spans="1:8" x14ac:dyDescent="0.25">
      <c r="A534">
        <v>533</v>
      </c>
      <c r="B534">
        <v>533</v>
      </c>
      <c r="C534">
        <v>3102487265</v>
      </c>
      <c r="D534" t="s">
        <v>2047</v>
      </c>
      <c r="F534" t="s">
        <v>747</v>
      </c>
      <c r="G534" t="s">
        <v>3</v>
      </c>
      <c r="H534" t="str">
        <f>VLOOKUP(tblContactoCliente[[#This Row],[id_cliente]],tblClientes[[#All],[id]:[nombre_contacto]],4,0)</f>
        <v>ELIZABETH</v>
      </c>
    </row>
    <row r="535" spans="1:8" x14ac:dyDescent="0.25">
      <c r="A535">
        <v>534</v>
      </c>
      <c r="B535">
        <v>534</v>
      </c>
      <c r="C535">
        <v>3132019930</v>
      </c>
      <c r="D535" t="s">
        <v>2051</v>
      </c>
      <c r="F535" t="s">
        <v>2052</v>
      </c>
      <c r="G535" t="s">
        <v>3</v>
      </c>
      <c r="H535" t="str">
        <f>VLOOKUP(tblContactoCliente[[#This Row],[id_cliente]],tblClientes[[#All],[id]:[nombre_contacto]],4,0)</f>
        <v>DORA INES CIFUENTES</v>
      </c>
    </row>
    <row r="536" spans="1:8" x14ac:dyDescent="0.25">
      <c r="A536">
        <v>535</v>
      </c>
      <c r="B536">
        <v>535</v>
      </c>
      <c r="C536">
        <v>3164907031</v>
      </c>
      <c r="D536" t="s">
        <v>2057</v>
      </c>
      <c r="F536" t="s">
        <v>1320</v>
      </c>
      <c r="G536" t="s">
        <v>3</v>
      </c>
      <c r="H536" t="str">
        <f>VLOOKUP(tblContactoCliente[[#This Row],[id_cliente]],tblClientes[[#All],[id]:[nombre_contacto]],4,0)</f>
        <v>ALBERTO ROMERO</v>
      </c>
    </row>
    <row r="537" spans="1:8" x14ac:dyDescent="0.25">
      <c r="A537">
        <v>536</v>
      </c>
      <c r="B537">
        <v>536</v>
      </c>
      <c r="C537">
        <v>3108748224</v>
      </c>
      <c r="D537" t="s">
        <v>2060</v>
      </c>
      <c r="F537" t="s">
        <v>1109</v>
      </c>
      <c r="G537" t="s">
        <v>3</v>
      </c>
      <c r="H537" t="str">
        <f>VLOOKUP(tblContactoCliente[[#This Row],[id_cliente]],tblClientes[[#All],[id]:[nombre_contacto]],4,0)</f>
        <v>LUZ CONSUELO AVELLANEDA</v>
      </c>
    </row>
    <row r="538" spans="1:8" x14ac:dyDescent="0.25">
      <c r="A538">
        <v>537</v>
      </c>
      <c r="B538">
        <v>537</v>
      </c>
      <c r="C538">
        <v>3005333532</v>
      </c>
      <c r="D538" t="s">
        <v>2065</v>
      </c>
      <c r="F538" t="s">
        <v>2066</v>
      </c>
      <c r="G538" t="s">
        <v>4172</v>
      </c>
      <c r="H538" t="str">
        <f>VLOOKUP(tblContactoCliente[[#This Row],[id_cliente]],tblClientes[[#All],[id]:[nombre_contacto]],4,0)</f>
        <v>NELSON MONTOYA</v>
      </c>
    </row>
    <row r="539" spans="1:8" x14ac:dyDescent="0.25">
      <c r="A539">
        <v>538</v>
      </c>
      <c r="B539">
        <v>538</v>
      </c>
      <c r="C539">
        <v>3133006828</v>
      </c>
      <c r="D539" t="s">
        <v>2069</v>
      </c>
      <c r="F539" t="s">
        <v>2070</v>
      </c>
      <c r="G539" t="s">
        <v>3</v>
      </c>
      <c r="H539" t="str">
        <f>VLOOKUP(tblContactoCliente[[#This Row],[id_cliente]],tblClientes[[#All],[id]:[nombre_contacto]],4,0)</f>
        <v>NELSON LOZANO</v>
      </c>
    </row>
    <row r="540" spans="1:8" x14ac:dyDescent="0.25">
      <c r="A540">
        <v>539</v>
      </c>
      <c r="B540">
        <v>539</v>
      </c>
      <c r="C540">
        <v>3114643596</v>
      </c>
      <c r="D540" t="s">
        <v>2073</v>
      </c>
      <c r="F540" t="s">
        <v>2074</v>
      </c>
      <c r="G540" t="s">
        <v>2075</v>
      </c>
      <c r="H540" t="str">
        <f>VLOOKUP(tblContactoCliente[[#This Row],[id_cliente]],tblClientes[[#All],[id]:[nombre_contacto]],4,0)</f>
        <v xml:space="preserve">FABIO CORTES </v>
      </c>
    </row>
    <row r="541" spans="1:8" x14ac:dyDescent="0.25">
      <c r="A541">
        <v>540</v>
      </c>
      <c r="B541">
        <v>540</v>
      </c>
      <c r="C541">
        <v>3103194816</v>
      </c>
      <c r="D541" t="s">
        <v>2079</v>
      </c>
      <c r="F541" t="s">
        <v>549</v>
      </c>
      <c r="G541" t="s">
        <v>3</v>
      </c>
      <c r="H541" t="str">
        <f>VLOOKUP(tblContactoCliente[[#This Row],[id_cliente]],tblClientes[[#All],[id]:[nombre_contacto]],4,0)</f>
        <v>CESAR ORDOÑEZ</v>
      </c>
    </row>
    <row r="542" spans="1:8" x14ac:dyDescent="0.25">
      <c r="A542">
        <v>541</v>
      </c>
      <c r="B542">
        <v>541</v>
      </c>
      <c r="C542">
        <v>3102366356</v>
      </c>
      <c r="D542" t="s">
        <v>2084</v>
      </c>
      <c r="F542" t="s">
        <v>2085</v>
      </c>
      <c r="G542" t="s">
        <v>4172</v>
      </c>
      <c r="H542" t="str">
        <f>VLOOKUP(tblContactoCliente[[#This Row],[id_cliente]],tblClientes[[#All],[id]:[nombre_contacto]],4,0)</f>
        <v>MARIA MATEUS</v>
      </c>
    </row>
    <row r="543" spans="1:8" x14ac:dyDescent="0.25">
      <c r="A543">
        <v>542</v>
      </c>
      <c r="B543">
        <v>542</v>
      </c>
      <c r="C543">
        <v>3194181331</v>
      </c>
      <c r="D543" t="s">
        <v>2091</v>
      </c>
      <c r="F543" t="s">
        <v>1024</v>
      </c>
      <c r="G543" t="s">
        <v>4172</v>
      </c>
      <c r="H543" t="str">
        <f>VLOOKUP(tblContactoCliente[[#This Row],[id_cliente]],tblClientes[[#All],[id]:[nombre_contacto]],4,0)</f>
        <v>JENNIFER PEDRAZA GODOY</v>
      </c>
    </row>
    <row r="544" spans="1:8" x14ac:dyDescent="0.25">
      <c r="A544">
        <v>543</v>
      </c>
      <c r="B544">
        <v>543</v>
      </c>
      <c r="C544">
        <v>3142077426</v>
      </c>
      <c r="D544" t="s">
        <v>2095</v>
      </c>
      <c r="F544" t="s">
        <v>561</v>
      </c>
      <c r="G544" t="s">
        <v>3</v>
      </c>
      <c r="H544" t="str">
        <f>VLOOKUP(tblContactoCliente[[#This Row],[id_cliente]],tblClientes[[#All],[id]:[nombre_contacto]],4,0)</f>
        <v>JORGE ADENIS JIMENEZ</v>
      </c>
    </row>
    <row r="545" spans="1:8" x14ac:dyDescent="0.25">
      <c r="A545">
        <v>544</v>
      </c>
      <c r="B545">
        <v>544</v>
      </c>
      <c r="C545">
        <v>3118050157</v>
      </c>
      <c r="D545" t="s">
        <v>2100</v>
      </c>
      <c r="F545" t="s">
        <v>2101</v>
      </c>
      <c r="G545" t="s">
        <v>3</v>
      </c>
      <c r="H545" t="str">
        <f>VLOOKUP(tblContactoCliente[[#This Row],[id_cliente]],tblClientes[[#All],[id]:[nombre_contacto]],4,0)</f>
        <v xml:space="preserve">EMER OBANDO </v>
      </c>
    </row>
    <row r="546" spans="1:8" x14ac:dyDescent="0.25">
      <c r="A546">
        <v>545</v>
      </c>
      <c r="B546">
        <v>545</v>
      </c>
      <c r="C546">
        <v>3118256473</v>
      </c>
      <c r="D546" t="s">
        <v>2104</v>
      </c>
      <c r="F546" t="s">
        <v>2105</v>
      </c>
      <c r="G546" t="s">
        <v>3</v>
      </c>
      <c r="H546" t="str">
        <f>VLOOKUP(tblContactoCliente[[#This Row],[id_cliente]],tblClientes[[#All],[id]:[nombre_contacto]],4,0)</f>
        <v>MARLON TUNJANO</v>
      </c>
    </row>
    <row r="547" spans="1:8" x14ac:dyDescent="0.25">
      <c r="A547">
        <v>546</v>
      </c>
      <c r="B547">
        <v>546</v>
      </c>
      <c r="C547">
        <v>3144509228</v>
      </c>
      <c r="D547" t="s">
        <v>2110</v>
      </c>
      <c r="F547" t="s">
        <v>4172</v>
      </c>
      <c r="G547" t="s">
        <v>3</v>
      </c>
      <c r="H547" t="str">
        <f>VLOOKUP(tblContactoCliente[[#This Row],[id_cliente]],tblClientes[[#All],[id]:[nombre_contacto]],4,0)</f>
        <v>DIEGO MENDEZ</v>
      </c>
    </row>
    <row r="548" spans="1:8" x14ac:dyDescent="0.25">
      <c r="A548">
        <v>547</v>
      </c>
      <c r="B548">
        <v>547</v>
      </c>
      <c r="C548">
        <v>3138550082</v>
      </c>
      <c r="D548" t="s">
        <v>2112</v>
      </c>
      <c r="F548" t="s">
        <v>1408</v>
      </c>
      <c r="G548" t="s">
        <v>3</v>
      </c>
      <c r="H548" t="str">
        <f>VLOOKUP(tblContactoCliente[[#This Row],[id_cliente]],tblClientes[[#All],[id]:[nombre_contacto]],4,0)</f>
        <v>JOSE GUILLERMO ORTIZ</v>
      </c>
    </row>
    <row r="549" spans="1:8" x14ac:dyDescent="0.25">
      <c r="A549">
        <v>548</v>
      </c>
      <c r="B549">
        <v>548</v>
      </c>
      <c r="C549">
        <v>3123245376</v>
      </c>
      <c r="D549" t="s">
        <v>2116</v>
      </c>
      <c r="F549" t="s">
        <v>2117</v>
      </c>
      <c r="G549" t="s">
        <v>966</v>
      </c>
      <c r="H549" t="str">
        <f>VLOOKUP(tblContactoCliente[[#This Row],[id_cliente]],tblClientes[[#All],[id]:[nombre_contacto]],4,0)</f>
        <v>MARTHA ALARCON BARINA</v>
      </c>
    </row>
    <row r="550" spans="1:8" x14ac:dyDescent="0.25">
      <c r="A550">
        <v>549</v>
      </c>
      <c r="B550">
        <v>549</v>
      </c>
      <c r="C550">
        <v>3107876234</v>
      </c>
      <c r="D550" t="s">
        <v>2122</v>
      </c>
      <c r="F550" t="s">
        <v>2123</v>
      </c>
      <c r="G550" t="s">
        <v>3</v>
      </c>
      <c r="H550" t="str">
        <f>VLOOKUP(tblContactoCliente[[#This Row],[id_cliente]],tblClientes[[#All],[id]:[nombre_contacto]],4,0)</f>
        <v>DARIO CAÑON</v>
      </c>
    </row>
    <row r="551" spans="1:8" x14ac:dyDescent="0.25">
      <c r="A551">
        <v>550</v>
      </c>
      <c r="B551">
        <v>550</v>
      </c>
      <c r="C551">
        <v>3203116934</v>
      </c>
      <c r="D551" t="s">
        <v>2128</v>
      </c>
      <c r="F551" t="s">
        <v>2129</v>
      </c>
      <c r="G551" t="s">
        <v>3</v>
      </c>
      <c r="H551" t="str">
        <f>VLOOKUP(tblContactoCliente[[#This Row],[id_cliente]],tblClientes[[#All],[id]:[nombre_contacto]],4,0)</f>
        <v>JOSE LAUREANO RAMIREZ</v>
      </c>
    </row>
    <row r="552" spans="1:8" x14ac:dyDescent="0.25">
      <c r="A552">
        <v>551</v>
      </c>
      <c r="B552">
        <v>551</v>
      </c>
      <c r="C552">
        <v>3125267390</v>
      </c>
      <c r="D552" t="s">
        <v>2134</v>
      </c>
      <c r="F552" t="s">
        <v>1053</v>
      </c>
      <c r="G552" t="s">
        <v>3</v>
      </c>
      <c r="H552" t="str">
        <f>VLOOKUP(tblContactoCliente[[#This Row],[id_cliente]],tblClientes[[#All],[id]:[nombre_contacto]],4,0)</f>
        <v>CAROLINA SUAREZ GUTIERREZ</v>
      </c>
    </row>
    <row r="553" spans="1:8" x14ac:dyDescent="0.25">
      <c r="A553">
        <v>552</v>
      </c>
      <c r="B553">
        <v>552</v>
      </c>
      <c r="C553">
        <v>3153883545</v>
      </c>
      <c r="D553" t="s">
        <v>2138</v>
      </c>
      <c r="F553" t="s">
        <v>880</v>
      </c>
      <c r="G553" t="s">
        <v>786</v>
      </c>
      <c r="H553" t="str">
        <f>VLOOKUP(tblContactoCliente[[#This Row],[id_cliente]],tblClientes[[#All],[id]:[nombre_contacto]],4,0)</f>
        <v>IBALDO RIAÑO</v>
      </c>
    </row>
    <row r="554" spans="1:8" x14ac:dyDescent="0.25">
      <c r="A554">
        <v>553</v>
      </c>
      <c r="B554">
        <v>553</v>
      </c>
      <c r="C554">
        <v>3104201814</v>
      </c>
      <c r="D554" t="s">
        <v>2142</v>
      </c>
      <c r="F554" t="s">
        <v>1351</v>
      </c>
      <c r="G554" t="s">
        <v>3</v>
      </c>
      <c r="H554" t="str">
        <f>VLOOKUP(tblContactoCliente[[#This Row],[id_cliente]],tblClientes[[#All],[id]:[nombre_contacto]],4,0)</f>
        <v>ELVIA ARANGO</v>
      </c>
    </row>
    <row r="555" spans="1:8" x14ac:dyDescent="0.25">
      <c r="A555">
        <v>554</v>
      </c>
      <c r="B555">
        <v>554</v>
      </c>
      <c r="C555">
        <v>6609251</v>
      </c>
      <c r="D555" t="s">
        <v>2145</v>
      </c>
      <c r="F555" t="s">
        <v>2146</v>
      </c>
      <c r="G555" t="s">
        <v>3</v>
      </c>
      <c r="H555" t="str">
        <f>VLOOKUP(tblContactoCliente[[#This Row],[id_cliente]],tblClientes[[#All],[id]:[nombre_contacto]],4,0)</f>
        <v>EDGAR SARMIENTO</v>
      </c>
    </row>
    <row r="556" spans="1:8" x14ac:dyDescent="0.25">
      <c r="A556">
        <v>555</v>
      </c>
      <c r="B556">
        <v>555</v>
      </c>
      <c r="C556">
        <v>3192253416</v>
      </c>
      <c r="D556" t="s">
        <v>2151</v>
      </c>
      <c r="F556" t="s">
        <v>2152</v>
      </c>
      <c r="G556" t="s">
        <v>4172</v>
      </c>
      <c r="H556" t="str">
        <f>VLOOKUP(tblContactoCliente[[#This Row],[id_cliente]],tblClientes[[#All],[id]:[nombre_contacto]],4,0)</f>
        <v xml:space="preserve">DIANA BARRAGAN </v>
      </c>
    </row>
    <row r="557" spans="1:8" x14ac:dyDescent="0.25">
      <c r="A557">
        <v>556</v>
      </c>
      <c r="B557">
        <v>556</v>
      </c>
      <c r="C557">
        <v>3118105316</v>
      </c>
      <c r="D557" t="s">
        <v>2156</v>
      </c>
      <c r="F557" t="s">
        <v>284</v>
      </c>
      <c r="G557" t="s">
        <v>3</v>
      </c>
      <c r="H557" t="str">
        <f>VLOOKUP(tblContactoCliente[[#This Row],[id_cliente]],tblClientes[[#All],[id]:[nombre_contacto]],4,0)</f>
        <v>JOSE SUAREZ</v>
      </c>
    </row>
    <row r="558" spans="1:8" x14ac:dyDescent="0.25">
      <c r="A558">
        <v>557</v>
      </c>
      <c r="B558">
        <v>557</v>
      </c>
      <c r="C558">
        <v>3134583198</v>
      </c>
      <c r="D558" t="s">
        <v>2158</v>
      </c>
      <c r="F558" t="s">
        <v>2159</v>
      </c>
      <c r="G558" t="s">
        <v>3</v>
      </c>
      <c r="H558" t="str">
        <f>VLOOKUP(tblContactoCliente[[#This Row],[id_cliente]],tblClientes[[#All],[id]:[nombre_contacto]],4,0)</f>
        <v>JUAN CARLOS MATAMOROS</v>
      </c>
    </row>
    <row r="559" spans="1:8" x14ac:dyDescent="0.25">
      <c r="A559">
        <v>558</v>
      </c>
      <c r="B559">
        <v>558</v>
      </c>
      <c r="C559">
        <v>3134237436</v>
      </c>
      <c r="D559" t="s">
        <v>2163</v>
      </c>
      <c r="F559" t="s">
        <v>2164</v>
      </c>
      <c r="G559" t="s">
        <v>3</v>
      </c>
      <c r="H559" t="str">
        <f>VLOOKUP(tblContactoCliente[[#This Row],[id_cliente]],tblClientes[[#All],[id]:[nombre_contacto]],4,0)</f>
        <v>OMAR PAREJA</v>
      </c>
    </row>
    <row r="560" spans="1:8" x14ac:dyDescent="0.25">
      <c r="A560">
        <v>559</v>
      </c>
      <c r="B560">
        <v>559</v>
      </c>
      <c r="C560">
        <v>3106715854</v>
      </c>
      <c r="D560" t="s">
        <v>2167</v>
      </c>
      <c r="F560" t="s">
        <v>2168</v>
      </c>
      <c r="G560" t="s">
        <v>2169</v>
      </c>
      <c r="H560" t="str">
        <f>VLOOKUP(tblContactoCliente[[#This Row],[id_cliente]],tblClientes[[#All],[id]:[nombre_contacto]],4,0)</f>
        <v xml:space="preserve">GLORIA VALENCIA </v>
      </c>
    </row>
    <row r="561" spans="1:8" x14ac:dyDescent="0.25">
      <c r="A561">
        <v>560</v>
      </c>
      <c r="B561">
        <v>560</v>
      </c>
      <c r="C561">
        <v>3142227375</v>
      </c>
      <c r="D561" t="s">
        <v>2174</v>
      </c>
      <c r="F561" t="s">
        <v>2175</v>
      </c>
      <c r="G561" t="s">
        <v>4172</v>
      </c>
      <c r="H561" t="str">
        <f>VLOOKUP(tblContactoCliente[[#This Row],[id_cliente]],tblClientes[[#All],[id]:[nombre_contacto]],4,0)</f>
        <v>GENARO ANTONIO RUIZ</v>
      </c>
    </row>
    <row r="562" spans="1:8" x14ac:dyDescent="0.25">
      <c r="A562">
        <v>561</v>
      </c>
      <c r="B562">
        <v>561</v>
      </c>
      <c r="C562">
        <v>8132146</v>
      </c>
      <c r="D562" t="s">
        <v>2178</v>
      </c>
      <c r="F562" t="s">
        <v>2179</v>
      </c>
      <c r="G562" t="s">
        <v>3</v>
      </c>
      <c r="H562" t="str">
        <f>VLOOKUP(tblContactoCliente[[#This Row],[id_cliente]],tblClientes[[#All],[id]:[nombre_contacto]],4,0)</f>
        <v>JAIME ESPITIA</v>
      </c>
    </row>
    <row r="563" spans="1:8" x14ac:dyDescent="0.25">
      <c r="A563">
        <v>562</v>
      </c>
      <c r="B563">
        <v>562</v>
      </c>
      <c r="C563">
        <v>3188216926</v>
      </c>
      <c r="D563" t="s">
        <v>2184</v>
      </c>
      <c r="F563" t="s">
        <v>4172</v>
      </c>
      <c r="G563" t="s">
        <v>16</v>
      </c>
      <c r="H563" t="str">
        <f>VLOOKUP(tblContactoCliente[[#This Row],[id_cliente]],tblClientes[[#All],[id]:[nombre_contacto]],4,0)</f>
        <v xml:space="preserve">MAURICIO LONDOÑO </v>
      </c>
    </row>
    <row r="564" spans="1:8" x14ac:dyDescent="0.25">
      <c r="A564">
        <v>563</v>
      </c>
      <c r="B564">
        <v>563</v>
      </c>
      <c r="C564">
        <v>3112804190</v>
      </c>
      <c r="D564" t="s">
        <v>2187</v>
      </c>
      <c r="F564" t="s">
        <v>2188</v>
      </c>
      <c r="G564" t="s">
        <v>3</v>
      </c>
      <c r="H564" t="str">
        <f>VLOOKUP(tblContactoCliente[[#This Row],[id_cliente]],tblClientes[[#All],[id]:[nombre_contacto]],4,0)</f>
        <v>ALIRIO MORENO</v>
      </c>
    </row>
    <row r="565" spans="1:8" x14ac:dyDescent="0.25">
      <c r="A565">
        <v>564</v>
      </c>
      <c r="B565">
        <v>564</v>
      </c>
      <c r="C565">
        <v>3203312275</v>
      </c>
      <c r="D565" t="s">
        <v>2192</v>
      </c>
      <c r="F565" t="s">
        <v>187</v>
      </c>
      <c r="G565" t="s">
        <v>3</v>
      </c>
      <c r="H565" t="str">
        <f>VLOOKUP(tblContactoCliente[[#This Row],[id_cliente]],tblClientes[[#All],[id]:[nombre_contacto]],4,0)</f>
        <v>OSWALDO DELGADO</v>
      </c>
    </row>
    <row r="566" spans="1:8" x14ac:dyDescent="0.25">
      <c r="A566">
        <v>565</v>
      </c>
      <c r="B566">
        <v>565</v>
      </c>
      <c r="C566">
        <v>3005153988</v>
      </c>
      <c r="D566" t="s">
        <v>2196</v>
      </c>
      <c r="F566" t="s">
        <v>2197</v>
      </c>
      <c r="G566" t="s">
        <v>3</v>
      </c>
      <c r="H566" t="str">
        <f>VLOOKUP(tblContactoCliente[[#This Row],[id_cliente]],tblClientes[[#All],[id]:[nombre_contacto]],4,0)</f>
        <v>ARLEY SILVA</v>
      </c>
    </row>
    <row r="567" spans="1:8" x14ac:dyDescent="0.25">
      <c r="A567">
        <v>566</v>
      </c>
      <c r="B567">
        <v>566</v>
      </c>
      <c r="D567" t="s">
        <v>2201</v>
      </c>
      <c r="F567" t="s">
        <v>2202</v>
      </c>
      <c r="G567" t="s">
        <v>165</v>
      </c>
      <c r="H567" t="str">
        <f>VLOOKUP(tblContactoCliente[[#This Row],[id_cliente]],tblClientes[[#All],[id]:[nombre_contacto]],4,0)</f>
        <v>CARLOS AUGUSTO SALAZAR PEREIRA</v>
      </c>
    </row>
    <row r="568" spans="1:8" x14ac:dyDescent="0.25">
      <c r="A568">
        <v>567</v>
      </c>
      <c r="B568">
        <v>567</v>
      </c>
      <c r="C568">
        <v>3114523880</v>
      </c>
      <c r="D568" t="s">
        <v>2206</v>
      </c>
      <c r="F568" t="s">
        <v>2207</v>
      </c>
      <c r="G568" t="s">
        <v>3</v>
      </c>
      <c r="H568" t="str">
        <f>VLOOKUP(tblContactoCliente[[#This Row],[id_cliente]],tblClientes[[#All],[id]:[nombre_contacto]],4,0)</f>
        <v>MANUEL GUERRERO</v>
      </c>
    </row>
    <row r="569" spans="1:8" x14ac:dyDescent="0.25">
      <c r="A569">
        <v>568</v>
      </c>
      <c r="B569">
        <v>568</v>
      </c>
      <c r="C569">
        <v>3208325913</v>
      </c>
      <c r="D569" t="s">
        <v>2212</v>
      </c>
      <c r="F569" t="s">
        <v>284</v>
      </c>
      <c r="G569" t="s">
        <v>3</v>
      </c>
      <c r="H569" t="str">
        <f>VLOOKUP(tblContactoCliente[[#This Row],[id_cliente]],tblClientes[[#All],[id]:[nombre_contacto]],4,0)</f>
        <v>MARILUZ CRUZ</v>
      </c>
    </row>
    <row r="570" spans="1:8" x14ac:dyDescent="0.25">
      <c r="A570">
        <v>569</v>
      </c>
      <c r="B570">
        <v>569</v>
      </c>
      <c r="C570">
        <v>3132624581</v>
      </c>
      <c r="D570" t="s">
        <v>2216</v>
      </c>
      <c r="F570" t="s">
        <v>4172</v>
      </c>
      <c r="G570" t="s">
        <v>467</v>
      </c>
      <c r="H570" t="str">
        <f>VLOOKUP(tblContactoCliente[[#This Row],[id_cliente]],tblClientes[[#All],[id]:[nombre_contacto]],4,0)</f>
        <v>MERCEDEZ MENDEZ</v>
      </c>
    </row>
    <row r="571" spans="1:8" x14ac:dyDescent="0.25">
      <c r="A571">
        <v>570</v>
      </c>
      <c r="B571">
        <v>570</v>
      </c>
      <c r="C571" s="15">
        <v>3124313576</v>
      </c>
      <c r="D571" t="s">
        <v>2221</v>
      </c>
      <c r="F571" t="s">
        <v>2222</v>
      </c>
      <c r="G571" t="s">
        <v>3</v>
      </c>
      <c r="H571" t="str">
        <f>VLOOKUP(tblContactoCliente[[#This Row],[id_cliente]],tblClientes[[#All],[id]:[nombre_contacto]],4,0)</f>
        <v xml:space="preserve">GABRIEL PRECIADO </v>
      </c>
    </row>
    <row r="572" spans="1:8" x14ac:dyDescent="0.25">
      <c r="A572">
        <v>571</v>
      </c>
      <c r="B572">
        <v>571</v>
      </c>
      <c r="C572">
        <v>3138539151</v>
      </c>
      <c r="D572" t="s">
        <v>2227</v>
      </c>
      <c r="F572" t="s">
        <v>2228</v>
      </c>
      <c r="G572" t="s">
        <v>3</v>
      </c>
      <c r="H572" t="str">
        <f>VLOOKUP(tblContactoCliente[[#This Row],[id_cliente]],tblClientes[[#All],[id]:[nombre_contacto]],4,0)</f>
        <v>VICTOR GONZALES</v>
      </c>
    </row>
    <row r="573" spans="1:8" x14ac:dyDescent="0.25">
      <c r="A573">
        <v>572</v>
      </c>
      <c r="B573">
        <v>572</v>
      </c>
      <c r="C573">
        <v>3144741737</v>
      </c>
      <c r="D573" t="s">
        <v>2231</v>
      </c>
      <c r="F573" t="s">
        <v>217</v>
      </c>
      <c r="G573" t="s">
        <v>1093</v>
      </c>
      <c r="H573" t="str">
        <f>VLOOKUP(tblContactoCliente[[#This Row],[id_cliente]],tblClientes[[#All],[id]:[nombre_contacto]],4,0)</f>
        <v>JULIO RINCON</v>
      </c>
    </row>
    <row r="574" spans="1:8" x14ac:dyDescent="0.25">
      <c r="A574">
        <v>573</v>
      </c>
      <c r="B574">
        <v>573</v>
      </c>
      <c r="C574" s="15">
        <v>3196985119</v>
      </c>
      <c r="D574" t="s">
        <v>2234</v>
      </c>
      <c r="F574" t="s">
        <v>595</v>
      </c>
      <c r="G574" t="s">
        <v>3</v>
      </c>
      <c r="H574" t="str">
        <f>VLOOKUP(tblContactoCliente[[#This Row],[id_cliente]],tblClientes[[#All],[id]:[nombre_contacto]],4,0)</f>
        <v>ANDERSON RICO</v>
      </c>
    </row>
    <row r="575" spans="1:8" x14ac:dyDescent="0.25">
      <c r="A575">
        <v>574</v>
      </c>
      <c r="B575">
        <v>574</v>
      </c>
      <c r="C575">
        <v>3208908532</v>
      </c>
      <c r="D575" t="s">
        <v>2238</v>
      </c>
      <c r="F575" t="s">
        <v>2239</v>
      </c>
      <c r="G575" t="s">
        <v>3</v>
      </c>
      <c r="H575" t="str">
        <f>VLOOKUP(tblContactoCliente[[#This Row],[id_cliente]],tblClientes[[#All],[id]:[nombre_contacto]],4,0)</f>
        <v>HECTOR GOMEZ</v>
      </c>
    </row>
    <row r="576" spans="1:8" x14ac:dyDescent="0.25">
      <c r="A576">
        <v>575</v>
      </c>
      <c r="B576">
        <v>575</v>
      </c>
      <c r="C576">
        <v>3118004768</v>
      </c>
      <c r="D576" t="s">
        <v>2243</v>
      </c>
      <c r="F576" t="s">
        <v>279</v>
      </c>
      <c r="G576" t="s">
        <v>3</v>
      </c>
      <c r="H576" t="str">
        <f>VLOOKUP(tblContactoCliente[[#This Row],[id_cliente]],tblClientes[[#All],[id]:[nombre_contacto]],4,0)</f>
        <v>MIREYA QUIMBAYO</v>
      </c>
    </row>
    <row r="577" spans="1:8" x14ac:dyDescent="0.25">
      <c r="A577">
        <v>576</v>
      </c>
      <c r="B577">
        <v>576</v>
      </c>
      <c r="C577">
        <v>3114879586</v>
      </c>
      <c r="D577" t="s">
        <v>2246</v>
      </c>
      <c r="F577" t="s">
        <v>2247</v>
      </c>
      <c r="G577" t="s">
        <v>2248</v>
      </c>
      <c r="H577" t="str">
        <f>VLOOKUP(tblContactoCliente[[#This Row],[id_cliente]],tblClientes[[#All],[id]:[nombre_contacto]],4,0)</f>
        <v>OSCAR ORTIZ</v>
      </c>
    </row>
    <row r="578" spans="1:8" x14ac:dyDescent="0.25">
      <c r="A578">
        <v>577</v>
      </c>
      <c r="B578">
        <v>577</v>
      </c>
      <c r="C578">
        <v>3125720223</v>
      </c>
      <c r="D578" t="s">
        <v>2252</v>
      </c>
      <c r="F578" t="s">
        <v>410</v>
      </c>
      <c r="G578" t="s">
        <v>3</v>
      </c>
      <c r="H578" t="str">
        <f>VLOOKUP(tblContactoCliente[[#This Row],[id_cliente]],tblClientes[[#All],[id]:[nombre_contacto]],4,0)</f>
        <v>PASTOR PARADA</v>
      </c>
    </row>
    <row r="579" spans="1:8" x14ac:dyDescent="0.25">
      <c r="A579">
        <v>578</v>
      </c>
      <c r="B579">
        <v>578</v>
      </c>
      <c r="C579">
        <v>3202355399</v>
      </c>
      <c r="D579" t="s">
        <v>2256</v>
      </c>
      <c r="F579" t="s">
        <v>1455</v>
      </c>
      <c r="G579" t="s">
        <v>3</v>
      </c>
      <c r="H579" t="str">
        <f>VLOOKUP(tblContactoCliente[[#This Row],[id_cliente]],tblClientes[[#All],[id]:[nombre_contacto]],4,0)</f>
        <v>MARY LUZ CARDENAS</v>
      </c>
    </row>
    <row r="580" spans="1:8" x14ac:dyDescent="0.25">
      <c r="A580">
        <v>579</v>
      </c>
      <c r="B580">
        <v>579</v>
      </c>
      <c r="C580">
        <v>3138325797</v>
      </c>
      <c r="D580" t="s">
        <v>2260</v>
      </c>
      <c r="F580" t="s">
        <v>1032</v>
      </c>
      <c r="G580" t="s">
        <v>801</v>
      </c>
      <c r="H580" t="str">
        <f>VLOOKUP(tblContactoCliente[[#This Row],[id_cliente]],tblClientes[[#All],[id]:[nombre_contacto]],4,0)</f>
        <v>JAIME RICON</v>
      </c>
    </row>
    <row r="581" spans="1:8" x14ac:dyDescent="0.25">
      <c r="A581">
        <v>580</v>
      </c>
      <c r="B581">
        <v>580</v>
      </c>
      <c r="C581">
        <v>3222247058</v>
      </c>
      <c r="D581" t="s">
        <v>2263</v>
      </c>
      <c r="F581" t="s">
        <v>747</v>
      </c>
      <c r="G581" t="s">
        <v>3</v>
      </c>
      <c r="H581" t="str">
        <f>VLOOKUP(tblContactoCliente[[#This Row],[id_cliente]],tblClientes[[#All],[id]:[nombre_contacto]],4,0)</f>
        <v>AIMER SILVA</v>
      </c>
    </row>
    <row r="582" spans="1:8" x14ac:dyDescent="0.25">
      <c r="A582">
        <v>581</v>
      </c>
      <c r="B582">
        <v>581</v>
      </c>
      <c r="C582">
        <v>3205932470</v>
      </c>
      <c r="D582" t="s">
        <v>2266</v>
      </c>
      <c r="F582" t="s">
        <v>2267</v>
      </c>
      <c r="G582" t="s">
        <v>16</v>
      </c>
      <c r="H582" t="str">
        <f>VLOOKUP(tblContactoCliente[[#This Row],[id_cliente]],tblClientes[[#All],[id]:[nombre_contacto]],4,0)</f>
        <v>LUIS ABEL CORONADO</v>
      </c>
    </row>
    <row r="583" spans="1:8" x14ac:dyDescent="0.25">
      <c r="A583">
        <v>582</v>
      </c>
      <c r="B583">
        <v>582</v>
      </c>
      <c r="C583">
        <v>3204929632</v>
      </c>
      <c r="D583" t="s">
        <v>2270</v>
      </c>
      <c r="F583" t="s">
        <v>2271</v>
      </c>
      <c r="G583" t="s">
        <v>3</v>
      </c>
      <c r="H583" t="str">
        <f>VLOOKUP(tblContactoCliente[[#This Row],[id_cliente]],tblClientes[[#All],[id]:[nombre_contacto]],4,0)</f>
        <v>CLARA CRUZ</v>
      </c>
    </row>
    <row r="584" spans="1:8" x14ac:dyDescent="0.25">
      <c r="A584">
        <v>583</v>
      </c>
      <c r="B584">
        <v>583</v>
      </c>
      <c r="C584">
        <v>3208898427</v>
      </c>
      <c r="D584" t="s">
        <v>2275</v>
      </c>
      <c r="F584" t="s">
        <v>217</v>
      </c>
      <c r="G584" t="s">
        <v>3</v>
      </c>
      <c r="H584" t="str">
        <f>VLOOKUP(tblContactoCliente[[#This Row],[id_cliente]],tblClientes[[#All],[id]:[nombre_contacto]],4,0)</f>
        <v xml:space="preserve">ALEXANDER TARAZONA </v>
      </c>
    </row>
    <row r="585" spans="1:8" x14ac:dyDescent="0.25">
      <c r="A585">
        <v>584</v>
      </c>
      <c r="B585">
        <v>584</v>
      </c>
      <c r="C585" s="15">
        <v>3133160625</v>
      </c>
      <c r="D585" t="s">
        <v>2280</v>
      </c>
      <c r="F585" t="s">
        <v>1330</v>
      </c>
      <c r="G585" t="s">
        <v>3</v>
      </c>
      <c r="H585" t="str">
        <f>VLOOKUP(tblContactoCliente[[#This Row],[id_cliente]],tblClientes[[#All],[id]:[nombre_contacto]],4,0)</f>
        <v>LUZ HELENA OLMOS</v>
      </c>
    </row>
    <row r="586" spans="1:8" x14ac:dyDescent="0.25">
      <c r="A586">
        <v>585</v>
      </c>
      <c r="B586">
        <v>585</v>
      </c>
      <c r="C586">
        <v>3115555470</v>
      </c>
      <c r="D586" t="s">
        <v>2285</v>
      </c>
      <c r="F586" t="s">
        <v>1721</v>
      </c>
      <c r="G586" t="s">
        <v>3</v>
      </c>
      <c r="H586" t="str">
        <f>VLOOKUP(tblContactoCliente[[#This Row],[id_cliente]],tblClientes[[#All],[id]:[nombre_contacto]],4,0)</f>
        <v>DANIEL AYALA</v>
      </c>
    </row>
    <row r="587" spans="1:8" x14ac:dyDescent="0.25">
      <c r="A587">
        <v>586</v>
      </c>
      <c r="B587">
        <v>586</v>
      </c>
      <c r="C587">
        <v>3115945913</v>
      </c>
      <c r="D587" t="s">
        <v>2288</v>
      </c>
      <c r="F587" t="s">
        <v>2289</v>
      </c>
      <c r="G587" t="s">
        <v>1032</v>
      </c>
      <c r="H587" t="str">
        <f>VLOOKUP(tblContactoCliente[[#This Row],[id_cliente]],tblClientes[[#All],[id]:[nombre_contacto]],4,0)</f>
        <v xml:space="preserve">ANDRES PADILLA </v>
      </c>
    </row>
    <row r="588" spans="1:8" x14ac:dyDescent="0.25">
      <c r="A588">
        <v>587</v>
      </c>
      <c r="B588">
        <v>587</v>
      </c>
      <c r="C588">
        <v>3123044423</v>
      </c>
      <c r="D588" t="s">
        <v>2293</v>
      </c>
      <c r="F588" t="s">
        <v>2294</v>
      </c>
      <c r="G588" t="s">
        <v>2295</v>
      </c>
      <c r="H588" t="str">
        <f>VLOOKUP(tblContactoCliente[[#This Row],[id_cliente]],tblClientes[[#All],[id]:[nombre_contacto]],4,0)</f>
        <v>JAIRO USECHE</v>
      </c>
    </row>
    <row r="589" spans="1:8" x14ac:dyDescent="0.25">
      <c r="A589">
        <v>588</v>
      </c>
      <c r="B589">
        <v>588</v>
      </c>
      <c r="C589">
        <v>3154287934</v>
      </c>
      <c r="D589" t="s">
        <v>2298</v>
      </c>
      <c r="F589" t="s">
        <v>2299</v>
      </c>
      <c r="G589" t="s">
        <v>2300</v>
      </c>
      <c r="H589" t="str">
        <f>VLOOKUP(tblContactoCliente[[#This Row],[id_cliente]],tblClientes[[#All],[id]:[nombre_contacto]],4,0)</f>
        <v xml:space="preserve">RICHARD MARTINEZ </v>
      </c>
    </row>
    <row r="590" spans="1:8" x14ac:dyDescent="0.25">
      <c r="A590">
        <v>589</v>
      </c>
      <c r="B590">
        <v>589</v>
      </c>
      <c r="C590">
        <v>3158762858</v>
      </c>
      <c r="D590" t="s">
        <v>2305</v>
      </c>
      <c r="F590" t="s">
        <v>4172</v>
      </c>
      <c r="G590" t="s">
        <v>165</v>
      </c>
      <c r="H590" t="str">
        <f>VLOOKUP(tblContactoCliente[[#This Row],[id_cliente]],tblClientes[[#All],[id]:[nombre_contacto]],4,0)</f>
        <v xml:space="preserve">ROSARIO LUNA </v>
      </c>
    </row>
    <row r="591" spans="1:8" x14ac:dyDescent="0.25">
      <c r="A591">
        <v>590</v>
      </c>
      <c r="B591">
        <v>590</v>
      </c>
      <c r="C591">
        <v>3134440764</v>
      </c>
      <c r="D591" t="s">
        <v>2309</v>
      </c>
      <c r="F591" t="s">
        <v>2310</v>
      </c>
      <c r="G591" t="s">
        <v>3</v>
      </c>
      <c r="H591" t="str">
        <f>VLOOKUP(tblContactoCliente[[#This Row],[id_cliente]],tblClientes[[#All],[id]:[nombre_contacto]],4,0)</f>
        <v xml:space="preserve">MONICA GRANADOS </v>
      </c>
    </row>
    <row r="592" spans="1:8" x14ac:dyDescent="0.25">
      <c r="A592">
        <v>591</v>
      </c>
      <c r="B592">
        <v>591</v>
      </c>
      <c r="C592">
        <v>3112947089</v>
      </c>
      <c r="D592" t="s">
        <v>2314</v>
      </c>
      <c r="F592" t="s">
        <v>2315</v>
      </c>
      <c r="G592" t="s">
        <v>3</v>
      </c>
      <c r="H592" t="str">
        <f>VLOOKUP(tblContactoCliente[[#This Row],[id_cliente]],tblClientes[[#All],[id]:[nombre_contacto]],4,0)</f>
        <v xml:space="preserve">CARLOS JULIO MORALES </v>
      </c>
    </row>
    <row r="593" spans="1:8" x14ac:dyDescent="0.25">
      <c r="A593">
        <v>592</v>
      </c>
      <c r="B593">
        <v>592</v>
      </c>
      <c r="C593">
        <v>3116450202</v>
      </c>
      <c r="D593" t="s">
        <v>2319</v>
      </c>
      <c r="F593" t="s">
        <v>2320</v>
      </c>
      <c r="G593" t="s">
        <v>7</v>
      </c>
      <c r="H593" t="str">
        <f>VLOOKUP(tblContactoCliente[[#This Row],[id_cliente]],tblClientes[[#All],[id]:[nombre_contacto]],4,0)</f>
        <v>VANESSA VALENCIA</v>
      </c>
    </row>
    <row r="594" spans="1:8" x14ac:dyDescent="0.25">
      <c r="A594">
        <v>593</v>
      </c>
      <c r="B594">
        <v>593</v>
      </c>
      <c r="C594">
        <v>3156097339</v>
      </c>
      <c r="D594" t="s">
        <v>2323</v>
      </c>
      <c r="F594" t="s">
        <v>2324</v>
      </c>
      <c r="G594" t="s">
        <v>429</v>
      </c>
      <c r="H594" t="str">
        <f>VLOOKUP(tblContactoCliente[[#This Row],[id_cliente]],tblClientes[[#All],[id]:[nombre_contacto]],4,0)</f>
        <v>JESUS PINZA</v>
      </c>
    </row>
    <row r="595" spans="1:8" x14ac:dyDescent="0.25">
      <c r="A595">
        <v>594</v>
      </c>
      <c r="B595">
        <v>594</v>
      </c>
      <c r="C595">
        <v>3004352361</v>
      </c>
      <c r="D595" t="s">
        <v>2327</v>
      </c>
      <c r="F595" t="s">
        <v>2328</v>
      </c>
      <c r="G595" t="s">
        <v>3</v>
      </c>
      <c r="H595" t="str">
        <f>VLOOKUP(tblContactoCliente[[#This Row],[id_cliente]],tblClientes[[#All],[id]:[nombre_contacto]],4,0)</f>
        <v>NELLY RODRIGUEZ</v>
      </c>
    </row>
    <row r="596" spans="1:8" x14ac:dyDescent="0.25">
      <c r="A596">
        <v>595</v>
      </c>
      <c r="B596">
        <v>595</v>
      </c>
      <c r="C596">
        <v>3115092300</v>
      </c>
      <c r="D596" t="s">
        <v>2332</v>
      </c>
      <c r="F596" t="s">
        <v>2333</v>
      </c>
      <c r="G596" t="s">
        <v>3</v>
      </c>
      <c r="H596" t="str">
        <f>VLOOKUP(tblContactoCliente[[#This Row],[id_cliente]],tblClientes[[#All],[id]:[nombre_contacto]],4,0)</f>
        <v>CRISTIAN JIMENEZ</v>
      </c>
    </row>
    <row r="597" spans="1:8" x14ac:dyDescent="0.25">
      <c r="A597">
        <v>596</v>
      </c>
      <c r="B597">
        <v>596</v>
      </c>
      <c r="C597">
        <v>3224429561</v>
      </c>
      <c r="D597" t="s">
        <v>2336</v>
      </c>
      <c r="F597" t="s">
        <v>2337</v>
      </c>
      <c r="G597" t="s">
        <v>3</v>
      </c>
      <c r="H597" t="str">
        <f>VLOOKUP(tblContactoCliente[[#This Row],[id_cliente]],tblClientes[[#All],[id]:[nombre_contacto]],4,0)</f>
        <v xml:space="preserve">RICARDO SOLARTE </v>
      </c>
    </row>
    <row r="598" spans="1:8" x14ac:dyDescent="0.25">
      <c r="A598">
        <v>597</v>
      </c>
      <c r="B598">
        <v>597</v>
      </c>
      <c r="C598">
        <v>3166120767</v>
      </c>
      <c r="D598" t="s">
        <v>4172</v>
      </c>
      <c r="F598" t="s">
        <v>429</v>
      </c>
      <c r="G598" t="s">
        <v>2248</v>
      </c>
      <c r="H598" t="str">
        <f>VLOOKUP(tblContactoCliente[[#This Row],[id_cliente]],tblClientes[[#All],[id]:[nombre_contacto]],4,0)</f>
        <v>DAIRA JURADO</v>
      </c>
    </row>
    <row r="599" spans="1:8" x14ac:dyDescent="0.25">
      <c r="A599">
        <v>598</v>
      </c>
      <c r="B599">
        <v>598</v>
      </c>
      <c r="C599">
        <v>3144840587</v>
      </c>
      <c r="D599" t="s">
        <v>2343</v>
      </c>
      <c r="F599" t="s">
        <v>668</v>
      </c>
      <c r="G599" t="s">
        <v>668</v>
      </c>
      <c r="H599" t="str">
        <f>VLOOKUP(tblContactoCliente[[#This Row],[id_cliente]],tblClientes[[#All],[id]:[nombre_contacto]],4,0)</f>
        <v>LUCIRY OLAYA VANEGAS</v>
      </c>
    </row>
    <row r="600" spans="1:8" x14ac:dyDescent="0.25">
      <c r="A600">
        <v>599</v>
      </c>
      <c r="B600">
        <v>599</v>
      </c>
      <c r="C600">
        <v>3134248083</v>
      </c>
      <c r="D600" t="s">
        <v>2347</v>
      </c>
      <c r="F600" t="s">
        <v>1739</v>
      </c>
      <c r="G600" t="s">
        <v>3</v>
      </c>
      <c r="H600" t="str">
        <f>VLOOKUP(tblContactoCliente[[#This Row],[id_cliente]],tblClientes[[#All],[id]:[nombre_contacto]],4,0)</f>
        <v>OTONIEL COLLAZOS</v>
      </c>
    </row>
    <row r="601" spans="1:8" x14ac:dyDescent="0.25">
      <c r="A601">
        <v>600</v>
      </c>
      <c r="B601">
        <v>600</v>
      </c>
      <c r="C601">
        <v>3187817764</v>
      </c>
      <c r="D601" t="s">
        <v>2350</v>
      </c>
      <c r="F601" t="s">
        <v>2351</v>
      </c>
      <c r="G601" t="s">
        <v>3</v>
      </c>
      <c r="H601" t="str">
        <f>VLOOKUP(tblContactoCliente[[#This Row],[id_cliente]],tblClientes[[#All],[id]:[nombre_contacto]],4,0)</f>
        <v>DEYANIRA GUTIERREZ</v>
      </c>
    </row>
    <row r="602" spans="1:8" x14ac:dyDescent="0.25">
      <c r="A602">
        <v>601</v>
      </c>
      <c r="B602">
        <v>601</v>
      </c>
      <c r="C602">
        <v>3017847240</v>
      </c>
      <c r="D602" t="s">
        <v>2355</v>
      </c>
      <c r="F602" t="s">
        <v>217</v>
      </c>
      <c r="G602" t="s">
        <v>16</v>
      </c>
      <c r="H602" t="str">
        <f>VLOOKUP(tblContactoCliente[[#This Row],[id_cliente]],tblClientes[[#All],[id]:[nombre_contacto]],4,0)</f>
        <v>YOMAIRA ANDREA OCHOA</v>
      </c>
    </row>
    <row r="603" spans="1:8" x14ac:dyDescent="0.25">
      <c r="A603">
        <v>602</v>
      </c>
      <c r="B603">
        <v>602</v>
      </c>
      <c r="C603">
        <v>3192604539</v>
      </c>
      <c r="D603" t="s">
        <v>2358</v>
      </c>
      <c r="F603" t="s">
        <v>549</v>
      </c>
      <c r="G603" t="s">
        <v>3</v>
      </c>
      <c r="H603" t="str">
        <f>VLOOKUP(tblContactoCliente[[#This Row],[id_cliente]],tblClientes[[#All],[id]:[nombre_contacto]],4,0)</f>
        <v>KEVIN REYES</v>
      </c>
    </row>
    <row r="604" spans="1:8" x14ac:dyDescent="0.25">
      <c r="A604">
        <v>603</v>
      </c>
      <c r="B604">
        <v>603</v>
      </c>
      <c r="C604">
        <v>3112238076</v>
      </c>
      <c r="D604" t="s">
        <v>2362</v>
      </c>
      <c r="F604" t="s">
        <v>2011</v>
      </c>
      <c r="G604" t="s">
        <v>4172</v>
      </c>
      <c r="H604" t="str">
        <f>VLOOKUP(tblContactoCliente[[#This Row],[id_cliente]],tblClientes[[#All],[id]:[nombre_contacto]],4,0)</f>
        <v>RAUL RAMIREZ</v>
      </c>
    </row>
    <row r="605" spans="1:8" x14ac:dyDescent="0.25">
      <c r="A605">
        <v>604</v>
      </c>
      <c r="B605">
        <v>604</v>
      </c>
      <c r="C605">
        <v>3138929911</v>
      </c>
      <c r="D605" t="s">
        <v>2366</v>
      </c>
      <c r="F605" t="s">
        <v>2367</v>
      </c>
      <c r="G605" t="s">
        <v>3</v>
      </c>
      <c r="H605" t="str">
        <f>VLOOKUP(tblContactoCliente[[#This Row],[id_cliente]],tblClientes[[#All],[id]:[nombre_contacto]],4,0)</f>
        <v>EVER CAICEDO</v>
      </c>
    </row>
    <row r="606" spans="1:8" x14ac:dyDescent="0.25">
      <c r="A606">
        <v>605</v>
      </c>
      <c r="B606">
        <v>605</v>
      </c>
      <c r="C606">
        <v>3133288359</v>
      </c>
      <c r="D606" t="s">
        <v>2370</v>
      </c>
      <c r="F606" t="s">
        <v>2371</v>
      </c>
      <c r="G606" t="s">
        <v>165</v>
      </c>
      <c r="H606" t="str">
        <f>VLOOKUP(tblContactoCliente[[#This Row],[id_cliente]],tblClientes[[#All],[id]:[nombre_contacto]],4,0)</f>
        <v>CARLOS SALAZAR</v>
      </c>
    </row>
    <row r="607" spans="1:8" x14ac:dyDescent="0.25">
      <c r="A607">
        <v>606</v>
      </c>
      <c r="B607">
        <v>606</v>
      </c>
      <c r="C607">
        <v>3214918248</v>
      </c>
      <c r="D607" t="s">
        <v>2375</v>
      </c>
      <c r="F607" t="s">
        <v>2376</v>
      </c>
      <c r="G607" t="s">
        <v>1032</v>
      </c>
      <c r="H607" t="str">
        <f>VLOOKUP(tblContactoCliente[[#This Row],[id_cliente]],tblClientes[[#All],[id]:[nombre_contacto]],4,0)</f>
        <v xml:space="preserve">EDILBERTO PARRA </v>
      </c>
    </row>
    <row r="608" spans="1:8" x14ac:dyDescent="0.25">
      <c r="A608">
        <v>607</v>
      </c>
      <c r="B608">
        <v>607</v>
      </c>
      <c r="C608">
        <v>3166262882</v>
      </c>
      <c r="D608" t="s">
        <v>2380</v>
      </c>
      <c r="F608" t="s">
        <v>2381</v>
      </c>
      <c r="G608" t="s">
        <v>3</v>
      </c>
      <c r="H608" t="str">
        <f>VLOOKUP(tblContactoCliente[[#This Row],[id_cliente]],tblClientes[[#All],[id]:[nombre_contacto]],4,0)</f>
        <v>CAROLINA PEÑA</v>
      </c>
    </row>
    <row r="609" spans="1:8" x14ac:dyDescent="0.25">
      <c r="A609">
        <v>608</v>
      </c>
      <c r="B609">
        <v>608</v>
      </c>
      <c r="C609">
        <v>3196192350</v>
      </c>
      <c r="D609" t="s">
        <v>2386</v>
      </c>
      <c r="F609" t="s">
        <v>2123</v>
      </c>
      <c r="G609" t="s">
        <v>3</v>
      </c>
      <c r="H609" t="str">
        <f>VLOOKUP(tblContactoCliente[[#This Row],[id_cliente]],tblClientes[[#All],[id]:[nombre_contacto]],4,0)</f>
        <v>OSCAR MANUEL RODRIGUEZ</v>
      </c>
    </row>
    <row r="610" spans="1:8" x14ac:dyDescent="0.25">
      <c r="A610">
        <v>609</v>
      </c>
      <c r="B610">
        <v>609</v>
      </c>
      <c r="C610">
        <v>3132340656</v>
      </c>
      <c r="D610" t="s">
        <v>2391</v>
      </c>
      <c r="F610" t="s">
        <v>730</v>
      </c>
      <c r="G610" t="s">
        <v>3</v>
      </c>
      <c r="H610" t="str">
        <f>VLOOKUP(tblContactoCliente[[#This Row],[id_cliente]],tblClientes[[#All],[id]:[nombre_contacto]],4,0)</f>
        <v xml:space="preserve">ELIZABETH URBANO </v>
      </c>
    </row>
    <row r="611" spans="1:8" x14ac:dyDescent="0.25">
      <c r="A611">
        <v>610</v>
      </c>
      <c r="B611">
        <v>610</v>
      </c>
      <c r="C611">
        <v>3144756104</v>
      </c>
      <c r="D611" t="s">
        <v>2394</v>
      </c>
      <c r="F611" t="s">
        <v>2395</v>
      </c>
      <c r="G611" t="s">
        <v>801</v>
      </c>
      <c r="H611" t="str">
        <f>VLOOKUP(tblContactoCliente[[#This Row],[id_cliente]],tblClientes[[#All],[id]:[nombre_contacto]],4,0)</f>
        <v>ANDRES VEGA</v>
      </c>
    </row>
    <row r="612" spans="1:8" x14ac:dyDescent="0.25">
      <c r="A612">
        <v>611</v>
      </c>
      <c r="B612">
        <v>611</v>
      </c>
      <c r="C612">
        <v>3508306548</v>
      </c>
      <c r="D612" t="s">
        <v>2399</v>
      </c>
      <c r="F612" t="s">
        <v>4172</v>
      </c>
      <c r="G612" t="s">
        <v>3</v>
      </c>
      <c r="H612" t="str">
        <f>VLOOKUP(tblContactoCliente[[#This Row],[id_cliente]],tblClientes[[#All],[id]:[nombre_contacto]],4,0)</f>
        <v>CONY GUTIERREZ</v>
      </c>
    </row>
    <row r="613" spans="1:8" x14ac:dyDescent="0.25">
      <c r="A613">
        <v>612</v>
      </c>
      <c r="B613">
        <v>612</v>
      </c>
      <c r="C613">
        <v>3114848326</v>
      </c>
      <c r="D613" t="s">
        <v>2401</v>
      </c>
      <c r="F613" t="s">
        <v>2402</v>
      </c>
      <c r="G613" t="s">
        <v>3</v>
      </c>
      <c r="H613" t="str">
        <f>VLOOKUP(tblContactoCliente[[#This Row],[id_cliente]],tblClientes[[#All],[id]:[nombre_contacto]],4,0)</f>
        <v xml:space="preserve">EDGAR MEYER </v>
      </c>
    </row>
    <row r="614" spans="1:8" x14ac:dyDescent="0.25">
      <c r="A614">
        <v>613</v>
      </c>
      <c r="B614">
        <v>613</v>
      </c>
      <c r="C614">
        <v>3112092076</v>
      </c>
      <c r="D614" t="s">
        <v>1136</v>
      </c>
      <c r="F614" t="s">
        <v>2405</v>
      </c>
      <c r="G614" t="s">
        <v>3</v>
      </c>
      <c r="H614" t="str">
        <f>VLOOKUP(tblContactoCliente[[#This Row],[id_cliente]],tblClientes[[#All],[id]:[nombre_contacto]],4,0)</f>
        <v>HUMBERTO RESTREPO</v>
      </c>
    </row>
    <row r="615" spans="1:8" x14ac:dyDescent="0.25">
      <c r="A615">
        <v>614</v>
      </c>
      <c r="B615">
        <v>614</v>
      </c>
      <c r="C615">
        <v>3124399364</v>
      </c>
      <c r="D615" t="s">
        <v>2408</v>
      </c>
      <c r="F615" t="s">
        <v>2409</v>
      </c>
      <c r="G615" t="s">
        <v>2410</v>
      </c>
      <c r="H615" t="str">
        <f>VLOOKUP(tblContactoCliente[[#This Row],[id_cliente]],tblClientes[[#All],[id]:[nombre_contacto]],4,0)</f>
        <v xml:space="preserve">HECTOR ARNULFO CRUZ </v>
      </c>
    </row>
    <row r="616" spans="1:8" x14ac:dyDescent="0.25">
      <c r="A616">
        <v>615</v>
      </c>
      <c r="B616">
        <v>615</v>
      </c>
      <c r="C616">
        <v>3197497723</v>
      </c>
      <c r="D616" t="s">
        <v>2414</v>
      </c>
      <c r="F616" t="s">
        <v>2415</v>
      </c>
      <c r="G616" t="s">
        <v>3</v>
      </c>
      <c r="H616" t="str">
        <f>VLOOKUP(tblContactoCliente[[#This Row],[id_cliente]],tblClientes[[#All],[id]:[nombre_contacto]],4,0)</f>
        <v>SORAIDA ARISTIZABAL</v>
      </c>
    </row>
    <row r="617" spans="1:8" x14ac:dyDescent="0.25">
      <c r="A617">
        <v>616</v>
      </c>
      <c r="B617">
        <v>616</v>
      </c>
      <c r="C617">
        <v>3132690603</v>
      </c>
      <c r="D617" t="s">
        <v>2418</v>
      </c>
      <c r="F617" t="s">
        <v>2419</v>
      </c>
      <c r="G617" t="s">
        <v>3</v>
      </c>
      <c r="H617" t="str">
        <f>VLOOKUP(tblContactoCliente[[#This Row],[id_cliente]],tblClientes[[#All],[id]:[nombre_contacto]],4,0)</f>
        <v>JUAN CARLOS OQUENO</v>
      </c>
    </row>
    <row r="618" spans="1:8" x14ac:dyDescent="0.25">
      <c r="A618">
        <v>617</v>
      </c>
      <c r="B618">
        <v>617</v>
      </c>
      <c r="C618">
        <v>3138547814</v>
      </c>
      <c r="D618" t="s">
        <v>2422</v>
      </c>
      <c r="F618" t="s">
        <v>205</v>
      </c>
      <c r="G618" t="s">
        <v>3</v>
      </c>
      <c r="H618" t="str">
        <f>VLOOKUP(tblContactoCliente[[#This Row],[id_cliente]],tblClientes[[#All],[id]:[nombre_contacto]],4,0)</f>
        <v>REINALDO MOSQUERA</v>
      </c>
    </row>
    <row r="619" spans="1:8" x14ac:dyDescent="0.25">
      <c r="A619">
        <v>618</v>
      </c>
      <c r="B619">
        <v>618</v>
      </c>
      <c r="C619" s="15">
        <v>3132958338</v>
      </c>
      <c r="D619" t="s">
        <v>2425</v>
      </c>
      <c r="F619" t="s">
        <v>1946</v>
      </c>
      <c r="G619" t="s">
        <v>3</v>
      </c>
      <c r="H619" t="str">
        <f>VLOOKUP(tblContactoCliente[[#This Row],[id_cliente]],tblClientes[[#All],[id]:[nombre_contacto]],4,0)</f>
        <v>ANDREA GARCIA</v>
      </c>
    </row>
    <row r="620" spans="1:8" x14ac:dyDescent="0.25">
      <c r="A620">
        <v>619</v>
      </c>
      <c r="B620">
        <v>619</v>
      </c>
      <c r="C620">
        <v>3053700361</v>
      </c>
      <c r="D620" t="s">
        <v>2430</v>
      </c>
      <c r="F620" t="s">
        <v>2431</v>
      </c>
      <c r="G620" t="s">
        <v>3</v>
      </c>
      <c r="H620" t="str">
        <f>VLOOKUP(tblContactoCliente[[#This Row],[id_cliente]],tblClientes[[#All],[id]:[nombre_contacto]],4,0)</f>
        <v>WILLIAN VIRGUEZ</v>
      </c>
    </row>
    <row r="621" spans="1:8" x14ac:dyDescent="0.25">
      <c r="A621">
        <v>620</v>
      </c>
      <c r="B621">
        <v>620</v>
      </c>
      <c r="C621">
        <v>3227159531</v>
      </c>
      <c r="D621" t="s">
        <v>2435</v>
      </c>
      <c r="F621" t="s">
        <v>187</v>
      </c>
      <c r="G621" t="s">
        <v>3</v>
      </c>
      <c r="H621" t="str">
        <f>VLOOKUP(tblContactoCliente[[#This Row],[id_cliente]],tblClientes[[#All],[id]:[nombre_contacto]],4,0)</f>
        <v>ANDRES RAMIREZ</v>
      </c>
    </row>
    <row r="622" spans="1:8" x14ac:dyDescent="0.25">
      <c r="A622">
        <v>621</v>
      </c>
      <c r="B622">
        <v>621</v>
      </c>
      <c r="C622">
        <v>3016214222</v>
      </c>
      <c r="D622" t="s">
        <v>2440</v>
      </c>
      <c r="F622" t="s">
        <v>1079</v>
      </c>
      <c r="G622" t="s">
        <v>3</v>
      </c>
      <c r="H622" t="str">
        <f>VLOOKUP(tblContactoCliente[[#This Row],[id_cliente]],tblClientes[[#All],[id]:[nombre_contacto]],4,0)</f>
        <v>MARIA DEL CARMEN ADAME</v>
      </c>
    </row>
    <row r="623" spans="1:8" x14ac:dyDescent="0.25">
      <c r="A623">
        <v>622</v>
      </c>
      <c r="B623">
        <v>622</v>
      </c>
      <c r="C623">
        <v>3208081923</v>
      </c>
      <c r="D623" t="s">
        <v>2444</v>
      </c>
      <c r="F623" t="s">
        <v>274</v>
      </c>
      <c r="G623" t="s">
        <v>3</v>
      </c>
      <c r="H623" t="str">
        <f>VLOOKUP(tblContactoCliente[[#This Row],[id_cliente]],tblClientes[[#All],[id]:[nombre_contacto]],4,0)</f>
        <v>CARMENZA LOPEZ</v>
      </c>
    </row>
    <row r="624" spans="1:8" x14ac:dyDescent="0.25">
      <c r="A624">
        <v>623</v>
      </c>
      <c r="B624">
        <v>623</v>
      </c>
      <c r="C624">
        <v>3105590121</v>
      </c>
      <c r="D624" t="s">
        <v>2447</v>
      </c>
      <c r="F624" t="s">
        <v>1707</v>
      </c>
      <c r="G624" t="s">
        <v>3</v>
      </c>
      <c r="H624" t="str">
        <f>VLOOKUP(tblContactoCliente[[#This Row],[id_cliente]],tblClientes[[#All],[id]:[nombre_contacto]],4,0)</f>
        <v>JOSE ANGEL HERNANDEZ</v>
      </c>
    </row>
    <row r="625" spans="1:8" x14ac:dyDescent="0.25">
      <c r="A625">
        <v>624</v>
      </c>
      <c r="B625">
        <v>624</v>
      </c>
      <c r="C625">
        <v>3138656237</v>
      </c>
      <c r="D625" t="s">
        <v>2451</v>
      </c>
      <c r="F625" t="s">
        <v>565</v>
      </c>
      <c r="G625" t="s">
        <v>3</v>
      </c>
      <c r="H625" t="str">
        <f>VLOOKUP(tblContactoCliente[[#This Row],[id_cliente]],tblClientes[[#All],[id]:[nombre_contacto]],4,0)</f>
        <v>OSCAR MUÑOZ</v>
      </c>
    </row>
    <row r="626" spans="1:8" x14ac:dyDescent="0.25">
      <c r="A626">
        <v>625</v>
      </c>
      <c r="B626">
        <v>625</v>
      </c>
      <c r="C626">
        <v>3016141119</v>
      </c>
      <c r="D626" t="s">
        <v>2456</v>
      </c>
      <c r="F626" t="s">
        <v>2457</v>
      </c>
      <c r="G626" t="s">
        <v>1007</v>
      </c>
      <c r="H626" t="str">
        <f>VLOOKUP(tblContactoCliente[[#This Row],[id_cliente]],tblClientes[[#All],[id]:[nombre_contacto]],4,0)</f>
        <v>ANDRES ACOSTA LOPEZ</v>
      </c>
    </row>
    <row r="627" spans="1:8" x14ac:dyDescent="0.25">
      <c r="A627">
        <v>626</v>
      </c>
      <c r="B627">
        <v>626</v>
      </c>
      <c r="C627">
        <v>3015662139</v>
      </c>
      <c r="D627" t="s">
        <v>2460</v>
      </c>
      <c r="F627" t="s">
        <v>183</v>
      </c>
      <c r="G627" t="s">
        <v>3</v>
      </c>
      <c r="H627" t="str">
        <f>VLOOKUP(tblContactoCliente[[#This Row],[id_cliente]],tblClientes[[#All],[id]:[nombre_contacto]],4,0)</f>
        <v>JAVIER SANCHEZ VARGAS</v>
      </c>
    </row>
    <row r="628" spans="1:8" x14ac:dyDescent="0.25">
      <c r="A628">
        <v>627</v>
      </c>
      <c r="B628">
        <v>627</v>
      </c>
      <c r="C628">
        <v>3102997981</v>
      </c>
      <c r="D628" t="s">
        <v>2463</v>
      </c>
      <c r="F628" t="s">
        <v>2315</v>
      </c>
      <c r="G628" t="s">
        <v>3</v>
      </c>
      <c r="H628" t="str">
        <f>VLOOKUP(tblContactoCliente[[#This Row],[id_cliente]],tblClientes[[#All],[id]:[nombre_contacto]],4,0)</f>
        <v xml:space="preserve">RAUL CALDERON </v>
      </c>
    </row>
    <row r="629" spans="1:8" x14ac:dyDescent="0.25">
      <c r="A629">
        <v>628</v>
      </c>
      <c r="B629">
        <v>628</v>
      </c>
      <c r="C629" s="15">
        <v>3212183636</v>
      </c>
      <c r="D629" t="s">
        <v>2465</v>
      </c>
      <c r="F629" t="s">
        <v>2466</v>
      </c>
      <c r="G629" t="s">
        <v>3</v>
      </c>
      <c r="H629" t="str">
        <f>VLOOKUP(tblContactoCliente[[#This Row],[id_cliente]],tblClientes[[#All],[id]:[nombre_contacto]],4,0)</f>
        <v>JORGE LOPEZ</v>
      </c>
    </row>
    <row r="630" spans="1:8" x14ac:dyDescent="0.25">
      <c r="A630">
        <v>629</v>
      </c>
      <c r="B630">
        <v>629</v>
      </c>
      <c r="C630">
        <v>3115509415</v>
      </c>
      <c r="D630" t="s">
        <v>2469</v>
      </c>
      <c r="F630" t="s">
        <v>2470</v>
      </c>
      <c r="G630" t="s">
        <v>3</v>
      </c>
      <c r="H630" t="str">
        <f>VLOOKUP(tblContactoCliente[[#This Row],[id_cliente]],tblClientes[[#All],[id]:[nombre_contacto]],4,0)</f>
        <v>ELVIRA MESA</v>
      </c>
    </row>
    <row r="631" spans="1:8" x14ac:dyDescent="0.25">
      <c r="A631">
        <v>630</v>
      </c>
      <c r="B631">
        <v>630</v>
      </c>
      <c r="C631" s="15">
        <v>3208801559</v>
      </c>
      <c r="D631" t="s">
        <v>2473</v>
      </c>
      <c r="F631" t="s">
        <v>510</v>
      </c>
      <c r="G631" t="s">
        <v>3</v>
      </c>
      <c r="H631" t="str">
        <f>VLOOKUP(tblContactoCliente[[#This Row],[id_cliente]],tblClientes[[#All],[id]:[nombre_contacto]],4,0)</f>
        <v xml:space="preserve">BELISARIO CADENAS </v>
      </c>
    </row>
    <row r="632" spans="1:8" x14ac:dyDescent="0.25">
      <c r="A632">
        <v>631</v>
      </c>
      <c r="B632">
        <v>631</v>
      </c>
      <c r="C632">
        <v>3138040667</v>
      </c>
      <c r="D632" t="s">
        <v>4172</v>
      </c>
      <c r="F632" t="s">
        <v>4172</v>
      </c>
      <c r="G632" t="s">
        <v>4172</v>
      </c>
      <c r="H632" t="str">
        <f>VLOOKUP(tblContactoCliente[[#This Row],[id_cliente]],tblClientes[[#All],[id]:[nombre_contacto]],4,0)</f>
        <v>NUBIA NUÑEZ</v>
      </c>
    </row>
    <row r="633" spans="1:8" x14ac:dyDescent="0.25">
      <c r="A633">
        <v>632</v>
      </c>
      <c r="B633">
        <v>632</v>
      </c>
      <c r="C633">
        <v>3153685459</v>
      </c>
      <c r="D633" t="s">
        <v>4172</v>
      </c>
      <c r="F633" t="s">
        <v>4172</v>
      </c>
      <c r="G633" t="s">
        <v>4172</v>
      </c>
      <c r="H633" t="str">
        <f>VLOOKUP(tblContactoCliente[[#This Row],[id_cliente]],tblClientes[[#All],[id]:[nombre_contacto]],4,0)</f>
        <v>RAUL ARSE LOZANO</v>
      </c>
    </row>
    <row r="634" spans="1:8" x14ac:dyDescent="0.25">
      <c r="A634">
        <v>633</v>
      </c>
      <c r="B634">
        <v>633</v>
      </c>
      <c r="C634">
        <v>3138581336</v>
      </c>
      <c r="D634" t="s">
        <v>2477</v>
      </c>
      <c r="F634" t="s">
        <v>703</v>
      </c>
      <c r="G634" t="s">
        <v>3</v>
      </c>
      <c r="H634" t="str">
        <f>VLOOKUP(tblContactoCliente[[#This Row],[id_cliente]],tblClientes[[#All],[id]:[nombre_contacto]],4,0)</f>
        <v>JULIAN PARRA</v>
      </c>
    </row>
    <row r="635" spans="1:8" x14ac:dyDescent="0.25">
      <c r="A635">
        <v>634</v>
      </c>
      <c r="B635">
        <v>634</v>
      </c>
      <c r="C635">
        <v>2120056</v>
      </c>
      <c r="D635" t="s">
        <v>4172</v>
      </c>
      <c r="F635" t="s">
        <v>4172</v>
      </c>
      <c r="G635" t="s">
        <v>4172</v>
      </c>
      <c r="H635" t="str">
        <f>VLOOKUP(tblContactoCliente[[#This Row],[id_cliente]],tblClientes[[#All],[id]:[nombre_contacto]],4,0)</f>
        <v>GUSTAVO BOTERO</v>
      </c>
    </row>
    <row r="636" spans="1:8" x14ac:dyDescent="0.25">
      <c r="A636">
        <v>635</v>
      </c>
      <c r="B636">
        <v>635</v>
      </c>
      <c r="C636">
        <v>3208367945</v>
      </c>
      <c r="D636" t="s">
        <v>2482</v>
      </c>
      <c r="F636" t="s">
        <v>2483</v>
      </c>
      <c r="G636" t="s">
        <v>3</v>
      </c>
      <c r="H636" t="str">
        <f>VLOOKUP(tblContactoCliente[[#This Row],[id_cliente]],tblClientes[[#All],[id]:[nombre_contacto]],4,0)</f>
        <v>HORACIO- PELETERIA EL LIDER</v>
      </c>
    </row>
    <row r="637" spans="1:8" x14ac:dyDescent="0.25">
      <c r="A637">
        <v>636</v>
      </c>
      <c r="B637">
        <v>636</v>
      </c>
      <c r="C637">
        <v>320382252</v>
      </c>
      <c r="D637" t="s">
        <v>2485</v>
      </c>
      <c r="F637" t="s">
        <v>4172</v>
      </c>
      <c r="G637" t="s">
        <v>165</v>
      </c>
      <c r="H637" t="str">
        <f>VLOOKUP(tblContactoCliente[[#This Row],[id_cliente]],tblClientes[[#All],[id]:[nombre_contacto]],4,0)</f>
        <v>ALONSO GARCIA</v>
      </c>
    </row>
    <row r="638" spans="1:8" x14ac:dyDescent="0.25">
      <c r="A638">
        <v>637</v>
      </c>
      <c r="B638">
        <v>637</v>
      </c>
      <c r="C638">
        <v>3214306624</v>
      </c>
      <c r="D638" t="s">
        <v>2487</v>
      </c>
      <c r="F638" t="s">
        <v>995</v>
      </c>
      <c r="G638" t="s">
        <v>3</v>
      </c>
      <c r="H638" t="str">
        <f>VLOOKUP(tblContactoCliente[[#This Row],[id_cliente]],tblClientes[[#All],[id]:[nombre_contacto]],4,0)</f>
        <v>YOJHAN MOSQUERA</v>
      </c>
    </row>
    <row r="639" spans="1:8" x14ac:dyDescent="0.25">
      <c r="A639">
        <v>638</v>
      </c>
      <c r="B639">
        <v>638</v>
      </c>
      <c r="C639">
        <v>3158590037</v>
      </c>
      <c r="D639" t="s">
        <v>2490</v>
      </c>
      <c r="F639" t="s">
        <v>2491</v>
      </c>
      <c r="G639" t="s">
        <v>4172</v>
      </c>
      <c r="H639" t="str">
        <f>VLOOKUP(tblContactoCliente[[#This Row],[id_cliente]],tblClientes[[#All],[id]:[nombre_contacto]],4,0)</f>
        <v>OLINTO ARIZA</v>
      </c>
    </row>
    <row r="640" spans="1:8" x14ac:dyDescent="0.25">
      <c r="A640">
        <v>639</v>
      </c>
      <c r="B640">
        <v>639</v>
      </c>
      <c r="C640">
        <v>3142372523</v>
      </c>
      <c r="D640" t="s">
        <v>2493</v>
      </c>
      <c r="F640" t="s">
        <v>2494</v>
      </c>
      <c r="G640" t="s">
        <v>3</v>
      </c>
      <c r="H640" t="str">
        <f>VLOOKUP(tblContactoCliente[[#This Row],[id_cliente]],tblClientes[[#All],[id]:[nombre_contacto]],4,0)</f>
        <v xml:space="preserve">RAMON VARGAS </v>
      </c>
    </row>
    <row r="641" spans="1:8" x14ac:dyDescent="0.25">
      <c r="A641">
        <v>640</v>
      </c>
      <c r="B641">
        <v>640</v>
      </c>
      <c r="C641">
        <v>3204202456</v>
      </c>
      <c r="D641" t="s">
        <v>2496</v>
      </c>
      <c r="F641" t="s">
        <v>2497</v>
      </c>
      <c r="G641" t="s">
        <v>467</v>
      </c>
      <c r="H641" t="str">
        <f>VLOOKUP(tblContactoCliente[[#This Row],[id_cliente]],tblClientes[[#All],[id]:[nombre_contacto]],4,0)</f>
        <v>CARLOS ALFONSO GOMEZ</v>
      </c>
    </row>
    <row r="642" spans="1:8" x14ac:dyDescent="0.25">
      <c r="A642">
        <v>641</v>
      </c>
      <c r="B642">
        <v>641</v>
      </c>
      <c r="C642">
        <v>3213642835</v>
      </c>
      <c r="D642" t="s">
        <v>2500</v>
      </c>
      <c r="F642" t="s">
        <v>2501</v>
      </c>
      <c r="G642" t="s">
        <v>4172</v>
      </c>
      <c r="H642" t="str">
        <f>VLOOKUP(tblContactoCliente[[#This Row],[id_cliente]],tblClientes[[#All],[id]:[nombre_contacto]],4,0)</f>
        <v>OMAR SOLARTE</v>
      </c>
    </row>
    <row r="643" spans="1:8" x14ac:dyDescent="0.25">
      <c r="A643">
        <v>642</v>
      </c>
      <c r="B643">
        <v>642</v>
      </c>
      <c r="C643">
        <v>3212894729</v>
      </c>
      <c r="D643" t="s">
        <v>2503</v>
      </c>
      <c r="F643" t="s">
        <v>187</v>
      </c>
      <c r="G643" t="s">
        <v>3</v>
      </c>
      <c r="H643" t="str">
        <f>VLOOKUP(tblContactoCliente[[#This Row],[id_cliente]],tblClientes[[#All],[id]:[nombre_contacto]],4,0)</f>
        <v>CARLOS ANDRES ORDOÑES</v>
      </c>
    </row>
    <row r="644" spans="1:8" x14ac:dyDescent="0.25">
      <c r="A644">
        <v>643</v>
      </c>
      <c r="B644">
        <v>643</v>
      </c>
      <c r="C644">
        <v>3103134227</v>
      </c>
      <c r="D644" t="s">
        <v>2506</v>
      </c>
      <c r="F644" t="s">
        <v>1970</v>
      </c>
      <c r="G644" t="s">
        <v>3</v>
      </c>
      <c r="H644" t="str">
        <f>VLOOKUP(tblContactoCliente[[#This Row],[id_cliente]],tblClientes[[#All],[id]:[nombre_contacto]],4,0)</f>
        <v>STEFANI ALVIRA</v>
      </c>
    </row>
    <row r="645" spans="1:8" x14ac:dyDescent="0.25">
      <c r="A645">
        <v>644</v>
      </c>
      <c r="B645">
        <v>644</v>
      </c>
      <c r="C645">
        <v>3212880627</v>
      </c>
      <c r="D645" t="s">
        <v>2508</v>
      </c>
      <c r="F645" t="s">
        <v>2123</v>
      </c>
      <c r="G645" t="s">
        <v>3</v>
      </c>
      <c r="H645" t="str">
        <f>VLOOKUP(tblContactoCliente[[#This Row],[id_cliente]],tblClientes[[#All],[id]:[nombre_contacto]],4,0)</f>
        <v>ROSARIO ROMERO</v>
      </c>
    </row>
    <row r="646" spans="1:8" x14ac:dyDescent="0.25">
      <c r="A646">
        <v>645</v>
      </c>
      <c r="B646">
        <v>645</v>
      </c>
      <c r="C646">
        <v>3124393777</v>
      </c>
      <c r="D646" t="s">
        <v>2510</v>
      </c>
      <c r="F646" t="s">
        <v>2511</v>
      </c>
      <c r="G646" t="s">
        <v>3</v>
      </c>
      <c r="H646" t="str">
        <f>VLOOKUP(tblContactoCliente[[#This Row],[id_cliente]],tblClientes[[#All],[id]:[nombre_contacto]],4,0)</f>
        <v>JAVIER BOLAÑOS</v>
      </c>
    </row>
    <row r="647" spans="1:8" x14ac:dyDescent="0.25">
      <c r="A647">
        <v>646</v>
      </c>
      <c r="B647">
        <v>646</v>
      </c>
      <c r="C647">
        <v>3202355399</v>
      </c>
      <c r="D647" t="s">
        <v>2514</v>
      </c>
      <c r="F647" t="s">
        <v>2515</v>
      </c>
      <c r="G647" t="s">
        <v>4172</v>
      </c>
      <c r="H647" t="str">
        <f>VLOOKUP(tblContactoCliente[[#This Row],[id_cliente]],tblClientes[[#All],[id]:[nombre_contacto]],4,0)</f>
        <v xml:space="preserve">MARILUZ CARDENAS </v>
      </c>
    </row>
    <row r="648" spans="1:8" x14ac:dyDescent="0.25">
      <c r="A648">
        <v>647</v>
      </c>
      <c r="B648">
        <v>647</v>
      </c>
      <c r="C648">
        <v>3115950938</v>
      </c>
      <c r="D648" t="s">
        <v>2518</v>
      </c>
      <c r="F648" t="s">
        <v>2519</v>
      </c>
      <c r="G648" t="s">
        <v>3</v>
      </c>
      <c r="H648" t="str">
        <f>VLOOKUP(tblContactoCliente[[#This Row],[id_cliente]],tblClientes[[#All],[id]:[nombre_contacto]],4,0)</f>
        <v xml:space="preserve">JORGE LEON </v>
      </c>
    </row>
    <row r="649" spans="1:8" x14ac:dyDescent="0.25">
      <c r="A649">
        <v>648</v>
      </c>
      <c r="B649">
        <v>648</v>
      </c>
      <c r="C649">
        <v>3214131082</v>
      </c>
      <c r="D649" t="s">
        <v>2522</v>
      </c>
      <c r="F649" t="s">
        <v>2523</v>
      </c>
      <c r="G649" t="s">
        <v>3</v>
      </c>
      <c r="H649" t="str">
        <f>VLOOKUP(tblContactoCliente[[#This Row],[id_cliente]],tblClientes[[#All],[id]:[nombre_contacto]],4,0)</f>
        <v>AUDENAGO CASILIMAS / DIANA CAROLINA CAMACHO SANABRIA</v>
      </c>
    </row>
    <row r="650" spans="1:8" x14ac:dyDescent="0.25">
      <c r="A650">
        <v>649</v>
      </c>
      <c r="B650">
        <v>649</v>
      </c>
      <c r="C650">
        <v>3115875418</v>
      </c>
      <c r="D650" t="s">
        <v>2525</v>
      </c>
      <c r="F650" t="s">
        <v>561</v>
      </c>
      <c r="G650" t="s">
        <v>3</v>
      </c>
      <c r="H650" t="str">
        <f>VLOOKUP(tblContactoCliente[[#This Row],[id_cliente]],tblClientes[[#All],[id]:[nombre_contacto]],4,0)</f>
        <v xml:space="preserve">MARLENY GARZON </v>
      </c>
    </row>
    <row r="651" spans="1:8" x14ac:dyDescent="0.25">
      <c r="A651">
        <v>650</v>
      </c>
      <c r="B651">
        <v>650</v>
      </c>
      <c r="C651">
        <v>3103277228</v>
      </c>
      <c r="D651" t="s">
        <v>2527</v>
      </c>
      <c r="F651" t="s">
        <v>1595</v>
      </c>
      <c r="G651" t="s">
        <v>3</v>
      </c>
      <c r="H651" t="str">
        <f>VLOOKUP(tblContactoCliente[[#This Row],[id_cliente]],tblClientes[[#All],[id]:[nombre_contacto]],4,0)</f>
        <v>JOSE GOMEZ</v>
      </c>
    </row>
    <row r="652" spans="1:8" x14ac:dyDescent="0.25">
      <c r="A652">
        <v>651</v>
      </c>
      <c r="B652">
        <v>651</v>
      </c>
      <c r="C652">
        <v>3106093216</v>
      </c>
      <c r="D652" t="s">
        <v>2529</v>
      </c>
      <c r="F652" t="s">
        <v>1595</v>
      </c>
      <c r="G652" t="s">
        <v>4172</v>
      </c>
      <c r="H652" t="str">
        <f>VLOOKUP(tblContactoCliente[[#This Row],[id_cliente]],tblClientes[[#All],[id]:[nombre_contacto]],4,0)</f>
        <v>JAVIER CARLOS AMA</v>
      </c>
    </row>
    <row r="653" spans="1:8" x14ac:dyDescent="0.25">
      <c r="A653">
        <v>652</v>
      </c>
      <c r="B653">
        <v>652</v>
      </c>
      <c r="C653">
        <v>3235950583</v>
      </c>
      <c r="D653" t="s">
        <v>4172</v>
      </c>
      <c r="F653" t="s">
        <v>2531</v>
      </c>
      <c r="G653" t="s">
        <v>3</v>
      </c>
      <c r="H653" t="str">
        <f>VLOOKUP(tblContactoCliente[[#This Row],[id_cliente]],tblClientes[[#All],[id]:[nombre_contacto]],4,0)</f>
        <v>GUILLERO GOMEZ</v>
      </c>
    </row>
    <row r="654" spans="1:8" x14ac:dyDescent="0.25">
      <c r="A654">
        <v>653</v>
      </c>
      <c r="B654">
        <v>653</v>
      </c>
      <c r="C654">
        <v>3124899657</v>
      </c>
      <c r="D654" t="s">
        <v>2533</v>
      </c>
      <c r="F654" t="s">
        <v>2534</v>
      </c>
      <c r="G654" t="s">
        <v>3</v>
      </c>
      <c r="H654" t="str">
        <f>VLOOKUP(tblContactoCliente[[#This Row],[id_cliente]],tblClientes[[#All],[id]:[nombre_contacto]],4,0)</f>
        <v>DAVID SABOGAL</v>
      </c>
    </row>
    <row r="655" spans="1:8" x14ac:dyDescent="0.25">
      <c r="A655">
        <v>654</v>
      </c>
      <c r="B655">
        <v>654</v>
      </c>
      <c r="C655">
        <v>3002156256</v>
      </c>
      <c r="D655" t="s">
        <v>2536</v>
      </c>
      <c r="F655" t="s">
        <v>324</v>
      </c>
      <c r="G655" t="s">
        <v>3</v>
      </c>
      <c r="H655" t="str">
        <f>VLOOKUP(tblContactoCliente[[#This Row],[id_cliente]],tblClientes[[#All],[id]:[nombre_contacto]],4,0)</f>
        <v>ALEXANDER BALLESTEROS</v>
      </c>
    </row>
    <row r="656" spans="1:8" x14ac:dyDescent="0.25">
      <c r="A656">
        <v>655</v>
      </c>
      <c r="B656">
        <v>655</v>
      </c>
      <c r="C656">
        <v>3138036211</v>
      </c>
      <c r="D656" t="s">
        <v>2538</v>
      </c>
      <c r="F656" t="s">
        <v>2399</v>
      </c>
      <c r="G656" t="s">
        <v>3</v>
      </c>
      <c r="H656" t="str">
        <f>VLOOKUP(tblContactoCliente[[#This Row],[id_cliente]],tblClientes[[#All],[id]:[nombre_contacto]],4,0)</f>
        <v>PAOLA SIERRA</v>
      </c>
    </row>
    <row r="657" spans="1:8" x14ac:dyDescent="0.25">
      <c r="A657">
        <v>656</v>
      </c>
      <c r="B657">
        <v>656</v>
      </c>
      <c r="C657">
        <v>3104444340</v>
      </c>
      <c r="D657" t="s">
        <v>4172</v>
      </c>
      <c r="F657" t="s">
        <v>4172</v>
      </c>
      <c r="G657" t="s">
        <v>3</v>
      </c>
      <c r="H657" t="str">
        <f>VLOOKUP(tblContactoCliente[[#This Row],[id_cliente]],tblClientes[[#All],[id]:[nombre_contacto]],4,0)</f>
        <v xml:space="preserve">HEUCLIDES </v>
      </c>
    </row>
    <row r="658" spans="1:8" x14ac:dyDescent="0.25">
      <c r="A658">
        <v>657</v>
      </c>
      <c r="B658">
        <v>657</v>
      </c>
      <c r="C658">
        <v>3142909234</v>
      </c>
      <c r="D658" t="s">
        <v>2542</v>
      </c>
      <c r="F658" t="s">
        <v>2399</v>
      </c>
      <c r="G658" t="s">
        <v>3</v>
      </c>
      <c r="H658" t="str">
        <f>VLOOKUP(tblContactoCliente[[#This Row],[id_cliente]],tblClientes[[#All],[id]:[nombre_contacto]],4,0)</f>
        <v>JANETH CEPEDA</v>
      </c>
    </row>
    <row r="659" spans="1:8" x14ac:dyDescent="0.25">
      <c r="A659">
        <v>658</v>
      </c>
      <c r="B659">
        <v>658</v>
      </c>
      <c r="C659">
        <v>3102169959</v>
      </c>
      <c r="D659" t="s">
        <v>2545</v>
      </c>
      <c r="F659" t="s">
        <v>2546</v>
      </c>
      <c r="G659" t="s">
        <v>422</v>
      </c>
      <c r="H659" t="str">
        <f>VLOOKUP(tblContactoCliente[[#This Row],[id_cliente]],tblClientes[[#All],[id]:[nombre_contacto]],4,0)</f>
        <v>JORGE ALVARES</v>
      </c>
    </row>
    <row r="660" spans="1:8" x14ac:dyDescent="0.25">
      <c r="A660">
        <v>659</v>
      </c>
      <c r="B660">
        <v>659</v>
      </c>
      <c r="C660">
        <v>3132689362</v>
      </c>
      <c r="D660" t="s">
        <v>2418</v>
      </c>
      <c r="F660" t="s">
        <v>2419</v>
      </c>
      <c r="G660" t="s">
        <v>3</v>
      </c>
      <c r="H660" t="str">
        <f>VLOOKUP(tblContactoCliente[[#This Row],[id_cliente]],tblClientes[[#All],[id]:[nombre_contacto]],4,0)</f>
        <v>EDITH LOZANO</v>
      </c>
    </row>
    <row r="661" spans="1:8" x14ac:dyDescent="0.25">
      <c r="A661">
        <v>660</v>
      </c>
      <c r="B661">
        <v>660</v>
      </c>
      <c r="C661">
        <v>3124121120</v>
      </c>
      <c r="D661" t="s">
        <v>2549</v>
      </c>
      <c r="F661" t="s">
        <v>2550</v>
      </c>
      <c r="G661" t="s">
        <v>3</v>
      </c>
      <c r="H661" t="str">
        <f>VLOOKUP(tblContactoCliente[[#This Row],[id_cliente]],tblClientes[[#All],[id]:[nombre_contacto]],4,0)</f>
        <v>ALEXANDER MUÑOS</v>
      </c>
    </row>
    <row r="662" spans="1:8" x14ac:dyDescent="0.25">
      <c r="A662">
        <v>661</v>
      </c>
      <c r="B662">
        <v>661</v>
      </c>
      <c r="C662">
        <v>3214806689</v>
      </c>
      <c r="D662" t="s">
        <v>2553</v>
      </c>
      <c r="F662" t="s">
        <v>2554</v>
      </c>
      <c r="G662" t="s">
        <v>3</v>
      </c>
      <c r="H662" t="str">
        <f>VLOOKUP(tblContactoCliente[[#This Row],[id_cliente]],tblClientes[[#All],[id]:[nombre_contacto]],4,0)</f>
        <v xml:space="preserve">MARTHA HERNANDEZ </v>
      </c>
    </row>
    <row r="663" spans="1:8" x14ac:dyDescent="0.25">
      <c r="A663">
        <v>662</v>
      </c>
      <c r="B663">
        <v>662</v>
      </c>
      <c r="C663">
        <v>3154562673</v>
      </c>
      <c r="D663" t="s">
        <v>2556</v>
      </c>
      <c r="F663" t="s">
        <v>2557</v>
      </c>
      <c r="G663" t="s">
        <v>3</v>
      </c>
      <c r="H663" t="str">
        <f>VLOOKUP(tblContactoCliente[[#This Row],[id_cliente]],tblClientes[[#All],[id]:[nombre_contacto]],4,0)</f>
        <v xml:space="preserve">LUIS ALEJANDRO BECERRA </v>
      </c>
    </row>
    <row r="664" spans="1:8" x14ac:dyDescent="0.25">
      <c r="A664">
        <v>663</v>
      </c>
      <c r="B664">
        <v>663</v>
      </c>
      <c r="C664">
        <v>3143197981</v>
      </c>
      <c r="D664" t="s">
        <v>2560</v>
      </c>
      <c r="F664" t="s">
        <v>2561</v>
      </c>
      <c r="G664" t="s">
        <v>1032</v>
      </c>
      <c r="H664" t="str">
        <f>VLOOKUP(tblContactoCliente[[#This Row],[id_cliente]],tblClientes[[#All],[id]:[nombre_contacto]],4,0)</f>
        <v xml:space="preserve">JOSE CASTRO </v>
      </c>
    </row>
    <row r="665" spans="1:8" x14ac:dyDescent="0.25">
      <c r="A665">
        <v>664</v>
      </c>
      <c r="B665">
        <v>664</v>
      </c>
      <c r="C665">
        <v>3102075588</v>
      </c>
      <c r="D665" t="s">
        <v>2564</v>
      </c>
      <c r="F665" t="s">
        <v>2565</v>
      </c>
      <c r="G665" t="s">
        <v>3</v>
      </c>
      <c r="H665" t="str">
        <f>VLOOKUP(tblContactoCliente[[#This Row],[id_cliente]],tblClientes[[#All],[id]:[nombre_contacto]],4,0)</f>
        <v xml:space="preserve">EDINSON BEDOYA </v>
      </c>
    </row>
    <row r="666" spans="1:8" x14ac:dyDescent="0.25">
      <c r="A666">
        <v>665</v>
      </c>
      <c r="B666">
        <v>665</v>
      </c>
      <c r="C666">
        <v>3222568687</v>
      </c>
      <c r="D666" t="s">
        <v>2568</v>
      </c>
      <c r="F666" t="s">
        <v>217</v>
      </c>
      <c r="G666" t="s">
        <v>3</v>
      </c>
      <c r="H666" t="str">
        <f>VLOOKUP(tblContactoCliente[[#This Row],[id_cliente]],tblClientes[[#All],[id]:[nombre_contacto]],4,0)</f>
        <v>AMANDA REYES</v>
      </c>
    </row>
    <row r="667" spans="1:8" x14ac:dyDescent="0.25">
      <c r="A667">
        <v>666</v>
      </c>
      <c r="B667">
        <v>666</v>
      </c>
      <c r="C667">
        <v>3162254231</v>
      </c>
      <c r="D667" t="s">
        <v>2570</v>
      </c>
      <c r="F667" t="s">
        <v>2571</v>
      </c>
      <c r="G667" t="s">
        <v>3</v>
      </c>
      <c r="H667" t="str">
        <f>VLOOKUP(tblContactoCliente[[#This Row],[id_cliente]],tblClientes[[#All],[id]:[nombre_contacto]],4,0)</f>
        <v>CARLOS PINILLA</v>
      </c>
    </row>
    <row r="668" spans="1:8" x14ac:dyDescent="0.25">
      <c r="A668">
        <v>667</v>
      </c>
      <c r="B668">
        <v>667</v>
      </c>
      <c r="C668">
        <v>3112955741</v>
      </c>
      <c r="D668" t="s">
        <v>2574</v>
      </c>
      <c r="F668" t="s">
        <v>2575</v>
      </c>
      <c r="G668" t="s">
        <v>3</v>
      </c>
      <c r="H668" t="str">
        <f>VLOOKUP(tblContactoCliente[[#This Row],[id_cliente]],tblClientes[[#All],[id]:[nombre_contacto]],4,0)</f>
        <v xml:space="preserve">MARTHA LUCIA </v>
      </c>
    </row>
    <row r="669" spans="1:8" x14ac:dyDescent="0.25">
      <c r="A669">
        <v>668</v>
      </c>
      <c r="B669">
        <v>668</v>
      </c>
      <c r="C669">
        <v>3134148739</v>
      </c>
      <c r="D669" t="s">
        <v>2578</v>
      </c>
      <c r="F669" t="s">
        <v>187</v>
      </c>
      <c r="G669" t="s">
        <v>3</v>
      </c>
      <c r="H669" t="str">
        <f>VLOOKUP(tblContactoCliente[[#This Row],[id_cliente]],tblClientes[[#All],[id]:[nombre_contacto]],4,0)</f>
        <v>HILDARDO ORTEGA</v>
      </c>
    </row>
    <row r="670" spans="1:8" x14ac:dyDescent="0.25">
      <c r="A670">
        <v>669</v>
      </c>
      <c r="B670">
        <v>669</v>
      </c>
      <c r="C670">
        <v>3228366468</v>
      </c>
      <c r="D670" t="s">
        <v>2581</v>
      </c>
      <c r="F670" t="s">
        <v>2582</v>
      </c>
      <c r="G670" t="s">
        <v>3</v>
      </c>
      <c r="H670" t="str">
        <f>VLOOKUP(tblContactoCliente[[#This Row],[id_cliente]],tblClientes[[#All],[id]:[nombre_contacto]],4,0)</f>
        <v>JESUS ORLANDO GOMEZ</v>
      </c>
    </row>
    <row r="671" spans="1:8" x14ac:dyDescent="0.25">
      <c r="A671">
        <v>670</v>
      </c>
      <c r="B671">
        <v>670</v>
      </c>
      <c r="C671">
        <v>3173844752</v>
      </c>
      <c r="D671" t="s">
        <v>2585</v>
      </c>
      <c r="F671" t="s">
        <v>2586</v>
      </c>
      <c r="G671" t="s">
        <v>1054</v>
      </c>
      <c r="H671" t="str">
        <f>VLOOKUP(tblContactoCliente[[#This Row],[id_cliente]],tblClientes[[#All],[id]:[nombre_contacto]],4,0)</f>
        <v>EBIER IMBACHI</v>
      </c>
    </row>
    <row r="672" spans="1:8" x14ac:dyDescent="0.25">
      <c r="A672">
        <v>671</v>
      </c>
      <c r="B672">
        <v>671</v>
      </c>
      <c r="C672">
        <v>3202165757</v>
      </c>
      <c r="D672" t="s">
        <v>2588</v>
      </c>
      <c r="F672" t="s">
        <v>2589</v>
      </c>
      <c r="G672" t="s">
        <v>3</v>
      </c>
      <c r="H672" t="str">
        <f>VLOOKUP(tblContactoCliente[[#This Row],[id_cliente]],tblClientes[[#All],[id]:[nombre_contacto]],4,0)</f>
        <v xml:space="preserve">ALEXANDER SALAMANCA </v>
      </c>
    </row>
    <row r="673" spans="1:8" x14ac:dyDescent="0.25">
      <c r="A673">
        <v>672</v>
      </c>
      <c r="B673">
        <v>672</v>
      </c>
      <c r="C673">
        <v>3143758101</v>
      </c>
      <c r="D673" t="s">
        <v>2592</v>
      </c>
      <c r="F673" t="s">
        <v>2494</v>
      </c>
      <c r="G673" t="s">
        <v>3</v>
      </c>
      <c r="H673" t="str">
        <f>VLOOKUP(tblContactoCliente[[#This Row],[id_cliente]],tblClientes[[#All],[id]:[nombre_contacto]],4,0)</f>
        <v>EDMUNDO ORDOÑEZ</v>
      </c>
    </row>
    <row r="674" spans="1:8" x14ac:dyDescent="0.25">
      <c r="A674">
        <v>673</v>
      </c>
      <c r="B674">
        <v>673</v>
      </c>
      <c r="C674" s="15">
        <v>3148214563</v>
      </c>
      <c r="D674" t="s">
        <v>2594</v>
      </c>
      <c r="F674" t="s">
        <v>1365</v>
      </c>
      <c r="G674" t="s">
        <v>1365</v>
      </c>
      <c r="H674" t="str">
        <f>VLOOKUP(tblContactoCliente[[#This Row],[id_cliente]],tblClientes[[#All],[id]:[nombre_contacto]],4,0)</f>
        <v>LINA Y GERARDO</v>
      </c>
    </row>
    <row r="675" spans="1:8" x14ac:dyDescent="0.25">
      <c r="A675">
        <v>674</v>
      </c>
      <c r="B675">
        <v>674</v>
      </c>
      <c r="C675">
        <v>3222750403</v>
      </c>
      <c r="D675" t="s">
        <v>2596</v>
      </c>
      <c r="F675" t="s">
        <v>357</v>
      </c>
      <c r="G675" t="s">
        <v>3</v>
      </c>
      <c r="H675" t="str">
        <f>VLOOKUP(tblContactoCliente[[#This Row],[id_cliente]],tblClientes[[#All],[id]:[nombre_contacto]],4,0)</f>
        <v>ALIRIO BRAVO</v>
      </c>
    </row>
    <row r="676" spans="1:8" x14ac:dyDescent="0.25">
      <c r="A676">
        <v>675</v>
      </c>
      <c r="B676">
        <v>675</v>
      </c>
      <c r="C676">
        <v>3132239400</v>
      </c>
      <c r="D676" t="s">
        <v>2599</v>
      </c>
      <c r="F676" t="s">
        <v>2600</v>
      </c>
      <c r="G676" t="s">
        <v>3</v>
      </c>
      <c r="H676" t="str">
        <f>VLOOKUP(tblContactoCliente[[#This Row],[id_cliente]],tblClientes[[#All],[id]:[nombre_contacto]],4,0)</f>
        <v>JORGE VALENCIA</v>
      </c>
    </row>
    <row r="677" spans="1:8" x14ac:dyDescent="0.25">
      <c r="A677">
        <v>676</v>
      </c>
      <c r="B677">
        <v>676</v>
      </c>
      <c r="C677">
        <v>3202950256</v>
      </c>
      <c r="D677" t="s">
        <v>2602</v>
      </c>
      <c r="F677" t="s">
        <v>1991</v>
      </c>
      <c r="G677" t="s">
        <v>3</v>
      </c>
      <c r="H677" t="str">
        <f>VLOOKUP(tblContactoCliente[[#This Row],[id_cliente]],tblClientes[[#All],[id]:[nombre_contacto]],4,0)</f>
        <v>DIANA CAROLINA CUERVO</v>
      </c>
    </row>
    <row r="678" spans="1:8" x14ac:dyDescent="0.25">
      <c r="A678">
        <v>677</v>
      </c>
      <c r="B678">
        <v>677</v>
      </c>
      <c r="C678" s="15">
        <v>3112444775</v>
      </c>
      <c r="D678" t="s">
        <v>2604</v>
      </c>
      <c r="F678" t="s">
        <v>2604</v>
      </c>
      <c r="G678" t="s">
        <v>3</v>
      </c>
      <c r="H678" t="str">
        <f>VLOOKUP(tblContactoCliente[[#This Row],[id_cliente]],tblClientes[[#All],[id]:[nombre_contacto]],4,0)</f>
        <v>HERLEY CUELLAR</v>
      </c>
    </row>
    <row r="679" spans="1:8" x14ac:dyDescent="0.25">
      <c r="A679">
        <v>678</v>
      </c>
      <c r="B679">
        <v>678</v>
      </c>
      <c r="C679">
        <v>3142008808</v>
      </c>
      <c r="D679" t="s">
        <v>2606</v>
      </c>
      <c r="F679" t="s">
        <v>1595</v>
      </c>
      <c r="G679" t="s">
        <v>3</v>
      </c>
      <c r="H679" t="str">
        <f>VLOOKUP(tblContactoCliente[[#This Row],[id_cliente]],tblClientes[[#All],[id]:[nombre_contacto]],4,0)</f>
        <v>MARIELA GOMEZ</v>
      </c>
    </row>
    <row r="680" spans="1:8" x14ac:dyDescent="0.25">
      <c r="A680">
        <v>679</v>
      </c>
      <c r="B680">
        <v>679</v>
      </c>
      <c r="C680">
        <v>3017495700</v>
      </c>
      <c r="D680" t="s">
        <v>2609</v>
      </c>
      <c r="F680" t="s">
        <v>2610</v>
      </c>
      <c r="G680" t="s">
        <v>3</v>
      </c>
      <c r="H680" t="str">
        <f>VLOOKUP(tblContactoCliente[[#This Row],[id_cliente]],tblClientes[[#All],[id]:[nombre_contacto]],4,0)</f>
        <v xml:space="preserve">CARLOS JULIAN GOMEZ CERON </v>
      </c>
    </row>
    <row r="681" spans="1:8" x14ac:dyDescent="0.25">
      <c r="A681">
        <v>680</v>
      </c>
      <c r="B681">
        <v>680</v>
      </c>
      <c r="C681">
        <v>3168281637</v>
      </c>
      <c r="D681" t="s">
        <v>2612</v>
      </c>
      <c r="F681" t="s">
        <v>2613</v>
      </c>
      <c r="G681" t="s">
        <v>3</v>
      </c>
      <c r="H681" t="str">
        <f>VLOOKUP(tblContactoCliente[[#This Row],[id_cliente]],tblClientes[[#All],[id]:[nombre_contacto]],4,0)</f>
        <v>JHON FREDY ARANGO</v>
      </c>
    </row>
    <row r="682" spans="1:8" x14ac:dyDescent="0.25">
      <c r="A682">
        <v>681</v>
      </c>
      <c r="B682">
        <v>681</v>
      </c>
      <c r="C682">
        <v>3146125034</v>
      </c>
      <c r="D682" t="s">
        <v>2615</v>
      </c>
      <c r="F682" t="s">
        <v>2616</v>
      </c>
      <c r="G682" t="s">
        <v>16</v>
      </c>
      <c r="H682" t="str">
        <f>VLOOKUP(tblContactoCliente[[#This Row],[id_cliente]],tblClientes[[#All],[id]:[nombre_contacto]],4,0)</f>
        <v>ELKIN VELASQUEZ</v>
      </c>
    </row>
    <row r="683" spans="1:8" x14ac:dyDescent="0.25">
      <c r="A683">
        <v>682</v>
      </c>
      <c r="B683">
        <v>682</v>
      </c>
      <c r="C683">
        <v>3112658479</v>
      </c>
      <c r="D683" t="s">
        <v>2618</v>
      </c>
      <c r="F683" t="s">
        <v>2619</v>
      </c>
      <c r="G683" t="s">
        <v>3</v>
      </c>
      <c r="H683" t="str">
        <f>VLOOKUP(tblContactoCliente[[#This Row],[id_cliente]],tblClientes[[#All],[id]:[nombre_contacto]],4,0)</f>
        <v>YADIRA DIAZ</v>
      </c>
    </row>
    <row r="684" spans="1:8" x14ac:dyDescent="0.25">
      <c r="A684">
        <v>683</v>
      </c>
      <c r="B684">
        <v>683</v>
      </c>
      <c r="C684">
        <v>3007005400</v>
      </c>
      <c r="D684" t="s">
        <v>2622</v>
      </c>
      <c r="F684" t="s">
        <v>1991</v>
      </c>
      <c r="G684" t="s">
        <v>3</v>
      </c>
      <c r="H684" t="str">
        <f>VLOOKUP(tblContactoCliente[[#This Row],[id_cliente]],tblClientes[[#All],[id]:[nombre_contacto]],4,0)</f>
        <v xml:space="preserve">JUAN CAMILO ROBERTO </v>
      </c>
    </row>
    <row r="685" spans="1:8" x14ac:dyDescent="0.25">
      <c r="A685">
        <v>684</v>
      </c>
      <c r="B685">
        <v>684</v>
      </c>
      <c r="C685">
        <v>3138907084</v>
      </c>
      <c r="D685" t="s">
        <v>2625</v>
      </c>
      <c r="F685" t="s">
        <v>2626</v>
      </c>
      <c r="G685" t="s">
        <v>253</v>
      </c>
      <c r="H685" t="str">
        <f>VLOOKUP(tblContactoCliente[[#This Row],[id_cliente]],tblClientes[[#All],[id]:[nombre_contacto]],4,0)</f>
        <v>MIGUEL ACEVEDO</v>
      </c>
    </row>
    <row r="686" spans="1:8" x14ac:dyDescent="0.25">
      <c r="A686">
        <v>685</v>
      </c>
      <c r="B686">
        <v>685</v>
      </c>
      <c r="C686">
        <v>3214639520</v>
      </c>
      <c r="D686" t="s">
        <v>2629</v>
      </c>
      <c r="F686" t="s">
        <v>2630</v>
      </c>
      <c r="G686" t="s">
        <v>1032</v>
      </c>
      <c r="H686" t="str">
        <f>VLOOKUP(tblContactoCliente[[#This Row],[id_cliente]],tblClientes[[#All],[id]:[nombre_contacto]],4,0)</f>
        <v>DARIO PALECHOR VARGAS</v>
      </c>
    </row>
    <row r="687" spans="1:8" x14ac:dyDescent="0.25">
      <c r="A687">
        <v>686</v>
      </c>
      <c r="B687">
        <v>686</v>
      </c>
      <c r="C687" s="15">
        <v>3114436994</v>
      </c>
      <c r="D687" t="s">
        <v>147</v>
      </c>
      <c r="F687" t="s">
        <v>187</v>
      </c>
      <c r="G687" t="s">
        <v>3</v>
      </c>
      <c r="H687" t="str">
        <f>VLOOKUP(tblContactoCliente[[#This Row],[id_cliente]],tblClientes[[#All],[id]:[nombre_contacto]],4,0)</f>
        <v xml:space="preserve">RAFAEL NUÑEZ </v>
      </c>
    </row>
    <row r="688" spans="1:8" x14ac:dyDescent="0.25">
      <c r="A688">
        <v>687</v>
      </c>
      <c r="B688">
        <v>687</v>
      </c>
      <c r="C688">
        <v>3223766156</v>
      </c>
      <c r="D688" t="s">
        <v>2634</v>
      </c>
      <c r="F688" t="s">
        <v>187</v>
      </c>
      <c r="G688" t="s">
        <v>3</v>
      </c>
      <c r="H688" t="str">
        <f>VLOOKUP(tblContactoCliente[[#This Row],[id_cliente]],tblClientes[[#All],[id]:[nombre_contacto]],4,0)</f>
        <v>LEONARDO RODRIGUEZ</v>
      </c>
    </row>
    <row r="689" spans="1:8" x14ac:dyDescent="0.25">
      <c r="A689">
        <v>688</v>
      </c>
      <c r="B689">
        <v>688</v>
      </c>
      <c r="C689">
        <v>3132263530</v>
      </c>
      <c r="D689" t="s">
        <v>2636</v>
      </c>
      <c r="F689" t="s">
        <v>4172</v>
      </c>
      <c r="G689" t="s">
        <v>4172</v>
      </c>
      <c r="H689" t="str">
        <f>VLOOKUP(tblContactoCliente[[#This Row],[id_cliente]],tblClientes[[#All],[id]:[nombre_contacto]],4,0)</f>
        <v>FREDY DUQUE TORREZ</v>
      </c>
    </row>
    <row r="690" spans="1:8" x14ac:dyDescent="0.25">
      <c r="A690">
        <v>689</v>
      </c>
      <c r="B690">
        <v>689</v>
      </c>
      <c r="C690">
        <v>3008900210</v>
      </c>
      <c r="D690" t="s">
        <v>2638</v>
      </c>
      <c r="F690" t="s">
        <v>2639</v>
      </c>
      <c r="G690" t="s">
        <v>3</v>
      </c>
      <c r="H690" t="str">
        <f>VLOOKUP(tblContactoCliente[[#This Row],[id_cliente]],tblClientes[[#All],[id]:[nombre_contacto]],4,0)</f>
        <v>LUIS BASTIDAS</v>
      </c>
    </row>
    <row r="691" spans="1:8" x14ac:dyDescent="0.25">
      <c r="A691">
        <v>690</v>
      </c>
      <c r="B691">
        <v>690</v>
      </c>
      <c r="C691">
        <v>3115302298</v>
      </c>
      <c r="D691" t="s">
        <v>2643</v>
      </c>
      <c r="F691" t="s">
        <v>2644</v>
      </c>
      <c r="G691" t="s">
        <v>1032</v>
      </c>
      <c r="H691" t="str">
        <f>VLOOKUP(tblContactoCliente[[#This Row],[id_cliente]],tblClientes[[#All],[id]:[nombre_contacto]],4,0)</f>
        <v>MARIA EDITH ESCUDERO</v>
      </c>
    </row>
    <row r="692" spans="1:8" x14ac:dyDescent="0.25">
      <c r="A692">
        <v>691</v>
      </c>
      <c r="B692">
        <v>691</v>
      </c>
      <c r="C692">
        <v>3213070209</v>
      </c>
      <c r="D692" t="s">
        <v>2646</v>
      </c>
      <c r="F692" t="s">
        <v>2647</v>
      </c>
      <c r="G692" t="s">
        <v>3</v>
      </c>
      <c r="H692" t="str">
        <f>VLOOKUP(tblContactoCliente[[#This Row],[id_cliente]],tblClientes[[#All],[id]:[nombre_contacto]],4,0)</f>
        <v>ALEXANDER MENDEZ</v>
      </c>
    </row>
    <row r="693" spans="1:8" x14ac:dyDescent="0.25">
      <c r="A693">
        <v>692</v>
      </c>
      <c r="B693">
        <v>692</v>
      </c>
      <c r="C693">
        <v>3158944923</v>
      </c>
      <c r="D693" t="s">
        <v>2650</v>
      </c>
      <c r="F693" t="s">
        <v>187</v>
      </c>
      <c r="G693" t="s">
        <v>3</v>
      </c>
      <c r="H693" t="str">
        <f>VLOOKUP(tblContactoCliente[[#This Row],[id_cliente]],tblClientes[[#All],[id]:[nombre_contacto]],4,0)</f>
        <v>GUILLERMO NIETO</v>
      </c>
    </row>
    <row r="694" spans="1:8" x14ac:dyDescent="0.25">
      <c r="A694">
        <v>693</v>
      </c>
      <c r="B694">
        <v>693</v>
      </c>
      <c r="C694">
        <v>3138868677</v>
      </c>
      <c r="D694" t="s">
        <v>2653</v>
      </c>
      <c r="F694" t="s">
        <v>331</v>
      </c>
      <c r="G694" t="s">
        <v>3</v>
      </c>
      <c r="H694" t="str">
        <f>VLOOKUP(tblContactoCliente[[#This Row],[id_cliente]],tblClientes[[#All],[id]:[nombre_contacto]],4,0)</f>
        <v>ALEXANDER LOPEZ</v>
      </c>
    </row>
    <row r="695" spans="1:8" x14ac:dyDescent="0.25">
      <c r="A695">
        <v>694</v>
      </c>
      <c r="B695">
        <v>694</v>
      </c>
      <c r="C695">
        <v>0</v>
      </c>
      <c r="D695">
        <v>0</v>
      </c>
      <c r="F695">
        <v>0</v>
      </c>
      <c r="G695" t="s">
        <v>3</v>
      </c>
      <c r="H695" t="str">
        <f>VLOOKUP(tblContactoCliente[[#This Row],[id_cliente]],tblClientes[[#All],[id]:[nombre_contacto]],4,0)</f>
        <v>HUGO SOLER</v>
      </c>
    </row>
    <row r="696" spans="1:8" x14ac:dyDescent="0.25">
      <c r="A696">
        <v>695</v>
      </c>
      <c r="B696">
        <v>695</v>
      </c>
      <c r="C696">
        <v>3132035842</v>
      </c>
      <c r="D696" t="s">
        <v>2658</v>
      </c>
      <c r="F696" t="s">
        <v>1649</v>
      </c>
      <c r="G696" t="s">
        <v>3</v>
      </c>
      <c r="H696" t="str">
        <f>VLOOKUP(tblContactoCliente[[#This Row],[id_cliente]],tblClientes[[#All],[id]:[nombre_contacto]],4,0)</f>
        <v>MARTHA CHIQUITO</v>
      </c>
    </row>
    <row r="697" spans="1:8" x14ac:dyDescent="0.25">
      <c r="A697">
        <v>696</v>
      </c>
      <c r="B697">
        <v>696</v>
      </c>
      <c r="C697">
        <v>3125897245</v>
      </c>
      <c r="D697" t="s">
        <v>2660</v>
      </c>
      <c r="F697" t="s">
        <v>2661</v>
      </c>
      <c r="G697" t="s">
        <v>3</v>
      </c>
      <c r="H697" t="str">
        <f>VLOOKUP(tblContactoCliente[[#This Row],[id_cliente]],tblClientes[[#All],[id]:[nombre_contacto]],4,0)</f>
        <v xml:space="preserve">RODRIGO RACINES </v>
      </c>
    </row>
    <row r="698" spans="1:8" x14ac:dyDescent="0.25">
      <c r="A698">
        <v>697</v>
      </c>
      <c r="B698">
        <v>697</v>
      </c>
      <c r="C698">
        <v>3227687940</v>
      </c>
      <c r="D698" t="s">
        <v>2664</v>
      </c>
      <c r="F698" t="s">
        <v>2665</v>
      </c>
      <c r="G698" t="s">
        <v>3</v>
      </c>
      <c r="H698" t="str">
        <f>VLOOKUP(tblContactoCliente[[#This Row],[id_cliente]],tblClientes[[#All],[id]:[nombre_contacto]],4,0)</f>
        <v xml:space="preserve">JEFER ERNESTO UBAQUE DIAZ </v>
      </c>
    </row>
    <row r="699" spans="1:8" x14ac:dyDescent="0.25">
      <c r="A699">
        <v>698</v>
      </c>
      <c r="B699">
        <v>698</v>
      </c>
      <c r="C699">
        <v>3202630035</v>
      </c>
      <c r="D699" t="s">
        <v>2667</v>
      </c>
      <c r="F699" t="s">
        <v>2668</v>
      </c>
      <c r="G699" t="s">
        <v>3</v>
      </c>
      <c r="H699" t="str">
        <f>VLOOKUP(tblContactoCliente[[#This Row],[id_cliente]],tblClientes[[#All],[id]:[nombre_contacto]],4,0)</f>
        <v xml:space="preserve">ADRIANA MONTOYA </v>
      </c>
    </row>
    <row r="700" spans="1:8" x14ac:dyDescent="0.25">
      <c r="A700">
        <v>699</v>
      </c>
      <c r="B700">
        <v>699</v>
      </c>
      <c r="C700" s="15">
        <v>3202630035</v>
      </c>
      <c r="D700" t="s">
        <v>2667</v>
      </c>
      <c r="F700" t="s">
        <v>2668</v>
      </c>
      <c r="G700" t="s">
        <v>3</v>
      </c>
      <c r="H700" t="str">
        <f>VLOOKUP(tblContactoCliente[[#This Row],[id_cliente]],tblClientes[[#All],[id]:[nombre_contacto]],4,0)</f>
        <v>ADRIANA MONTOYA</v>
      </c>
    </row>
    <row r="701" spans="1:8" x14ac:dyDescent="0.25">
      <c r="A701">
        <v>700</v>
      </c>
      <c r="B701">
        <v>700</v>
      </c>
      <c r="C701" s="15">
        <v>3202630035</v>
      </c>
      <c r="D701" t="s">
        <v>2667</v>
      </c>
      <c r="F701" t="s">
        <v>2668</v>
      </c>
      <c r="G701" t="s">
        <v>3</v>
      </c>
      <c r="H701" t="str">
        <f>VLOOKUP(tblContactoCliente[[#This Row],[id_cliente]],tblClientes[[#All],[id]:[nombre_contacto]],4,0)</f>
        <v>ADRIANA MONTOYA ESTUPIÑAN</v>
      </c>
    </row>
    <row r="702" spans="1:8" x14ac:dyDescent="0.25">
      <c r="A702">
        <v>701</v>
      </c>
      <c r="B702">
        <v>701</v>
      </c>
      <c r="C702" s="15">
        <v>3103000619</v>
      </c>
      <c r="D702" t="s">
        <v>2399</v>
      </c>
      <c r="F702" t="s">
        <v>2399</v>
      </c>
      <c r="G702" t="s">
        <v>3</v>
      </c>
      <c r="H702" t="str">
        <f>VLOOKUP(tblContactoCliente[[#This Row],[id_cliente]],tblClientes[[#All],[id]:[nombre_contacto]],4,0)</f>
        <v>OSCAR DUQUE</v>
      </c>
    </row>
    <row r="703" spans="1:8" x14ac:dyDescent="0.25">
      <c r="A703">
        <v>702</v>
      </c>
      <c r="B703">
        <v>702</v>
      </c>
      <c r="C703" s="15">
        <v>3205183122</v>
      </c>
      <c r="D703" t="s">
        <v>2674</v>
      </c>
      <c r="F703" t="s">
        <v>2674</v>
      </c>
      <c r="G703" t="s">
        <v>3</v>
      </c>
      <c r="H703" t="str">
        <f>VLOOKUP(tblContactoCliente[[#This Row],[id_cliente]],tblClientes[[#All],[id]:[nombre_contacto]],4,0)</f>
        <v>MARITZA SUAREZ</v>
      </c>
    </row>
    <row r="704" spans="1:8" x14ac:dyDescent="0.25">
      <c r="A704">
        <v>703</v>
      </c>
      <c r="B704">
        <v>703</v>
      </c>
      <c r="C704">
        <v>3002794811</v>
      </c>
      <c r="D704" t="s">
        <v>1739</v>
      </c>
      <c r="F704" t="s">
        <v>2676</v>
      </c>
      <c r="G704" t="s">
        <v>3</v>
      </c>
      <c r="H704" t="str">
        <f>VLOOKUP(tblContactoCliente[[#This Row],[id_cliente]],tblClientes[[#All],[id]:[nombre_contacto]],4,0)</f>
        <v>KAREN GONZALEZ</v>
      </c>
    </row>
    <row r="705" spans="1:8" x14ac:dyDescent="0.25">
      <c r="A705">
        <v>704</v>
      </c>
      <c r="B705">
        <v>704</v>
      </c>
      <c r="C705">
        <v>3118315551</v>
      </c>
      <c r="D705" t="s">
        <v>2679</v>
      </c>
      <c r="F705" t="s">
        <v>496</v>
      </c>
      <c r="G705" t="s">
        <v>3</v>
      </c>
      <c r="H705" t="str">
        <f>VLOOKUP(tblContactoCliente[[#This Row],[id_cliente]],tblClientes[[#All],[id]:[nombre_contacto]],4,0)</f>
        <v>MIRIAM OLGUIN</v>
      </c>
    </row>
    <row r="706" spans="1:8" x14ac:dyDescent="0.25">
      <c r="A706">
        <v>705</v>
      </c>
      <c r="B706">
        <v>705</v>
      </c>
      <c r="C706">
        <v>31664486902</v>
      </c>
      <c r="D706" t="s">
        <v>2682</v>
      </c>
      <c r="F706" t="s">
        <v>2582</v>
      </c>
      <c r="G706" t="s">
        <v>7</v>
      </c>
      <c r="H706" t="str">
        <f>VLOOKUP(tblContactoCliente[[#This Row],[id_cliente]],tblClientes[[#All],[id]:[nombre_contacto]],4,0)</f>
        <v>CARLOS PUERTA</v>
      </c>
    </row>
    <row r="707" spans="1:8" x14ac:dyDescent="0.25">
      <c r="A707">
        <v>706</v>
      </c>
      <c r="B707">
        <v>706</v>
      </c>
      <c r="C707">
        <v>3148275897</v>
      </c>
      <c r="D707" t="s">
        <v>2684</v>
      </c>
      <c r="F707" t="s">
        <v>2685</v>
      </c>
      <c r="G707" t="s">
        <v>3</v>
      </c>
      <c r="H707" t="str">
        <f>VLOOKUP(tblContactoCliente[[#This Row],[id_cliente]],tblClientes[[#All],[id]:[nombre_contacto]],4,0)</f>
        <v>LEONEL PARRA</v>
      </c>
    </row>
    <row r="708" spans="1:8" x14ac:dyDescent="0.25">
      <c r="A708">
        <v>707</v>
      </c>
      <c r="B708">
        <v>707</v>
      </c>
      <c r="C708">
        <v>3053173099</v>
      </c>
      <c r="D708" t="s">
        <v>2687</v>
      </c>
      <c r="F708" t="s">
        <v>2688</v>
      </c>
      <c r="G708" t="s">
        <v>3</v>
      </c>
      <c r="H708" t="str">
        <f>VLOOKUP(tblContactoCliente[[#This Row],[id_cliente]],tblClientes[[#All],[id]:[nombre_contacto]],4,0)</f>
        <v>CARLOS ARTURO MATEUS</v>
      </c>
    </row>
    <row r="709" spans="1:8" x14ac:dyDescent="0.25">
      <c r="A709">
        <v>708</v>
      </c>
      <c r="B709">
        <v>708</v>
      </c>
      <c r="C709" s="15">
        <v>3125928886</v>
      </c>
      <c r="D709" t="s">
        <v>2690</v>
      </c>
      <c r="F709" t="s">
        <v>187</v>
      </c>
      <c r="G709" t="s">
        <v>2691</v>
      </c>
      <c r="H709" t="str">
        <f>VLOOKUP(tblContactoCliente[[#This Row],[id_cliente]],tblClientes[[#All],[id]:[nombre_contacto]],4,0)</f>
        <v>ZULMA MARTINEZ</v>
      </c>
    </row>
    <row r="710" spans="1:8" x14ac:dyDescent="0.25">
      <c r="A710">
        <v>709</v>
      </c>
      <c r="B710">
        <v>709</v>
      </c>
      <c r="C710">
        <v>3102296375</v>
      </c>
      <c r="D710" t="s">
        <v>2695</v>
      </c>
      <c r="F710" t="s">
        <v>2696</v>
      </c>
      <c r="G710" t="s">
        <v>3</v>
      </c>
      <c r="H710" t="str">
        <f>VLOOKUP(tblContactoCliente[[#This Row],[id_cliente]],tblClientes[[#All],[id]:[nombre_contacto]],4,0)</f>
        <v>FABIAN GODOY</v>
      </c>
    </row>
    <row r="711" spans="1:8" x14ac:dyDescent="0.25">
      <c r="A711">
        <v>710</v>
      </c>
      <c r="B711">
        <v>710</v>
      </c>
      <c r="C711" t="s">
        <v>4172</v>
      </c>
      <c r="D711" t="s">
        <v>2699</v>
      </c>
      <c r="F711" t="s">
        <v>2123</v>
      </c>
      <c r="G711" t="s">
        <v>2691</v>
      </c>
      <c r="H711" t="str">
        <f>VLOOKUP(tblContactoCliente[[#This Row],[id_cliente]],tblClientes[[#All],[id]:[nombre_contacto]],4,0)</f>
        <v>LUIS ANTONIO MENESES</v>
      </c>
    </row>
    <row r="712" spans="1:8" x14ac:dyDescent="0.25">
      <c r="A712">
        <v>711</v>
      </c>
      <c r="B712">
        <v>711</v>
      </c>
      <c r="C712" s="15">
        <v>3045898689</v>
      </c>
      <c r="D712" t="s">
        <v>2702</v>
      </c>
      <c r="F712" t="s">
        <v>2703</v>
      </c>
      <c r="G712" t="s">
        <v>2691</v>
      </c>
      <c r="H712" t="str">
        <f>VLOOKUP(tblContactoCliente[[#This Row],[id_cliente]],tblClientes[[#All],[id]:[nombre_contacto]],4,0)</f>
        <v>ANDRES RODRIGUEZ</v>
      </c>
    </row>
    <row r="713" spans="1:8" x14ac:dyDescent="0.25">
      <c r="A713">
        <v>712</v>
      </c>
      <c r="B713">
        <v>712</v>
      </c>
      <c r="C713" s="15">
        <v>3204589288</v>
      </c>
      <c r="D713" t="s">
        <v>2707</v>
      </c>
      <c r="F713" t="s">
        <v>2708</v>
      </c>
      <c r="G713" t="s">
        <v>2691</v>
      </c>
      <c r="H713" t="str">
        <f>VLOOKUP(tblContactoCliente[[#This Row],[id_cliente]],tblClientes[[#All],[id]:[nombre_contacto]],4,0)</f>
        <v>MARCELA HERNANDEZ</v>
      </c>
    </row>
    <row r="714" spans="1:8" x14ac:dyDescent="0.25">
      <c r="A714">
        <v>713</v>
      </c>
      <c r="B714">
        <v>713</v>
      </c>
      <c r="C714" s="15">
        <v>3143528339</v>
      </c>
      <c r="D714" t="s">
        <v>2711</v>
      </c>
      <c r="F714" t="s">
        <v>1087</v>
      </c>
      <c r="G714" t="s">
        <v>2691</v>
      </c>
      <c r="H714" t="str">
        <f>VLOOKUP(tblContactoCliente[[#This Row],[id_cliente]],tblClientes[[#All],[id]:[nombre_contacto]],4,0)</f>
        <v>JUAN CARLOS MARTINEZ</v>
      </c>
    </row>
    <row r="715" spans="1:8" x14ac:dyDescent="0.25">
      <c r="A715">
        <v>714</v>
      </c>
      <c r="B715">
        <v>714</v>
      </c>
      <c r="C715" s="15">
        <v>3203396503</v>
      </c>
      <c r="D715" t="s">
        <v>2717</v>
      </c>
      <c r="F715" t="s">
        <v>1750</v>
      </c>
      <c r="G715" t="s">
        <v>2691</v>
      </c>
      <c r="H715" t="str">
        <f>VLOOKUP(tblContactoCliente[[#This Row],[id_cliente]],tblClientes[[#All],[id]:[nombre_contacto]],4,0)</f>
        <v>JORGE CASALLAS</v>
      </c>
    </row>
    <row r="716" spans="1:8" x14ac:dyDescent="0.25">
      <c r="A716">
        <v>715</v>
      </c>
      <c r="B716">
        <v>715</v>
      </c>
      <c r="C716" s="15">
        <v>3202639888</v>
      </c>
      <c r="D716" t="s">
        <v>2720</v>
      </c>
      <c r="F716" t="s">
        <v>391</v>
      </c>
      <c r="G716" t="s">
        <v>3</v>
      </c>
      <c r="H716" t="str">
        <f>VLOOKUP(tblContactoCliente[[#This Row],[id_cliente]],tblClientes[[#All],[id]:[nombre_contacto]],4,0)</f>
        <v>ANCELMO ROJAS PAEZ</v>
      </c>
    </row>
    <row r="717" spans="1:8" x14ac:dyDescent="0.25">
      <c r="A717">
        <v>716</v>
      </c>
      <c r="B717">
        <v>716</v>
      </c>
      <c r="C717" s="15">
        <v>3154083811</v>
      </c>
      <c r="D717" t="s">
        <v>2723</v>
      </c>
      <c r="F717" t="s">
        <v>2724</v>
      </c>
      <c r="G717" t="s">
        <v>2725</v>
      </c>
      <c r="H717" t="str">
        <f>VLOOKUP(tblContactoCliente[[#This Row],[id_cliente]],tblClientes[[#All],[id]:[nombre_contacto]],4,0)</f>
        <v>HENRIQUE SALAZAR</v>
      </c>
    </row>
    <row r="718" spans="1:8" x14ac:dyDescent="0.25">
      <c r="A718">
        <v>717</v>
      </c>
      <c r="B718">
        <v>717</v>
      </c>
      <c r="C718" s="15">
        <v>3117206867</v>
      </c>
      <c r="D718" t="s">
        <v>2732</v>
      </c>
      <c r="F718" t="s">
        <v>2733</v>
      </c>
      <c r="G718" t="s">
        <v>16</v>
      </c>
      <c r="H718" t="str">
        <f>VLOOKUP(tblContactoCliente[[#This Row],[id_cliente]],tblClientes[[#All],[id]:[nombre_contacto]],4,0)</f>
        <v xml:space="preserve">ILARIO ABAD NARANJO PEREZ </v>
      </c>
    </row>
    <row r="719" spans="1:8" x14ac:dyDescent="0.25">
      <c r="A719">
        <v>718</v>
      </c>
      <c r="B719">
        <v>718</v>
      </c>
      <c r="C719" s="15">
        <v>3204933445</v>
      </c>
      <c r="D719" t="s">
        <v>2739</v>
      </c>
      <c r="F719" t="s">
        <v>391</v>
      </c>
      <c r="G719" t="s">
        <v>3</v>
      </c>
      <c r="H719" t="str">
        <f>VLOOKUP(tblContactoCliente[[#This Row],[id_cliente]],tblClientes[[#All],[id]:[nombre_contacto]],4,0)</f>
        <v>ARACELY URBINA</v>
      </c>
    </row>
    <row r="720" spans="1:8" x14ac:dyDescent="0.25">
      <c r="A720">
        <v>719</v>
      </c>
      <c r="B720">
        <v>719</v>
      </c>
      <c r="C720" s="15">
        <v>3144343676</v>
      </c>
      <c r="D720" t="s">
        <v>2743</v>
      </c>
      <c r="F720" t="s">
        <v>1707</v>
      </c>
      <c r="G720" t="s">
        <v>3</v>
      </c>
      <c r="H720" t="str">
        <f>VLOOKUP(tblContactoCliente[[#This Row],[id_cliente]],tblClientes[[#All],[id]:[nombre_contacto]],4,0)</f>
        <v>LIBARDO RODRIGUEZ</v>
      </c>
    </row>
    <row r="721" spans="1:8" x14ac:dyDescent="0.25">
      <c r="A721">
        <v>720</v>
      </c>
      <c r="B721">
        <v>720</v>
      </c>
      <c r="C721" s="15">
        <v>3103025970</v>
      </c>
      <c r="D721" t="s">
        <v>2745</v>
      </c>
      <c r="F721" t="s">
        <v>2696</v>
      </c>
      <c r="G721" t="s">
        <v>3</v>
      </c>
      <c r="H721" t="str">
        <f>VLOOKUP(tblContactoCliente[[#This Row],[id_cliente]],tblClientes[[#All],[id]:[nombre_contacto]],4,0)</f>
        <v>ALBA DILIA CASTELLANOS</v>
      </c>
    </row>
    <row r="722" spans="1:8" x14ac:dyDescent="0.25">
      <c r="A722">
        <v>721</v>
      </c>
      <c r="B722">
        <v>721</v>
      </c>
      <c r="C722" s="15">
        <v>3203650846</v>
      </c>
      <c r="D722" t="s">
        <v>2747</v>
      </c>
      <c r="F722" t="s">
        <v>2748</v>
      </c>
      <c r="G722" t="s">
        <v>3</v>
      </c>
      <c r="H722" t="str">
        <f>VLOOKUP(tblContactoCliente[[#This Row],[id_cliente]],tblClientes[[#All],[id]:[nombre_contacto]],4,0)</f>
        <v xml:space="preserve">ELVER PARAMO </v>
      </c>
    </row>
    <row r="723" spans="1:8" x14ac:dyDescent="0.25">
      <c r="A723">
        <v>722</v>
      </c>
      <c r="B723">
        <v>722</v>
      </c>
      <c r="C723" s="15">
        <v>3147197674</v>
      </c>
      <c r="D723" t="s">
        <v>2755</v>
      </c>
      <c r="F723" t="s">
        <v>2123</v>
      </c>
      <c r="G723" t="s">
        <v>3</v>
      </c>
      <c r="H723" t="str">
        <f>VLOOKUP(tblContactoCliente[[#This Row],[id_cliente]],tblClientes[[#All],[id]:[nombre_contacto]],4,0)</f>
        <v>SANDRA NEUSA</v>
      </c>
    </row>
    <row r="724" spans="1:8" x14ac:dyDescent="0.25">
      <c r="A724">
        <v>723</v>
      </c>
      <c r="B724">
        <v>723</v>
      </c>
      <c r="C724" s="15">
        <v>3014883080</v>
      </c>
      <c r="D724" t="s">
        <v>2757</v>
      </c>
      <c r="F724" t="s">
        <v>410</v>
      </c>
      <c r="G724" t="s">
        <v>3</v>
      </c>
      <c r="H724" t="str">
        <f>VLOOKUP(tblContactoCliente[[#This Row],[id_cliente]],tblClientes[[#All],[id]:[nombre_contacto]],4,0)</f>
        <v>FERNANDO SAENZ</v>
      </c>
    </row>
    <row r="725" spans="1:8" x14ac:dyDescent="0.25">
      <c r="A725">
        <v>724</v>
      </c>
      <c r="B725">
        <v>724</v>
      </c>
      <c r="C725" s="15">
        <v>3108748224</v>
      </c>
      <c r="D725" t="s">
        <v>2759</v>
      </c>
      <c r="F725" t="s">
        <v>1109</v>
      </c>
      <c r="G725" t="s">
        <v>3</v>
      </c>
      <c r="H725" t="str">
        <f>VLOOKUP(tblContactoCliente[[#This Row],[id_cliente]],tblClientes[[#All],[id]:[nombre_contacto]],4,0)</f>
        <v>JUAN SEBASTIAN REYES</v>
      </c>
    </row>
    <row r="726" spans="1:8" x14ac:dyDescent="0.25">
      <c r="A726">
        <v>725</v>
      </c>
      <c r="B726">
        <v>725</v>
      </c>
      <c r="C726" s="15">
        <v>3145197674</v>
      </c>
      <c r="D726" t="s">
        <v>2761</v>
      </c>
      <c r="F726" t="s">
        <v>2123</v>
      </c>
      <c r="G726" t="s">
        <v>3</v>
      </c>
      <c r="H726" t="str">
        <f>VLOOKUP(tblContactoCliente[[#This Row],[id_cliente]],tblClientes[[#All],[id]:[nombre_contacto]],4,0)</f>
        <v>SANDRA NEUSA</v>
      </c>
    </row>
    <row r="727" spans="1:8" x14ac:dyDescent="0.25">
      <c r="A727">
        <v>726</v>
      </c>
      <c r="B727">
        <v>726</v>
      </c>
      <c r="C727">
        <v>3008955228</v>
      </c>
      <c r="D727" t="s">
        <v>2763</v>
      </c>
      <c r="F727" t="s">
        <v>1098</v>
      </c>
      <c r="G727" t="s">
        <v>3</v>
      </c>
      <c r="H727" t="str">
        <f>VLOOKUP(tblContactoCliente[[#This Row],[id_cliente]],tblClientes[[#All],[id]:[nombre_contacto]],4,0)</f>
        <v>RICARDO SANABRIA</v>
      </c>
    </row>
    <row r="728" spans="1:8" x14ac:dyDescent="0.25">
      <c r="A728">
        <v>727</v>
      </c>
      <c r="B728">
        <v>727</v>
      </c>
      <c r="C728">
        <v>3112658474</v>
      </c>
      <c r="D728" t="s">
        <v>2766</v>
      </c>
      <c r="F728" t="s">
        <v>1649</v>
      </c>
      <c r="G728" t="s">
        <v>3</v>
      </c>
      <c r="H728" t="str">
        <f>VLOOKUP(tblContactoCliente[[#This Row],[id_cliente]],tblClientes[[#All],[id]:[nombre_contacto]],4,0)</f>
        <v>YUBELY MARTINEZ</v>
      </c>
    </row>
    <row r="729" spans="1:8" x14ac:dyDescent="0.25">
      <c r="A729">
        <v>728</v>
      </c>
      <c r="B729">
        <v>728</v>
      </c>
      <c r="C729">
        <v>3104799975</v>
      </c>
      <c r="G729" t="s">
        <v>3</v>
      </c>
      <c r="H729" t="str">
        <f>VLOOKUP(tblContactoCliente[[#This Row],[id_cliente]],tblClientes[[#All],[id]:[nombre_contacto]],4,0)</f>
        <v>FERNANDO CARDONA</v>
      </c>
    </row>
    <row r="730" spans="1:8" x14ac:dyDescent="0.25">
      <c r="A730">
        <v>729</v>
      </c>
      <c r="B730">
        <v>729</v>
      </c>
      <c r="C730" s="15">
        <v>3022662377</v>
      </c>
      <c r="D730" t="s">
        <v>4172</v>
      </c>
      <c r="F730" t="s">
        <v>4172</v>
      </c>
      <c r="G730" t="s">
        <v>3</v>
      </c>
      <c r="H730" t="str">
        <f>VLOOKUP(tblContactoCliente[[#This Row],[id_cliente]],tblClientes[[#All],[id]:[nombre_contacto]],4,0)</f>
        <v>WILMER TORRES</v>
      </c>
    </row>
    <row r="731" spans="1:8" x14ac:dyDescent="0.25">
      <c r="A731">
        <v>730</v>
      </c>
      <c r="B731">
        <v>730</v>
      </c>
      <c r="C731" s="15">
        <v>3165097551</v>
      </c>
      <c r="D731" t="s">
        <v>2770</v>
      </c>
      <c r="F731" t="s">
        <v>2771</v>
      </c>
      <c r="G731" t="s">
        <v>165</v>
      </c>
      <c r="H731" t="str">
        <f>VLOOKUP(tblContactoCliente[[#This Row],[id_cliente]],tblClientes[[#All],[id]:[nombre_contacto]],4,0)</f>
        <v>OSMAN VERA ELOING</v>
      </c>
    </row>
    <row r="732" spans="1:8" x14ac:dyDescent="0.25">
      <c r="A732">
        <v>731</v>
      </c>
      <c r="B732">
        <v>731</v>
      </c>
      <c r="C732" s="15">
        <v>3104893956</v>
      </c>
      <c r="D732" t="s">
        <v>2773</v>
      </c>
      <c r="F732" t="s">
        <v>1931</v>
      </c>
      <c r="G732" t="s">
        <v>3</v>
      </c>
      <c r="H732" t="str">
        <f>VLOOKUP(tblContactoCliente[[#This Row],[id_cliente]],tblClientes[[#All],[id]:[nombre_contacto]],4,0)</f>
        <v>NELSON LOPEZ</v>
      </c>
    </row>
    <row r="733" spans="1:8" x14ac:dyDescent="0.25">
      <c r="A733">
        <v>732</v>
      </c>
      <c r="B733">
        <v>732</v>
      </c>
      <c r="C733">
        <v>3143592826</v>
      </c>
      <c r="D733" t="s">
        <v>2776</v>
      </c>
      <c r="F733" t="s">
        <v>2777</v>
      </c>
      <c r="G733" t="s">
        <v>3</v>
      </c>
      <c r="H733" t="str">
        <f>VLOOKUP(tblContactoCliente[[#This Row],[id_cliente]],tblClientes[[#All],[id]:[nombre_contacto]],4,0)</f>
        <v>CATALINA ORTIZ</v>
      </c>
    </row>
    <row r="734" spans="1:8" x14ac:dyDescent="0.25">
      <c r="A734">
        <v>733</v>
      </c>
      <c r="B734">
        <v>733</v>
      </c>
      <c r="C734" s="15">
        <v>3143331010</v>
      </c>
      <c r="D734" t="s">
        <v>2781</v>
      </c>
      <c r="F734" t="s">
        <v>2782</v>
      </c>
      <c r="G734" t="s">
        <v>3</v>
      </c>
      <c r="H734" t="str">
        <f>VLOOKUP(tblContactoCliente[[#This Row],[id_cliente]],tblClientes[[#All],[id]:[nombre_contacto]],4,0)</f>
        <v>MARIA TEREZA NIETO</v>
      </c>
    </row>
    <row r="735" spans="1:8" x14ac:dyDescent="0.25">
      <c r="A735">
        <v>734</v>
      </c>
      <c r="B735">
        <v>734</v>
      </c>
      <c r="C735" s="15">
        <v>3206948603</v>
      </c>
      <c r="D735" t="s">
        <v>2786</v>
      </c>
      <c r="F735" t="s">
        <v>4172</v>
      </c>
      <c r="G735" t="s">
        <v>16</v>
      </c>
      <c r="H735" t="str">
        <f>VLOOKUP(tblContactoCliente[[#This Row],[id_cliente]],tblClientes[[#All],[id]:[nombre_contacto]],4,0)</f>
        <v>SEBASTIAN RAMIREZ GOMEZ (MAGOO)</v>
      </c>
    </row>
    <row r="736" spans="1:8" x14ac:dyDescent="0.25">
      <c r="A736">
        <v>735</v>
      </c>
      <c r="B736">
        <v>735</v>
      </c>
      <c r="C736" s="15">
        <v>3138157140</v>
      </c>
      <c r="D736" t="s">
        <v>2789</v>
      </c>
      <c r="F736" t="s">
        <v>2790</v>
      </c>
      <c r="G736" t="s">
        <v>3</v>
      </c>
      <c r="H736" t="str">
        <f>VLOOKUP(tblContactoCliente[[#This Row],[id_cliente]],tblClientes[[#All],[id]:[nombre_contacto]],4,0)</f>
        <v>WILSON ALVAREZ</v>
      </c>
    </row>
    <row r="737" spans="1:8" x14ac:dyDescent="0.25">
      <c r="A737">
        <v>736</v>
      </c>
      <c r="B737">
        <v>736</v>
      </c>
      <c r="C737" s="15">
        <v>3112901608</v>
      </c>
      <c r="D737" t="s">
        <v>2795</v>
      </c>
      <c r="F737" t="s">
        <v>1577</v>
      </c>
      <c r="G737" t="s">
        <v>3</v>
      </c>
      <c r="H737" t="str">
        <f>VLOOKUP(tblContactoCliente[[#This Row],[id_cliente]],tblClientes[[#All],[id]:[nombre_contacto]],4,0)</f>
        <v>JAIME REYES GUEVARA</v>
      </c>
    </row>
    <row r="738" spans="1:8" x14ac:dyDescent="0.25">
      <c r="A738">
        <v>737</v>
      </c>
      <c r="B738">
        <v>737</v>
      </c>
      <c r="C738" s="15">
        <v>3115127892</v>
      </c>
      <c r="D738" t="s">
        <v>2797</v>
      </c>
      <c r="F738" t="s">
        <v>747</v>
      </c>
      <c r="G738" t="s">
        <v>3</v>
      </c>
      <c r="H738" t="str">
        <f>VLOOKUP(tblContactoCliente[[#This Row],[id_cliente]],tblClientes[[#All],[id]:[nombre_contacto]],4,0)</f>
        <v>JOSE  USECHE</v>
      </c>
    </row>
    <row r="739" spans="1:8" x14ac:dyDescent="0.25">
      <c r="A739">
        <v>738</v>
      </c>
      <c r="B739">
        <v>738</v>
      </c>
      <c r="C739" s="15">
        <v>3144764496</v>
      </c>
      <c r="D739" t="s">
        <v>2799</v>
      </c>
      <c r="F739" t="s">
        <v>2800</v>
      </c>
      <c r="G739" t="s">
        <v>3</v>
      </c>
      <c r="H739" t="str">
        <f>VLOOKUP(tblContactoCliente[[#This Row],[id_cliente]],tblClientes[[#All],[id]:[nombre_contacto]],4,0)</f>
        <v>ALFONSO MARTINEZ C</v>
      </c>
    </row>
    <row r="740" spans="1:8" x14ac:dyDescent="0.25">
      <c r="A740">
        <v>739</v>
      </c>
      <c r="B740">
        <v>739</v>
      </c>
      <c r="C740" s="15">
        <v>3017076839</v>
      </c>
      <c r="D740" t="s">
        <v>2803</v>
      </c>
      <c r="F740" t="s">
        <v>2674</v>
      </c>
      <c r="G740" t="s">
        <v>3</v>
      </c>
      <c r="H740" t="str">
        <f>VLOOKUP(tblContactoCliente[[#This Row],[id_cliente]],tblClientes[[#All],[id]:[nombre_contacto]],4,0)</f>
        <v>MIGUEL RUIZ</v>
      </c>
    </row>
    <row r="741" spans="1:8" x14ac:dyDescent="0.25">
      <c r="A741">
        <v>740</v>
      </c>
      <c r="B741">
        <v>740</v>
      </c>
      <c r="C741" s="15">
        <v>3057065668</v>
      </c>
      <c r="D741" t="s">
        <v>2</v>
      </c>
      <c r="F741" t="s">
        <v>4172</v>
      </c>
      <c r="G741" t="s">
        <v>3</v>
      </c>
      <c r="H741" t="str">
        <f>VLOOKUP(tblContactoCliente[[#This Row],[id_cliente]],tblClientes[[#All],[id]:[nombre_contacto]],4,0)</f>
        <v>JOSE LUIS SILVA</v>
      </c>
    </row>
    <row r="742" spans="1:8" x14ac:dyDescent="0.25">
      <c r="A742">
        <v>741</v>
      </c>
      <c r="B742">
        <v>741</v>
      </c>
      <c r="C742" s="15">
        <v>3165532013</v>
      </c>
      <c r="D742" t="s">
        <v>2807</v>
      </c>
      <c r="F742" t="s">
        <v>1181</v>
      </c>
      <c r="G742" t="s">
        <v>3</v>
      </c>
      <c r="H742" t="str">
        <f>VLOOKUP(tblContactoCliente[[#This Row],[id_cliente]],tblClientes[[#All],[id]:[nombre_contacto]],4,0)</f>
        <v>ELSA CRISTINA URREGO</v>
      </c>
    </row>
    <row r="743" spans="1:8" x14ac:dyDescent="0.25">
      <c r="A743">
        <v>742</v>
      </c>
      <c r="B743">
        <v>742</v>
      </c>
      <c r="C743" s="15">
        <v>3143709199</v>
      </c>
      <c r="D743" t="s">
        <v>2810</v>
      </c>
      <c r="F743" t="s">
        <v>2811</v>
      </c>
      <c r="G743" t="s">
        <v>3</v>
      </c>
      <c r="H743" t="str">
        <f>VLOOKUP(tblContactoCliente[[#This Row],[id_cliente]],tblClientes[[#All],[id]:[nombre_contacto]],4,0)</f>
        <v xml:space="preserve">ANGELICA GRANADOS </v>
      </c>
    </row>
    <row r="744" spans="1:8" x14ac:dyDescent="0.25">
      <c r="A744">
        <v>743</v>
      </c>
      <c r="B744">
        <v>743</v>
      </c>
      <c r="C744" s="15">
        <v>3212297338</v>
      </c>
      <c r="D744" t="s">
        <v>2</v>
      </c>
      <c r="F744" t="s">
        <v>4172</v>
      </c>
      <c r="G744" t="s">
        <v>3</v>
      </c>
      <c r="H744" t="str">
        <f>VLOOKUP(tblContactoCliente[[#This Row],[id_cliente]],tblClientes[[#All],[id]:[nombre_contacto]],4,0)</f>
        <v>ALEJANDRO RONCANCIO</v>
      </c>
    </row>
    <row r="745" spans="1:8" x14ac:dyDescent="0.25">
      <c r="A745">
        <v>744</v>
      </c>
      <c r="B745">
        <v>744</v>
      </c>
      <c r="C745" s="15">
        <v>3204514798</v>
      </c>
      <c r="D745" t="s">
        <v>2817</v>
      </c>
      <c r="F745" t="s">
        <v>187</v>
      </c>
      <c r="G745" t="s">
        <v>3</v>
      </c>
      <c r="H745" t="str">
        <f>VLOOKUP(tblContactoCliente[[#This Row],[id_cliente]],tblClientes[[#All],[id]:[nombre_contacto]],4,0)</f>
        <v>FABIAN MUÑOZ</v>
      </c>
    </row>
    <row r="746" spans="1:8" x14ac:dyDescent="0.25">
      <c r="A746">
        <v>745</v>
      </c>
      <c r="B746">
        <v>745</v>
      </c>
      <c r="C746" t="s">
        <v>4172</v>
      </c>
      <c r="D746" t="s">
        <v>2820</v>
      </c>
      <c r="F746" t="s">
        <v>2821</v>
      </c>
      <c r="G746" t="s">
        <v>3</v>
      </c>
      <c r="H746" t="str">
        <f>VLOOKUP(tblContactoCliente[[#This Row],[id_cliente]],tblClientes[[#All],[id]:[nombre_contacto]],4,0)</f>
        <v>HUGO ROMO</v>
      </c>
    </row>
    <row r="747" spans="1:8" x14ac:dyDescent="0.25">
      <c r="A747">
        <v>746</v>
      </c>
      <c r="B747">
        <v>746</v>
      </c>
      <c r="C747" s="15">
        <v>3108127686</v>
      </c>
      <c r="D747" t="s">
        <v>2823</v>
      </c>
      <c r="F747" t="s">
        <v>4172</v>
      </c>
      <c r="G747" t="s">
        <v>3</v>
      </c>
      <c r="H747" t="str">
        <f>VLOOKUP(tblContactoCliente[[#This Row],[id_cliente]],tblClientes[[#All],[id]:[nombre_contacto]],4,0)</f>
        <v>ANDRES CARRILLO</v>
      </c>
    </row>
    <row r="748" spans="1:8" x14ac:dyDescent="0.25">
      <c r="A748">
        <v>747</v>
      </c>
      <c r="B748">
        <v>747</v>
      </c>
      <c r="C748" s="15">
        <v>3217243774</v>
      </c>
      <c r="D748" t="s">
        <v>2829</v>
      </c>
      <c r="F748" t="s">
        <v>187</v>
      </c>
      <c r="G748" t="s">
        <v>3</v>
      </c>
      <c r="H748" t="str">
        <f>VLOOKUP(tblContactoCliente[[#This Row],[id_cliente]],tblClientes[[#All],[id]:[nombre_contacto]],4,0)</f>
        <v>MIGUEL CHAPARRO</v>
      </c>
    </row>
    <row r="749" spans="1:8" x14ac:dyDescent="0.25">
      <c r="A749">
        <v>748</v>
      </c>
      <c r="B749">
        <v>748</v>
      </c>
      <c r="C749" s="15">
        <v>3118956265</v>
      </c>
      <c r="D749" t="s">
        <v>2831</v>
      </c>
      <c r="F749" t="s">
        <v>1707</v>
      </c>
      <c r="G749" t="s">
        <v>3</v>
      </c>
      <c r="H749" t="str">
        <f>VLOOKUP(tblContactoCliente[[#This Row],[id_cliente]],tblClientes[[#All],[id]:[nombre_contacto]],4,0)</f>
        <v>JHON ALEXANDER GOMEZ GARCIA</v>
      </c>
    </row>
    <row r="750" spans="1:8" x14ac:dyDescent="0.25">
      <c r="A750">
        <v>749</v>
      </c>
      <c r="B750">
        <v>749</v>
      </c>
      <c r="C750" s="15">
        <v>3132742414</v>
      </c>
      <c r="D750" t="s">
        <v>2399</v>
      </c>
      <c r="F750" t="s">
        <v>2835</v>
      </c>
      <c r="G750" t="s">
        <v>3</v>
      </c>
      <c r="H750" t="str">
        <f>VLOOKUP(tblContactoCliente[[#This Row],[id_cliente]],tblClientes[[#All],[id]:[nombre_contacto]],4,0)</f>
        <v>GUSTAVO ZAMUDIO</v>
      </c>
    </row>
    <row r="751" spans="1:8" x14ac:dyDescent="0.25">
      <c r="A751">
        <v>750</v>
      </c>
      <c r="B751">
        <v>750</v>
      </c>
      <c r="C751" s="15">
        <v>3045786332</v>
      </c>
      <c r="D751" t="s">
        <v>4172</v>
      </c>
      <c r="F751" t="s">
        <v>1408</v>
      </c>
      <c r="G751" t="s">
        <v>3</v>
      </c>
      <c r="H751" t="str">
        <f>VLOOKUP(tblContactoCliente[[#This Row],[id_cliente]],tblClientes[[#All],[id]:[nombre_contacto]],4,0)</f>
        <v>ERNESTO RICO</v>
      </c>
    </row>
    <row r="752" spans="1:8" x14ac:dyDescent="0.25">
      <c r="A752">
        <v>751</v>
      </c>
      <c r="B752">
        <v>751</v>
      </c>
      <c r="C752" s="15">
        <v>3002721235</v>
      </c>
      <c r="D752" t="s">
        <v>2842</v>
      </c>
      <c r="F752" t="s">
        <v>2843</v>
      </c>
      <c r="G752" t="s">
        <v>3</v>
      </c>
      <c r="H752" t="str">
        <f>VLOOKUP(tblContactoCliente[[#This Row],[id_cliente]],tblClientes[[#All],[id]:[nombre_contacto]],4,0)</f>
        <v>AZUCENA MARTINEZ</v>
      </c>
    </row>
    <row r="753" spans="1:8" x14ac:dyDescent="0.25">
      <c r="A753">
        <v>752</v>
      </c>
      <c r="B753">
        <v>752</v>
      </c>
      <c r="C753" s="15">
        <v>3127073330</v>
      </c>
      <c r="D753" t="s">
        <v>2847</v>
      </c>
      <c r="F753" t="s">
        <v>2848</v>
      </c>
      <c r="G753" t="s">
        <v>16</v>
      </c>
      <c r="H753" t="str">
        <f>VLOOKUP(tblContactoCliente[[#This Row],[id_cliente]],tblClientes[[#All],[id]:[nombre_contacto]],4,0)</f>
        <v>CARLOS QUIROZ</v>
      </c>
    </row>
    <row r="754" spans="1:8" x14ac:dyDescent="0.25">
      <c r="A754">
        <v>753</v>
      </c>
      <c r="B754">
        <v>753</v>
      </c>
      <c r="C754" s="15">
        <v>3213128677</v>
      </c>
      <c r="D754" t="s">
        <v>2853</v>
      </c>
      <c r="F754" t="s">
        <v>1603</v>
      </c>
      <c r="G754" t="s">
        <v>3</v>
      </c>
      <c r="H754" t="str">
        <f>VLOOKUP(tblContactoCliente[[#This Row],[id_cliente]],tblClientes[[#All],[id]:[nombre_contacto]],4,0)</f>
        <v>JIDITH GONZALEZ QUINTERO</v>
      </c>
    </row>
    <row r="755" spans="1:8" x14ac:dyDescent="0.25">
      <c r="A755">
        <v>754</v>
      </c>
      <c r="B755">
        <v>754</v>
      </c>
      <c r="C755" s="15">
        <v>3138282085</v>
      </c>
      <c r="D755" t="s">
        <v>2858</v>
      </c>
      <c r="F755" t="s">
        <v>2859</v>
      </c>
      <c r="G755" t="s">
        <v>3</v>
      </c>
      <c r="H755" t="str">
        <f>VLOOKUP(tblContactoCliente[[#This Row],[id_cliente]],tblClientes[[#All],[id]:[nombre_contacto]],4,0)</f>
        <v>SEBASTIAN ARDILA</v>
      </c>
    </row>
    <row r="756" spans="1:8" x14ac:dyDescent="0.25">
      <c r="A756">
        <v>755</v>
      </c>
      <c r="B756">
        <v>755</v>
      </c>
      <c r="C756" s="15">
        <v>3144573973</v>
      </c>
      <c r="D756" t="s">
        <v>2863</v>
      </c>
      <c r="F756" t="s">
        <v>2864</v>
      </c>
      <c r="G756" t="s">
        <v>3</v>
      </c>
      <c r="H756" t="str">
        <f>VLOOKUP(tblContactoCliente[[#This Row],[id_cliente]],tblClientes[[#All],[id]:[nombre_contacto]],4,0)</f>
        <v>ABEL PARAMO</v>
      </c>
    </row>
    <row r="757" spans="1:8" x14ac:dyDescent="0.25">
      <c r="A757">
        <v>756</v>
      </c>
      <c r="B757">
        <v>756</v>
      </c>
      <c r="C757" s="15">
        <v>3103238869</v>
      </c>
      <c r="D757" t="s">
        <v>2866</v>
      </c>
      <c r="F757" t="s">
        <v>217</v>
      </c>
      <c r="G757" t="s">
        <v>3</v>
      </c>
      <c r="H757" t="str">
        <f>VLOOKUP(tblContactoCliente[[#This Row],[id_cliente]],tblClientes[[#All],[id]:[nombre_contacto]],4,0)</f>
        <v>PEDRO LEON TELLEZ</v>
      </c>
    </row>
    <row r="758" spans="1:8" x14ac:dyDescent="0.25">
      <c r="A758">
        <v>757</v>
      </c>
      <c r="B758">
        <v>757</v>
      </c>
      <c r="C758" s="15">
        <v>3108562635</v>
      </c>
      <c r="D758" t="s">
        <v>2869</v>
      </c>
      <c r="F758" t="s">
        <v>2870</v>
      </c>
      <c r="G758" t="s">
        <v>2871</v>
      </c>
      <c r="H758" t="str">
        <f>VLOOKUP(tblContactoCliente[[#This Row],[id_cliente]],tblClientes[[#All],[id]:[nombre_contacto]],4,0)</f>
        <v>FREDY PLAZAS</v>
      </c>
    </row>
    <row r="759" spans="1:8" x14ac:dyDescent="0.25">
      <c r="A759">
        <v>758</v>
      </c>
      <c r="B759">
        <v>758</v>
      </c>
      <c r="C759" s="15">
        <v>3043399433</v>
      </c>
      <c r="D759" t="s">
        <v>4172</v>
      </c>
      <c r="F759" t="s">
        <v>4172</v>
      </c>
      <c r="G759" t="s">
        <v>7</v>
      </c>
      <c r="H759" t="str">
        <f>VLOOKUP(tblContactoCliente[[#This Row],[id_cliente]],tblClientes[[#All],[id]:[nombre_contacto]],4,0)</f>
        <v>CRISTIAN VASQUEZ</v>
      </c>
    </row>
    <row r="760" spans="1:8" x14ac:dyDescent="0.25">
      <c r="A760">
        <v>759</v>
      </c>
      <c r="B760">
        <v>759</v>
      </c>
      <c r="C760" s="15">
        <v>3192112050</v>
      </c>
      <c r="D760" t="s">
        <v>2877</v>
      </c>
      <c r="F760" t="s">
        <v>2878</v>
      </c>
      <c r="G760" t="s">
        <v>3</v>
      </c>
      <c r="H760" t="str">
        <f>VLOOKUP(tblContactoCliente[[#This Row],[id_cliente]],tblClientes[[#All],[id]:[nombre_contacto]],4,0)</f>
        <v>CARLOS GALVIS</v>
      </c>
    </row>
    <row r="761" spans="1:8" x14ac:dyDescent="0.25">
      <c r="A761">
        <v>760</v>
      </c>
      <c r="B761">
        <v>760</v>
      </c>
      <c r="C761" s="15">
        <v>3112460186</v>
      </c>
      <c r="D761" t="s">
        <v>2880</v>
      </c>
      <c r="F761" t="s">
        <v>527</v>
      </c>
      <c r="G761" t="s">
        <v>3</v>
      </c>
      <c r="H761" t="str">
        <f>VLOOKUP(tblContactoCliente[[#This Row],[id_cliente]],tblClientes[[#All],[id]:[nombre_contacto]],4,0)</f>
        <v>ROLANDO BERMUDEZ</v>
      </c>
    </row>
    <row r="762" spans="1:8" x14ac:dyDescent="0.25">
      <c r="A762">
        <v>761</v>
      </c>
      <c r="B762">
        <v>761</v>
      </c>
      <c r="C762" s="15">
        <v>3112444775</v>
      </c>
      <c r="D762" t="s">
        <v>2883</v>
      </c>
      <c r="F762" t="s">
        <v>2604</v>
      </c>
      <c r="G762" t="s">
        <v>3</v>
      </c>
      <c r="H762" t="str">
        <f>VLOOKUP(tblContactoCliente[[#This Row],[id_cliente]],tblClientes[[#All],[id]:[nombre_contacto]],4,0)</f>
        <v xml:space="preserve">ALEJANDRA CASTAÑEDA </v>
      </c>
    </row>
    <row r="763" spans="1:8" x14ac:dyDescent="0.25">
      <c r="A763">
        <v>762</v>
      </c>
      <c r="B763">
        <v>762</v>
      </c>
      <c r="C763" s="15">
        <v>3222111782</v>
      </c>
      <c r="D763" t="s">
        <v>2885</v>
      </c>
      <c r="F763" t="s">
        <v>1032</v>
      </c>
      <c r="G763" t="s">
        <v>3</v>
      </c>
      <c r="H763" t="str">
        <f>VLOOKUP(tblContactoCliente[[#This Row],[id_cliente]],tblClientes[[#All],[id]:[nombre_contacto]],4,0)</f>
        <v>FRANCISCO TORRES</v>
      </c>
    </row>
    <row r="764" spans="1:8" x14ac:dyDescent="0.25">
      <c r="A764">
        <v>763</v>
      </c>
      <c r="B764">
        <v>763</v>
      </c>
      <c r="C764" s="15">
        <v>3138547814</v>
      </c>
      <c r="D764" t="s">
        <v>2422</v>
      </c>
      <c r="F764" t="s">
        <v>205</v>
      </c>
      <c r="G764" t="s">
        <v>3</v>
      </c>
      <c r="H764" t="str">
        <f>VLOOKUP(tblContactoCliente[[#This Row],[id_cliente]],tblClientes[[#All],[id]:[nombre_contacto]],4,0)</f>
        <v>REINALDO MOSQUERA</v>
      </c>
    </row>
    <row r="765" spans="1:8" x14ac:dyDescent="0.25">
      <c r="A765">
        <v>764</v>
      </c>
      <c r="B765">
        <v>764</v>
      </c>
      <c r="C765" t="s">
        <v>4172</v>
      </c>
      <c r="D765" t="s">
        <v>2887</v>
      </c>
      <c r="F765" t="s">
        <v>2888</v>
      </c>
      <c r="G765" t="s">
        <v>467</v>
      </c>
      <c r="H765" t="str">
        <f>VLOOKUP(tblContactoCliente[[#This Row],[id_cliente]],tblClientes[[#All],[id]:[nombre_contacto]],4,0)</f>
        <v>SANDRA ESPITIA</v>
      </c>
    </row>
    <row r="766" spans="1:8" x14ac:dyDescent="0.25">
      <c r="A766">
        <v>765</v>
      </c>
      <c r="B766">
        <v>765</v>
      </c>
      <c r="C766" s="15">
        <v>3226673128</v>
      </c>
      <c r="D766" t="s">
        <v>4172</v>
      </c>
      <c r="F766" t="s">
        <v>4172</v>
      </c>
      <c r="G766" t="s">
        <v>3</v>
      </c>
      <c r="H766" t="str">
        <f>VLOOKUP(tblContactoCliente[[#This Row],[id_cliente]],tblClientes[[#All],[id]:[nombre_contacto]],4,0)</f>
        <v>FABIAN CUBILLOS</v>
      </c>
    </row>
    <row r="767" spans="1:8" x14ac:dyDescent="0.25">
      <c r="A767">
        <v>766</v>
      </c>
      <c r="B767">
        <v>766</v>
      </c>
      <c r="C767" s="15">
        <v>3008269943</v>
      </c>
      <c r="D767" t="s">
        <v>2893</v>
      </c>
      <c r="F767" t="s">
        <v>2894</v>
      </c>
      <c r="G767" t="s">
        <v>3</v>
      </c>
      <c r="H767" t="str">
        <f>VLOOKUP(tblContactoCliente[[#This Row],[id_cliente]],tblClientes[[#All],[id]:[nombre_contacto]],4,0)</f>
        <v>FIDELIA PINILLA GONZALES</v>
      </c>
    </row>
    <row r="768" spans="1:8" x14ac:dyDescent="0.25">
      <c r="A768">
        <v>767</v>
      </c>
      <c r="B768">
        <v>767</v>
      </c>
      <c r="C768" s="15">
        <v>3142862046</v>
      </c>
      <c r="D768" t="s">
        <v>2897</v>
      </c>
      <c r="F768" t="s">
        <v>357</v>
      </c>
      <c r="G768" t="s">
        <v>3</v>
      </c>
      <c r="H768" t="str">
        <f>VLOOKUP(tblContactoCliente[[#This Row],[id_cliente]],tblClientes[[#All],[id]:[nombre_contacto]],4,0)</f>
        <v>JOSE MALDONADO</v>
      </c>
    </row>
    <row r="769" spans="1:8" x14ac:dyDescent="0.25">
      <c r="A769">
        <v>768</v>
      </c>
      <c r="B769">
        <v>768</v>
      </c>
      <c r="C769" s="15">
        <v>3164273063</v>
      </c>
      <c r="D769" t="s">
        <v>2899</v>
      </c>
      <c r="F769" t="s">
        <v>2900</v>
      </c>
      <c r="G769" t="s">
        <v>3</v>
      </c>
      <c r="H769" t="str">
        <f>VLOOKUP(tblContactoCliente[[#This Row],[id_cliente]],tblClientes[[#All],[id]:[nombre_contacto]],4,0)</f>
        <v>JAIME GARCIA</v>
      </c>
    </row>
    <row r="770" spans="1:8" x14ac:dyDescent="0.25">
      <c r="A770">
        <v>769</v>
      </c>
      <c r="B770">
        <v>769</v>
      </c>
      <c r="C770" s="15">
        <v>3212571138</v>
      </c>
      <c r="D770" t="s">
        <v>2902</v>
      </c>
      <c r="F770" t="s">
        <v>734</v>
      </c>
      <c r="G770" t="s">
        <v>3</v>
      </c>
      <c r="H770" t="str">
        <f>VLOOKUP(tblContactoCliente[[#This Row],[id_cliente]],tblClientes[[#All],[id]:[nombre_contacto]],4,0)</f>
        <v>ALVARO OVALLE</v>
      </c>
    </row>
    <row r="771" spans="1:8" x14ac:dyDescent="0.25">
      <c r="A771">
        <v>770</v>
      </c>
      <c r="B771">
        <v>770</v>
      </c>
      <c r="C771" s="15">
        <v>3112312114</v>
      </c>
      <c r="D771" t="s">
        <v>2906</v>
      </c>
      <c r="F771" t="s">
        <v>2907</v>
      </c>
      <c r="G771" t="s">
        <v>3</v>
      </c>
      <c r="H771" t="str">
        <f>VLOOKUP(tblContactoCliente[[#This Row],[id_cliente]],tblClientes[[#All],[id]:[nombre_contacto]],4,0)</f>
        <v xml:space="preserve">ERNESTO AGUIRRE </v>
      </c>
    </row>
    <row r="772" spans="1:8" x14ac:dyDescent="0.25">
      <c r="A772">
        <v>771</v>
      </c>
      <c r="B772">
        <v>771</v>
      </c>
      <c r="C772" s="15">
        <v>3162346488</v>
      </c>
      <c r="D772" t="s">
        <v>2912</v>
      </c>
      <c r="F772" t="s">
        <v>146</v>
      </c>
      <c r="G772" t="s">
        <v>3</v>
      </c>
      <c r="H772" t="str">
        <f>VLOOKUP(tblContactoCliente[[#This Row],[id_cliente]],tblClientes[[#All],[id]:[nombre_contacto]],4,0)</f>
        <v>FRANCO GOMEZ</v>
      </c>
    </row>
    <row r="773" spans="1:8" x14ac:dyDescent="0.25">
      <c r="A773">
        <v>772</v>
      </c>
      <c r="B773">
        <v>772</v>
      </c>
      <c r="C773" s="15">
        <v>3005605857</v>
      </c>
      <c r="D773" t="s">
        <v>2914</v>
      </c>
      <c r="F773" t="s">
        <v>308</v>
      </c>
      <c r="G773" t="s">
        <v>3</v>
      </c>
      <c r="H773" t="str">
        <f>VLOOKUP(tblContactoCliente[[#This Row],[id_cliente]],tblClientes[[#All],[id]:[nombre_contacto]],4,0)</f>
        <v>MARCOS SANTAMARIA</v>
      </c>
    </row>
    <row r="774" spans="1:8" x14ac:dyDescent="0.25">
      <c r="A774">
        <v>773</v>
      </c>
      <c r="B774">
        <v>773</v>
      </c>
      <c r="C774" s="15">
        <v>3208598298</v>
      </c>
      <c r="D774" t="s">
        <v>2916</v>
      </c>
      <c r="F774" t="s">
        <v>1024</v>
      </c>
      <c r="G774" t="s">
        <v>3</v>
      </c>
      <c r="H774" t="str">
        <f>VLOOKUP(tblContactoCliente[[#This Row],[id_cliente]],tblClientes[[#All],[id]:[nombre_contacto]],4,0)</f>
        <v>JHON PAEZ</v>
      </c>
    </row>
    <row r="775" spans="1:8" x14ac:dyDescent="0.25">
      <c r="A775">
        <v>774</v>
      </c>
      <c r="B775">
        <v>774</v>
      </c>
      <c r="C775" s="15">
        <v>3203944536</v>
      </c>
      <c r="D775" t="s">
        <v>2918</v>
      </c>
      <c r="F775" t="s">
        <v>2919</v>
      </c>
      <c r="G775" t="s">
        <v>3</v>
      </c>
      <c r="H775" t="str">
        <f>VLOOKUP(tblContactoCliente[[#This Row],[id_cliente]],tblClientes[[#All],[id]:[nombre_contacto]],4,0)</f>
        <v>JEISON GIRALDO0</v>
      </c>
    </row>
    <row r="776" spans="1:8" x14ac:dyDescent="0.25">
      <c r="A776">
        <v>775</v>
      </c>
      <c r="B776">
        <v>775</v>
      </c>
      <c r="C776" s="15">
        <v>3002715345</v>
      </c>
      <c r="D776" t="s">
        <v>2921</v>
      </c>
      <c r="F776" t="s">
        <v>287</v>
      </c>
      <c r="G776" t="s">
        <v>3</v>
      </c>
      <c r="H776" t="str">
        <f>VLOOKUP(tblContactoCliente[[#This Row],[id_cliente]],tblClientes[[#All],[id]:[nombre_contacto]],4,0)</f>
        <v>SEGUNDO CAIZA</v>
      </c>
    </row>
    <row r="777" spans="1:8" x14ac:dyDescent="0.25">
      <c r="A777">
        <v>776</v>
      </c>
      <c r="B777">
        <v>776</v>
      </c>
      <c r="C777" s="15">
        <v>3153479943</v>
      </c>
      <c r="D777" t="s">
        <v>2925</v>
      </c>
      <c r="F777" t="s">
        <v>847</v>
      </c>
      <c r="G777" t="s">
        <v>3</v>
      </c>
      <c r="H777" t="str">
        <f>VLOOKUP(tblContactoCliente[[#This Row],[id_cliente]],tblClientes[[#All],[id]:[nombre_contacto]],4,0)</f>
        <v>ALBERT RODRIGUEZ</v>
      </c>
    </row>
    <row r="778" spans="1:8" x14ac:dyDescent="0.25">
      <c r="A778">
        <v>777</v>
      </c>
      <c r="B778">
        <v>777</v>
      </c>
      <c r="C778" s="15">
        <v>3112701349</v>
      </c>
      <c r="D778" t="s">
        <v>2008</v>
      </c>
      <c r="F778" t="s">
        <v>234</v>
      </c>
      <c r="G778" t="s">
        <v>3</v>
      </c>
      <c r="H778" t="str">
        <f>VLOOKUP(tblContactoCliente[[#This Row],[id_cliente]],tblClientes[[#All],[id]:[nombre_contacto]],4,0)</f>
        <v>ILDA MORENO SANCHEZ</v>
      </c>
    </row>
    <row r="779" spans="1:8" x14ac:dyDescent="0.25">
      <c r="A779">
        <v>778</v>
      </c>
      <c r="B779">
        <v>778</v>
      </c>
      <c r="C779" s="15">
        <v>3102235337</v>
      </c>
      <c r="D779" t="s">
        <v>2931</v>
      </c>
      <c r="F779" t="s">
        <v>1032</v>
      </c>
      <c r="G779" t="s">
        <v>3</v>
      </c>
      <c r="H779" t="str">
        <f>VLOOKUP(tblContactoCliente[[#This Row],[id_cliente]],tblClientes[[#All],[id]:[nombre_contacto]],4,0)</f>
        <v>VLADIMIR PINTO</v>
      </c>
    </row>
    <row r="780" spans="1:8" x14ac:dyDescent="0.25">
      <c r="A780">
        <v>779</v>
      </c>
      <c r="B780">
        <v>779</v>
      </c>
      <c r="C780" s="15">
        <v>3214306624</v>
      </c>
      <c r="D780" t="s">
        <v>2934</v>
      </c>
      <c r="F780" t="s">
        <v>995</v>
      </c>
      <c r="G780" t="s">
        <v>3</v>
      </c>
      <c r="H780" t="str">
        <f>VLOOKUP(tblContactoCliente[[#This Row],[id_cliente]],tblClientes[[#All],[id]:[nombre_contacto]],4,0)</f>
        <v>YOJHAN MORENO</v>
      </c>
    </row>
    <row r="781" spans="1:8" x14ac:dyDescent="0.25">
      <c r="A781">
        <v>780</v>
      </c>
      <c r="B781">
        <v>780</v>
      </c>
      <c r="C781" s="15">
        <v>3182616505</v>
      </c>
      <c r="D781" t="s">
        <v>2936</v>
      </c>
      <c r="F781" t="s">
        <v>791</v>
      </c>
      <c r="G781" t="s">
        <v>3</v>
      </c>
      <c r="H781" t="str">
        <f>VLOOKUP(tblContactoCliente[[#This Row],[id_cliente]],tblClientes[[#All],[id]:[nombre_contacto]],4,0)</f>
        <v>WILLIAM VELASCO</v>
      </c>
    </row>
    <row r="782" spans="1:8" x14ac:dyDescent="0.25">
      <c r="A782">
        <v>781</v>
      </c>
      <c r="B782">
        <v>781</v>
      </c>
      <c r="C782" s="15">
        <v>3143348832</v>
      </c>
      <c r="D782" t="s">
        <v>2940</v>
      </c>
      <c r="F782" t="s">
        <v>2941</v>
      </c>
      <c r="G782" t="s">
        <v>3</v>
      </c>
      <c r="H782" t="str">
        <f>VLOOKUP(tblContactoCliente[[#This Row],[id_cliente]],tblClientes[[#All],[id]:[nombre_contacto]],4,0)</f>
        <v>JOSE MONTENEGRO</v>
      </c>
    </row>
    <row r="783" spans="1:8" x14ac:dyDescent="0.25">
      <c r="A783">
        <v>782</v>
      </c>
      <c r="B783">
        <v>782</v>
      </c>
      <c r="C783" s="15">
        <v>3118080130</v>
      </c>
      <c r="D783" t="s">
        <v>2946</v>
      </c>
      <c r="F783" t="s">
        <v>187</v>
      </c>
      <c r="G783" t="s">
        <v>3</v>
      </c>
      <c r="H783" t="str">
        <f>VLOOKUP(tblContactoCliente[[#This Row],[id_cliente]],tblClientes[[#All],[id]:[nombre_contacto]],4,0)</f>
        <v xml:space="preserve">HUMBERTO MORALES </v>
      </c>
    </row>
    <row r="784" spans="1:8" x14ac:dyDescent="0.25">
      <c r="A784">
        <v>783</v>
      </c>
      <c r="B784">
        <v>783</v>
      </c>
      <c r="C784" s="15">
        <v>3136270859</v>
      </c>
      <c r="D784" t="s">
        <v>2950</v>
      </c>
      <c r="F784" t="s">
        <v>2951</v>
      </c>
      <c r="G784" t="s">
        <v>3</v>
      </c>
      <c r="H784" t="str">
        <f>VLOOKUP(tblContactoCliente[[#This Row],[id_cliente]],tblClientes[[#All],[id]:[nombre_contacto]],4,0)</f>
        <v>ADRIANA NAYIBE ROJAS</v>
      </c>
    </row>
    <row r="785" spans="1:8" x14ac:dyDescent="0.25">
      <c r="A785">
        <v>784</v>
      </c>
      <c r="B785">
        <v>784</v>
      </c>
      <c r="C785" s="15">
        <v>3123789093</v>
      </c>
      <c r="D785" t="s">
        <v>2953</v>
      </c>
      <c r="F785" t="s">
        <v>2954</v>
      </c>
      <c r="G785" t="s">
        <v>2955</v>
      </c>
      <c r="H785" t="str">
        <f>VLOOKUP(tblContactoCliente[[#This Row],[id_cliente]],tblClientes[[#All],[id]:[nombre_contacto]],4,0)</f>
        <v xml:space="preserve">M Y H INGENIEROS ASOCIADOS S.A </v>
      </c>
    </row>
    <row r="786" spans="1:8" x14ac:dyDescent="0.25">
      <c r="A786">
        <v>785</v>
      </c>
      <c r="B786">
        <v>785</v>
      </c>
      <c r="C786" s="15">
        <v>3152295805</v>
      </c>
      <c r="D786" t="s">
        <v>2958</v>
      </c>
      <c r="F786" t="s">
        <v>2959</v>
      </c>
      <c r="G786" t="s">
        <v>3</v>
      </c>
      <c r="H786" t="str">
        <f>VLOOKUP(tblContactoCliente[[#This Row],[id_cliente]],tblClientes[[#All],[id]:[nombre_contacto]],4,0)</f>
        <v>JOSE LABRADOR</v>
      </c>
    </row>
    <row r="787" spans="1:8" x14ac:dyDescent="0.25">
      <c r="A787">
        <v>786</v>
      </c>
      <c r="B787">
        <v>786</v>
      </c>
      <c r="C787" s="15">
        <v>3118412527</v>
      </c>
      <c r="D787" t="s">
        <v>2964</v>
      </c>
      <c r="F787" t="s">
        <v>2965</v>
      </c>
      <c r="G787" t="s">
        <v>3</v>
      </c>
      <c r="H787" t="str">
        <f>VLOOKUP(tblContactoCliente[[#This Row],[id_cliente]],tblClientes[[#All],[id]:[nombre_contacto]],4,0)</f>
        <v>HECTOR GOMEZ HIJO</v>
      </c>
    </row>
    <row r="788" spans="1:8" x14ac:dyDescent="0.25">
      <c r="A788">
        <v>787</v>
      </c>
      <c r="B788">
        <v>787</v>
      </c>
      <c r="C788" s="15">
        <v>3134156276</v>
      </c>
      <c r="D788" t="s">
        <v>2967</v>
      </c>
      <c r="F788" t="s">
        <v>847</v>
      </c>
      <c r="G788" t="s">
        <v>3</v>
      </c>
      <c r="H788" t="str">
        <f>VLOOKUP(tblContactoCliente[[#This Row],[id_cliente]],tblClientes[[#All],[id]:[nombre_contacto]],4,0)</f>
        <v>JOSE ALBERTO CHIBUQUE</v>
      </c>
    </row>
    <row r="789" spans="1:8" x14ac:dyDescent="0.25">
      <c r="A789">
        <v>788</v>
      </c>
      <c r="B789">
        <v>788</v>
      </c>
      <c r="C789" s="15">
        <v>3115081999</v>
      </c>
      <c r="D789" t="s">
        <v>2399</v>
      </c>
      <c r="F789" t="s">
        <v>4172</v>
      </c>
      <c r="G789" t="s">
        <v>3</v>
      </c>
      <c r="H789" t="str">
        <f>VLOOKUP(tblContactoCliente[[#This Row],[id_cliente]],tblClientes[[#All],[id]:[nombre_contacto]],4,0)</f>
        <v>PATRICIA GARCIA</v>
      </c>
    </row>
    <row r="790" spans="1:8" x14ac:dyDescent="0.25">
      <c r="A790">
        <v>789</v>
      </c>
      <c r="B790">
        <v>789</v>
      </c>
      <c r="C790" s="15">
        <v>3132085615</v>
      </c>
      <c r="D790" t="s">
        <v>2973</v>
      </c>
      <c r="F790" t="s">
        <v>2959</v>
      </c>
      <c r="G790" t="s">
        <v>3</v>
      </c>
      <c r="H790" t="str">
        <f>VLOOKUP(tblContactoCliente[[#This Row],[id_cliente]],tblClientes[[#All],[id]:[nombre_contacto]],4,0)</f>
        <v>OMAR ALDANA</v>
      </c>
    </row>
    <row r="791" spans="1:8" x14ac:dyDescent="0.25">
      <c r="A791">
        <v>790</v>
      </c>
      <c r="B791">
        <v>790</v>
      </c>
      <c r="C791" s="15">
        <v>3182612985</v>
      </c>
      <c r="D791" t="s">
        <v>2978</v>
      </c>
      <c r="F791" t="s">
        <v>2979</v>
      </c>
      <c r="G791" t="s">
        <v>3</v>
      </c>
      <c r="H791" t="str">
        <f>VLOOKUP(tblContactoCliente[[#This Row],[id_cliente]],tblClientes[[#All],[id]:[nombre_contacto]],4,0)</f>
        <v>SERGIO ARIZA</v>
      </c>
    </row>
    <row r="792" spans="1:8" x14ac:dyDescent="0.25">
      <c r="A792">
        <v>791</v>
      </c>
      <c r="B792">
        <v>791</v>
      </c>
      <c r="C792" s="15">
        <v>3208477345</v>
      </c>
      <c r="D792" t="s">
        <v>2983</v>
      </c>
      <c r="F792" t="s">
        <v>2984</v>
      </c>
      <c r="G792" t="s">
        <v>1032</v>
      </c>
      <c r="H792" t="str">
        <f>VLOOKUP(tblContactoCliente[[#This Row],[id_cliente]],tblClientes[[#All],[id]:[nombre_contacto]],4,0)</f>
        <v>RICARDO ROPERO ROMEO</v>
      </c>
    </row>
    <row r="793" spans="1:8" x14ac:dyDescent="0.25">
      <c r="A793">
        <v>792</v>
      </c>
      <c r="B793">
        <v>792</v>
      </c>
      <c r="C793" s="15">
        <v>3153101855</v>
      </c>
      <c r="D793" t="s">
        <v>2988</v>
      </c>
      <c r="F793" t="s">
        <v>1181</v>
      </c>
      <c r="G793" t="s">
        <v>3</v>
      </c>
      <c r="H793" t="str">
        <f>VLOOKUP(tblContactoCliente[[#This Row],[id_cliente]],tblClientes[[#All],[id]:[nombre_contacto]],4,0)</f>
        <v>FERNANDO ACERO</v>
      </c>
    </row>
    <row r="794" spans="1:8" x14ac:dyDescent="0.25">
      <c r="A794">
        <v>793</v>
      </c>
      <c r="B794">
        <v>793</v>
      </c>
      <c r="C794" s="15">
        <v>3192163037</v>
      </c>
      <c r="D794" t="s">
        <v>2993</v>
      </c>
      <c r="F794" t="s">
        <v>1032</v>
      </c>
      <c r="G794" t="s">
        <v>3</v>
      </c>
      <c r="H794" t="str">
        <f>VLOOKUP(tblContactoCliente[[#This Row],[id_cliente]],tblClientes[[#All],[id]:[nombre_contacto]],4,0)</f>
        <v>MILLER MOSQUERA</v>
      </c>
    </row>
    <row r="795" spans="1:8" x14ac:dyDescent="0.25">
      <c r="A795">
        <v>794</v>
      </c>
      <c r="B795">
        <v>794</v>
      </c>
      <c r="C795" s="15">
        <v>3124480871</v>
      </c>
      <c r="D795" t="s">
        <v>4172</v>
      </c>
      <c r="F795" t="s">
        <v>4172</v>
      </c>
      <c r="G795" t="s">
        <v>3</v>
      </c>
      <c r="H795" t="str">
        <f>VLOOKUP(tblContactoCliente[[#This Row],[id_cliente]],tblClientes[[#All],[id]:[nombre_contacto]],4,0)</f>
        <v>LUCI ABRIL</v>
      </c>
    </row>
    <row r="796" spans="1:8" x14ac:dyDescent="0.25">
      <c r="A796">
        <v>795</v>
      </c>
      <c r="B796">
        <v>795</v>
      </c>
      <c r="C796" s="15">
        <v>3108812720</v>
      </c>
      <c r="D796" t="s">
        <v>2451</v>
      </c>
      <c r="F796" t="s">
        <v>391</v>
      </c>
      <c r="G796" t="s">
        <v>3</v>
      </c>
      <c r="H796" t="str">
        <f>VLOOKUP(tblContactoCliente[[#This Row],[id_cliente]],tblClientes[[#All],[id]:[nombre_contacto]],4,0)</f>
        <v>ROMAN MUÑOZ</v>
      </c>
    </row>
    <row r="797" spans="1:8" x14ac:dyDescent="0.25">
      <c r="A797">
        <v>796</v>
      </c>
      <c r="B797">
        <v>796</v>
      </c>
      <c r="C797" s="15">
        <v>3209730005</v>
      </c>
      <c r="D797" t="s">
        <v>3002</v>
      </c>
      <c r="F797" t="s">
        <v>187</v>
      </c>
      <c r="G797" t="s">
        <v>3</v>
      </c>
      <c r="H797" t="str">
        <f>VLOOKUP(tblContactoCliente[[#This Row],[id_cliente]],tblClientes[[#All],[id]:[nombre_contacto]],4,0)</f>
        <v>ALBERTO CIFUENTES</v>
      </c>
    </row>
    <row r="798" spans="1:8" x14ac:dyDescent="0.25">
      <c r="A798">
        <v>797</v>
      </c>
      <c r="B798">
        <v>797</v>
      </c>
      <c r="C798" s="15">
        <v>3123410446</v>
      </c>
      <c r="D798" t="s">
        <v>3004</v>
      </c>
      <c r="F798" t="s">
        <v>3005</v>
      </c>
      <c r="G798" t="s">
        <v>3</v>
      </c>
      <c r="H798" t="str">
        <f>VLOOKUP(tblContactoCliente[[#This Row],[id_cliente]],tblClientes[[#All],[id]:[nombre_contacto]],4,0)</f>
        <v>DUBER</v>
      </c>
    </row>
    <row r="799" spans="1:8" x14ac:dyDescent="0.25">
      <c r="A799">
        <v>798</v>
      </c>
      <c r="B799">
        <v>798</v>
      </c>
      <c r="C799" t="s">
        <v>4172</v>
      </c>
      <c r="D799" t="s">
        <v>3008</v>
      </c>
      <c r="F799" t="s">
        <v>561</v>
      </c>
      <c r="G799" t="s">
        <v>3</v>
      </c>
      <c r="H799" t="str">
        <f>VLOOKUP(tblContactoCliente[[#This Row],[id_cliente]],tblClientes[[#All],[id]:[nombre_contacto]],4,0)</f>
        <v>GIOVANNY OVIEDO</v>
      </c>
    </row>
    <row r="800" spans="1:8" x14ac:dyDescent="0.25">
      <c r="A800">
        <v>799</v>
      </c>
      <c r="B800">
        <v>799</v>
      </c>
      <c r="C800" s="15">
        <v>3132332803</v>
      </c>
      <c r="D800" t="s">
        <v>3013</v>
      </c>
      <c r="F800" t="s">
        <v>2123</v>
      </c>
      <c r="G800" t="s">
        <v>3</v>
      </c>
      <c r="H800" t="str">
        <f>VLOOKUP(tblContactoCliente[[#This Row],[id_cliente]],tblClientes[[#All],[id]:[nombre_contacto]],4,0)</f>
        <v>GONZALO HOYOS</v>
      </c>
    </row>
    <row r="801" spans="1:8" x14ac:dyDescent="0.25">
      <c r="A801">
        <v>800</v>
      </c>
      <c r="B801">
        <v>800</v>
      </c>
      <c r="C801" t="s">
        <v>4172</v>
      </c>
      <c r="D801" t="s">
        <v>4172</v>
      </c>
      <c r="F801" t="s">
        <v>4172</v>
      </c>
      <c r="G801" t="s">
        <v>3</v>
      </c>
      <c r="H801" t="str">
        <f>VLOOKUP(tblContactoCliente[[#This Row],[id_cliente]],tblClientes[[#All],[id]:[nombre_contacto]],4,0)</f>
        <v>ANA GRACIELA</v>
      </c>
    </row>
    <row r="802" spans="1:8" x14ac:dyDescent="0.25">
      <c r="A802">
        <v>801</v>
      </c>
      <c r="B802">
        <v>801</v>
      </c>
      <c r="C802" s="15">
        <v>3016730152</v>
      </c>
      <c r="D802" t="s">
        <v>3016</v>
      </c>
      <c r="F802" t="s">
        <v>274</v>
      </c>
      <c r="G802" t="s">
        <v>3</v>
      </c>
      <c r="H802" t="str">
        <f>VLOOKUP(tblContactoCliente[[#This Row],[id_cliente]],tblClientes[[#All],[id]:[nombre_contacto]],4,0)</f>
        <v>BENJAMIN ANACONA</v>
      </c>
    </row>
    <row r="803" spans="1:8" x14ac:dyDescent="0.25">
      <c r="A803">
        <v>802</v>
      </c>
      <c r="B803">
        <v>802</v>
      </c>
      <c r="C803" s="15">
        <v>3105642764</v>
      </c>
      <c r="D803" t="s">
        <v>3018</v>
      </c>
      <c r="F803" t="s">
        <v>187</v>
      </c>
      <c r="G803" t="s">
        <v>3</v>
      </c>
      <c r="H803" t="str">
        <f>VLOOKUP(tblContactoCliente[[#This Row],[id_cliente]],tblClientes[[#All],[id]:[nombre_contacto]],4,0)</f>
        <v>ANGIE VELASQUEZ</v>
      </c>
    </row>
    <row r="804" spans="1:8" x14ac:dyDescent="0.25">
      <c r="A804">
        <v>803</v>
      </c>
      <c r="B804">
        <v>803</v>
      </c>
      <c r="C804" s="15">
        <v>3125751123</v>
      </c>
      <c r="D804" t="s">
        <v>2399</v>
      </c>
      <c r="F804" t="s">
        <v>4172</v>
      </c>
      <c r="G804" t="s">
        <v>3</v>
      </c>
      <c r="H804" t="str">
        <f>VLOOKUP(tblContactoCliente[[#This Row],[id_cliente]],tblClientes[[#All],[id]:[nombre_contacto]],4,0)</f>
        <v>MOISES QUINAYAS</v>
      </c>
    </row>
    <row r="805" spans="1:8" x14ac:dyDescent="0.25">
      <c r="A805">
        <v>804</v>
      </c>
      <c r="B805">
        <v>804</v>
      </c>
      <c r="C805" s="15">
        <v>3156589788</v>
      </c>
      <c r="D805" t="s">
        <v>3022</v>
      </c>
      <c r="F805" t="s">
        <v>2859</v>
      </c>
      <c r="G805" t="s">
        <v>3</v>
      </c>
      <c r="H805" t="str">
        <f>VLOOKUP(tblContactoCliente[[#This Row],[id_cliente]],tblClientes[[#All],[id]:[nombre_contacto]],4,0)</f>
        <v>MARIA RINCON</v>
      </c>
    </row>
    <row r="806" spans="1:8" x14ac:dyDescent="0.25">
      <c r="A806">
        <v>805</v>
      </c>
      <c r="B806">
        <v>805</v>
      </c>
      <c r="C806" s="15">
        <v>3214094144</v>
      </c>
      <c r="D806" t="s">
        <v>4172</v>
      </c>
      <c r="F806" t="s">
        <v>4172</v>
      </c>
      <c r="G806" t="s">
        <v>3</v>
      </c>
      <c r="H806" t="str">
        <f>VLOOKUP(tblContactoCliente[[#This Row],[id_cliente]],tblClientes[[#All],[id]:[nombre_contacto]],4,0)</f>
        <v>JHONATAN VARGAS</v>
      </c>
    </row>
    <row r="807" spans="1:8" x14ac:dyDescent="0.25">
      <c r="A807">
        <v>806</v>
      </c>
      <c r="B807">
        <v>806</v>
      </c>
      <c r="C807" s="15">
        <v>3136622870</v>
      </c>
      <c r="D807" t="s">
        <v>2399</v>
      </c>
      <c r="F807" t="s">
        <v>4172</v>
      </c>
      <c r="G807" t="s">
        <v>3</v>
      </c>
      <c r="H807" t="str">
        <f>VLOOKUP(tblContactoCliente[[#This Row],[id_cliente]],tblClientes[[#All],[id]:[nombre_contacto]],4,0)</f>
        <v>CELINA GARZON</v>
      </c>
    </row>
    <row r="808" spans="1:8" x14ac:dyDescent="0.25">
      <c r="A808">
        <v>807</v>
      </c>
      <c r="B808">
        <v>807</v>
      </c>
      <c r="C808" s="15">
        <v>0</v>
      </c>
      <c r="D808" t="s">
        <v>4172</v>
      </c>
      <c r="F808" t="s">
        <v>4172</v>
      </c>
      <c r="G808" t="s">
        <v>3</v>
      </c>
      <c r="H808" t="str">
        <f>VLOOKUP(tblContactoCliente[[#This Row],[id_cliente]],tblClientes[[#All],[id]:[nombre_contacto]],4,0)</f>
        <v>JOSE ARIAS</v>
      </c>
    </row>
    <row r="809" spans="1:8" x14ac:dyDescent="0.25">
      <c r="A809">
        <v>808</v>
      </c>
      <c r="B809">
        <v>808</v>
      </c>
      <c r="C809" s="15">
        <v>3007572451</v>
      </c>
      <c r="D809" t="s">
        <v>4172</v>
      </c>
      <c r="F809" t="s">
        <v>4172</v>
      </c>
      <c r="G809" t="s">
        <v>3</v>
      </c>
      <c r="H809" t="str">
        <f>VLOOKUP(tblContactoCliente[[#This Row],[id_cliente]],tblClientes[[#All],[id]:[nombre_contacto]],4,0)</f>
        <v>ROSA BOLAÑOS</v>
      </c>
    </row>
    <row r="810" spans="1:8" x14ac:dyDescent="0.25">
      <c r="A810">
        <v>809</v>
      </c>
      <c r="B810">
        <v>809</v>
      </c>
      <c r="C810" s="15">
        <v>3123084810</v>
      </c>
      <c r="D810" t="s">
        <v>4172</v>
      </c>
      <c r="F810" t="s">
        <v>4172</v>
      </c>
      <c r="G810" t="s">
        <v>3</v>
      </c>
      <c r="H810" t="str">
        <f>VLOOKUP(tblContactoCliente[[#This Row],[id_cliente]],tblClientes[[#All],[id]:[nombre_contacto]],4,0)</f>
        <v xml:space="preserve">AUGUSTO OBANDO </v>
      </c>
    </row>
    <row r="811" spans="1:8" x14ac:dyDescent="0.25">
      <c r="A811">
        <v>810</v>
      </c>
      <c r="B811">
        <v>810</v>
      </c>
      <c r="C811" t="s">
        <v>4172</v>
      </c>
      <c r="D811" t="s">
        <v>4172</v>
      </c>
      <c r="F811" t="s">
        <v>4172</v>
      </c>
      <c r="G811" t="s">
        <v>3</v>
      </c>
      <c r="H811" t="str">
        <f>VLOOKUP(tblContactoCliente[[#This Row],[id_cliente]],tblClientes[[#All],[id]:[nombre_contacto]],4,0)</f>
        <v>NELSON SACRISTAN</v>
      </c>
    </row>
    <row r="812" spans="1:8" x14ac:dyDescent="0.25">
      <c r="A812">
        <v>811</v>
      </c>
      <c r="B812">
        <v>811</v>
      </c>
      <c r="C812" s="15">
        <v>3133406709</v>
      </c>
      <c r="D812" t="s">
        <v>3030</v>
      </c>
      <c r="F812" t="s">
        <v>2123</v>
      </c>
      <c r="G812" t="s">
        <v>3</v>
      </c>
      <c r="H812" t="str">
        <f>VLOOKUP(tblContactoCliente[[#This Row],[id_cliente]],tblClientes[[#All],[id]:[nombre_contacto]],4,0)</f>
        <v>SANDRA CRUZ</v>
      </c>
    </row>
    <row r="813" spans="1:8" x14ac:dyDescent="0.25">
      <c r="A813">
        <v>812</v>
      </c>
      <c r="B813">
        <v>812</v>
      </c>
      <c r="C813" s="15">
        <v>3112468307</v>
      </c>
      <c r="D813" t="s">
        <v>3033</v>
      </c>
      <c r="F813" t="s">
        <v>4172</v>
      </c>
      <c r="G813" t="s">
        <v>3</v>
      </c>
      <c r="H813" t="str">
        <f>VLOOKUP(tblContactoCliente[[#This Row],[id_cliente]],tblClientes[[#All],[id]:[nombre_contacto]],4,0)</f>
        <v>SNEIDER ORJUELA</v>
      </c>
    </row>
    <row r="814" spans="1:8" x14ac:dyDescent="0.25">
      <c r="A814">
        <v>813</v>
      </c>
      <c r="B814">
        <v>813</v>
      </c>
      <c r="C814" s="15">
        <v>3114195459</v>
      </c>
      <c r="D814" t="s">
        <v>4172</v>
      </c>
      <c r="F814" t="s">
        <v>4172</v>
      </c>
      <c r="G814" t="s">
        <v>3</v>
      </c>
      <c r="H814" t="str">
        <f>VLOOKUP(tblContactoCliente[[#This Row],[id_cliente]],tblClientes[[#All],[id]:[nombre_contacto]],4,0)</f>
        <v>LINA LEAL</v>
      </c>
    </row>
    <row r="815" spans="1:8" x14ac:dyDescent="0.25">
      <c r="A815">
        <v>814</v>
      </c>
      <c r="B815">
        <v>814</v>
      </c>
      <c r="C815" s="15">
        <v>3172196711</v>
      </c>
      <c r="D815" t="s">
        <v>4172</v>
      </c>
      <c r="F815" t="s">
        <v>4172</v>
      </c>
      <c r="G815" t="s">
        <v>3</v>
      </c>
      <c r="H815" t="str">
        <f>VLOOKUP(tblContactoCliente[[#This Row],[id_cliente]],tblClientes[[#All],[id]:[nombre_contacto]],4,0)</f>
        <v>OSCAR OBANDO</v>
      </c>
    </row>
    <row r="816" spans="1:8" x14ac:dyDescent="0.25">
      <c r="A816">
        <v>815</v>
      </c>
      <c r="B816">
        <v>815</v>
      </c>
      <c r="C816" s="15">
        <v>3114657194</v>
      </c>
      <c r="D816" t="s">
        <v>3037</v>
      </c>
      <c r="F816" t="s">
        <v>3038</v>
      </c>
      <c r="G816" t="s">
        <v>3</v>
      </c>
      <c r="H816" t="str">
        <f>VLOOKUP(tblContactoCliente[[#This Row],[id_cliente]],tblClientes[[#All],[id]:[nombre_contacto]],4,0)</f>
        <v xml:space="preserve">GERARDO PINZON </v>
      </c>
    </row>
    <row r="817" spans="1:8" x14ac:dyDescent="0.25">
      <c r="A817">
        <v>816</v>
      </c>
      <c r="B817">
        <v>816</v>
      </c>
      <c r="C817" s="15">
        <v>3138134233</v>
      </c>
      <c r="D817" t="s">
        <v>4172</v>
      </c>
      <c r="F817" t="s">
        <v>4172</v>
      </c>
      <c r="G817" t="s">
        <v>3</v>
      </c>
      <c r="H817" t="str">
        <f>VLOOKUP(tblContactoCliente[[#This Row],[id_cliente]],tblClientes[[#All],[id]:[nombre_contacto]],4,0)</f>
        <v xml:space="preserve">DIEGO RINCON </v>
      </c>
    </row>
    <row r="818" spans="1:8" x14ac:dyDescent="0.25">
      <c r="A818">
        <v>817</v>
      </c>
      <c r="B818">
        <v>817</v>
      </c>
      <c r="C818" s="15">
        <v>3222037184</v>
      </c>
      <c r="D818" t="s">
        <v>4172</v>
      </c>
      <c r="F818" t="s">
        <v>4172</v>
      </c>
      <c r="G818" t="s">
        <v>3</v>
      </c>
      <c r="H818" t="str">
        <f>VLOOKUP(tblContactoCliente[[#This Row],[id_cliente]],tblClientes[[#All],[id]:[nombre_contacto]],4,0)</f>
        <v>ADRIANA BOLAÑOS</v>
      </c>
    </row>
    <row r="819" spans="1:8" x14ac:dyDescent="0.25">
      <c r="A819">
        <v>818</v>
      </c>
      <c r="B819">
        <v>818</v>
      </c>
      <c r="C819" s="15">
        <v>0</v>
      </c>
      <c r="D819" t="s">
        <v>4172</v>
      </c>
      <c r="F819" t="s">
        <v>4172</v>
      </c>
      <c r="G819" t="s">
        <v>3</v>
      </c>
      <c r="H819" t="str">
        <f>VLOOKUP(tblContactoCliente[[#This Row],[id_cliente]],tblClientes[[#All],[id]:[nombre_contacto]],4,0)</f>
        <v>BENJAMIN CASTAÑEDA</v>
      </c>
    </row>
    <row r="820" spans="1:8" x14ac:dyDescent="0.25">
      <c r="A820">
        <v>819</v>
      </c>
      <c r="B820">
        <v>819</v>
      </c>
      <c r="C820" s="15">
        <v>0</v>
      </c>
      <c r="D820" t="s">
        <v>4172</v>
      </c>
      <c r="F820" t="s">
        <v>4172</v>
      </c>
      <c r="G820" t="s">
        <v>3</v>
      </c>
      <c r="H820" t="str">
        <f>VLOOKUP(tblContactoCliente[[#This Row],[id_cliente]],tblClientes[[#All],[id]:[nombre_contacto]],4,0)</f>
        <v>WILLIAM OCAMPO</v>
      </c>
    </row>
    <row r="821" spans="1:8" x14ac:dyDescent="0.25">
      <c r="A821">
        <v>820</v>
      </c>
      <c r="B821">
        <v>820</v>
      </c>
      <c r="C821" s="15">
        <v>3017908333</v>
      </c>
      <c r="D821" t="s">
        <v>4172</v>
      </c>
      <c r="F821" t="s">
        <v>4172</v>
      </c>
      <c r="G821" t="s">
        <v>3</v>
      </c>
      <c r="H821" t="str">
        <f>VLOOKUP(tblContactoCliente[[#This Row],[id_cliente]],tblClientes[[#All],[id]:[nombre_contacto]],4,0)</f>
        <v>CONSUELO FERRUNCHO</v>
      </c>
    </row>
    <row r="822" spans="1:8" x14ac:dyDescent="0.25">
      <c r="A822">
        <v>821</v>
      </c>
      <c r="B822">
        <v>821</v>
      </c>
      <c r="C822" s="15">
        <v>0</v>
      </c>
      <c r="D822" t="s">
        <v>4172</v>
      </c>
      <c r="F822" t="s">
        <v>4172</v>
      </c>
      <c r="G822" t="s">
        <v>3</v>
      </c>
      <c r="H822" t="str">
        <f>VLOOKUP(tblContactoCliente[[#This Row],[id_cliente]],tblClientes[[#All],[id]:[nombre_contacto]],4,0)</f>
        <v>DARLY ESPITIA</v>
      </c>
    </row>
    <row r="823" spans="1:8" x14ac:dyDescent="0.25">
      <c r="A823">
        <v>822</v>
      </c>
      <c r="B823">
        <v>822</v>
      </c>
      <c r="C823" s="15">
        <v>0</v>
      </c>
      <c r="D823" t="s">
        <v>4172</v>
      </c>
      <c r="F823" t="s">
        <v>4172</v>
      </c>
      <c r="G823" t="s">
        <v>3</v>
      </c>
      <c r="H823" t="str">
        <f>VLOOKUP(tblContactoCliente[[#This Row],[id_cliente]],tblClientes[[#All],[id]:[nombre_contacto]],4,0)</f>
        <v>GIOVANY MENESES</v>
      </c>
    </row>
    <row r="824" spans="1:8" x14ac:dyDescent="0.25">
      <c r="A824">
        <v>823</v>
      </c>
      <c r="B824">
        <v>823</v>
      </c>
      <c r="C824" s="15">
        <v>3208606157</v>
      </c>
      <c r="D824" t="s">
        <v>4172</v>
      </c>
      <c r="F824" t="s">
        <v>4172</v>
      </c>
      <c r="G824" t="s">
        <v>3</v>
      </c>
      <c r="H824" t="str">
        <f>VLOOKUP(tblContactoCliente[[#This Row],[id_cliente]],tblClientes[[#All],[id]:[nombre_contacto]],4,0)</f>
        <v>MILTON GALVIS</v>
      </c>
    </row>
    <row r="825" spans="1:8" x14ac:dyDescent="0.25">
      <c r="A825">
        <v>824</v>
      </c>
      <c r="B825">
        <v>824</v>
      </c>
      <c r="C825" s="15">
        <v>3208378331</v>
      </c>
      <c r="D825" t="s">
        <v>3049</v>
      </c>
      <c r="F825" t="s">
        <v>187</v>
      </c>
      <c r="G825" t="s">
        <v>3</v>
      </c>
      <c r="H825" t="str">
        <f>VLOOKUP(tblContactoCliente[[#This Row],[id_cliente]],tblClientes[[#All],[id]:[nombre_contacto]],4,0)</f>
        <v xml:space="preserve">ORION PELETERIA </v>
      </c>
    </row>
    <row r="826" spans="1:8" x14ac:dyDescent="0.25">
      <c r="A826">
        <v>825</v>
      </c>
      <c r="B826">
        <v>825</v>
      </c>
      <c r="C826" s="15">
        <v>3017980133</v>
      </c>
      <c r="D826" t="s">
        <v>4172</v>
      </c>
      <c r="F826" t="s">
        <v>4172</v>
      </c>
      <c r="G826" t="s">
        <v>3</v>
      </c>
      <c r="H826" t="str">
        <f>VLOOKUP(tblContactoCliente[[#This Row],[id_cliente]],tblClientes[[#All],[id]:[nombre_contacto]],4,0)</f>
        <v>JUAN SEBASTIAN ANGARITA</v>
      </c>
    </row>
    <row r="827" spans="1:8" x14ac:dyDescent="0.25">
      <c r="A827">
        <v>826</v>
      </c>
      <c r="B827">
        <v>826</v>
      </c>
      <c r="C827" s="15">
        <v>3153883545</v>
      </c>
      <c r="D827" t="s">
        <v>4172</v>
      </c>
      <c r="F827" t="s">
        <v>4172</v>
      </c>
      <c r="G827" t="s">
        <v>3</v>
      </c>
      <c r="H827" t="str">
        <f>VLOOKUP(tblContactoCliente[[#This Row],[id_cliente]],tblClientes[[#All],[id]:[nombre_contacto]],4,0)</f>
        <v>LIBARDO RIAÑO</v>
      </c>
    </row>
    <row r="828" spans="1:8" x14ac:dyDescent="0.25">
      <c r="A828">
        <v>827</v>
      </c>
      <c r="B828">
        <v>827</v>
      </c>
      <c r="C828" t="s">
        <v>4172</v>
      </c>
      <c r="D828" t="s">
        <v>4172</v>
      </c>
      <c r="F828" t="s">
        <v>4172</v>
      </c>
      <c r="G828" t="s">
        <v>3</v>
      </c>
      <c r="H828" t="str">
        <f>VLOOKUP(tblContactoCliente[[#This Row],[id_cliente]],tblClientes[[#All],[id]:[nombre_contacto]],4,0)</f>
        <v>ALFONSO BONILLA</v>
      </c>
    </row>
    <row r="829" spans="1:8" x14ac:dyDescent="0.25">
      <c r="A829">
        <v>828</v>
      </c>
      <c r="B829">
        <v>828</v>
      </c>
      <c r="C829" s="15">
        <v>3144201947</v>
      </c>
      <c r="D829" t="s">
        <v>4172</v>
      </c>
      <c r="F829" t="s">
        <v>4172</v>
      </c>
      <c r="G829" t="s">
        <v>3</v>
      </c>
      <c r="H829" t="str">
        <f>VLOOKUP(tblContactoCliente[[#This Row],[id_cliente]],tblClientes[[#All],[id]:[nombre_contacto]],4,0)</f>
        <v xml:space="preserve">NERSY MURILLO </v>
      </c>
    </row>
    <row r="830" spans="1:8" x14ac:dyDescent="0.25">
      <c r="A830">
        <v>829</v>
      </c>
      <c r="B830">
        <v>829</v>
      </c>
      <c r="C830" s="15">
        <v>3107199825</v>
      </c>
      <c r="D830" t="s">
        <v>3058</v>
      </c>
      <c r="F830" t="s">
        <v>4172</v>
      </c>
      <c r="G830" t="s">
        <v>3</v>
      </c>
      <c r="H830" t="str">
        <f>VLOOKUP(tblContactoCliente[[#This Row],[id_cliente]],tblClientes[[#All],[id]:[nombre_contacto]],4,0)</f>
        <v>OLMEDO JURADO</v>
      </c>
    </row>
    <row r="831" spans="1:8" x14ac:dyDescent="0.25">
      <c r="A831">
        <v>830</v>
      </c>
      <c r="B831">
        <v>830</v>
      </c>
      <c r="C831" s="15">
        <v>0</v>
      </c>
      <c r="D831" t="s">
        <v>2399</v>
      </c>
      <c r="F831" t="s">
        <v>4172</v>
      </c>
      <c r="G831" t="s">
        <v>3</v>
      </c>
      <c r="H831" t="str">
        <f>VLOOKUP(tblContactoCliente[[#This Row],[id_cliente]],tblClientes[[#All],[id]:[nombre_contacto]],4,0)</f>
        <v>SILVIO BOLAÑOS</v>
      </c>
    </row>
    <row r="832" spans="1:8" x14ac:dyDescent="0.25">
      <c r="A832">
        <v>831</v>
      </c>
      <c r="B832">
        <v>831</v>
      </c>
      <c r="C832" s="15">
        <v>3209176064</v>
      </c>
      <c r="D832" t="s">
        <v>3061</v>
      </c>
      <c r="F832" t="s">
        <v>169</v>
      </c>
      <c r="G832" t="s">
        <v>165</v>
      </c>
      <c r="H832" t="str">
        <f>VLOOKUP(tblContactoCliente[[#This Row],[id_cliente]],tblClientes[[#All],[id]:[nombre_contacto]],4,0)</f>
        <v xml:space="preserve">LUZ NANCY LOPEZ </v>
      </c>
    </row>
    <row r="833" spans="1:8" x14ac:dyDescent="0.25">
      <c r="A833">
        <v>832</v>
      </c>
      <c r="B833">
        <v>832</v>
      </c>
      <c r="C833" s="15">
        <v>3108120011</v>
      </c>
      <c r="D833" t="s">
        <v>3065</v>
      </c>
      <c r="F833" t="s">
        <v>4172</v>
      </c>
      <c r="G833" t="s">
        <v>3</v>
      </c>
      <c r="H833" t="str">
        <f>VLOOKUP(tblContactoCliente[[#This Row],[id_cliente]],tblClientes[[#All],[id]:[nombre_contacto]],4,0)</f>
        <v>JOSE GARZON</v>
      </c>
    </row>
    <row r="834" spans="1:8" x14ac:dyDescent="0.25">
      <c r="A834">
        <v>833</v>
      </c>
      <c r="B834">
        <v>833</v>
      </c>
      <c r="C834" s="15">
        <v>3012537705</v>
      </c>
      <c r="D834" t="s">
        <v>4172</v>
      </c>
      <c r="F834" t="s">
        <v>4172</v>
      </c>
      <c r="G834" t="s">
        <v>3</v>
      </c>
      <c r="H834" t="str">
        <f>VLOOKUP(tblContactoCliente[[#This Row],[id_cliente]],tblClientes[[#All],[id]:[nombre_contacto]],4,0)</f>
        <v xml:space="preserve">ADRIANA ROJAS </v>
      </c>
    </row>
    <row r="835" spans="1:8" x14ac:dyDescent="0.25">
      <c r="A835">
        <v>834</v>
      </c>
      <c r="B835">
        <v>834</v>
      </c>
      <c r="C835" s="15">
        <v>3118898762</v>
      </c>
      <c r="D835" t="s">
        <v>4172</v>
      </c>
      <c r="F835" t="s">
        <v>1707</v>
      </c>
      <c r="G835" t="s">
        <v>3</v>
      </c>
      <c r="H835" t="str">
        <f>VLOOKUP(tblContactoCliente[[#This Row],[id_cliente]],tblClientes[[#All],[id]:[nombre_contacto]],4,0)</f>
        <v xml:space="preserve">FERNANDO GARAVITO </v>
      </c>
    </row>
    <row r="836" spans="1:8" x14ac:dyDescent="0.25">
      <c r="A836">
        <v>835</v>
      </c>
      <c r="B836">
        <v>835</v>
      </c>
      <c r="C836" s="15">
        <v>3203467969</v>
      </c>
      <c r="D836" t="s">
        <v>4172</v>
      </c>
      <c r="F836" t="s">
        <v>4172</v>
      </c>
      <c r="G836" t="s">
        <v>3</v>
      </c>
      <c r="H836" t="str">
        <f>VLOOKUP(tblContactoCliente[[#This Row],[id_cliente]],tblClientes[[#All],[id]:[nombre_contacto]],4,0)</f>
        <v xml:space="preserve">DANIELA CUENCA / ORLANDO CUENCA </v>
      </c>
    </row>
    <row r="837" spans="1:8" x14ac:dyDescent="0.25">
      <c r="A837">
        <v>836</v>
      </c>
      <c r="B837">
        <v>836</v>
      </c>
      <c r="C837" s="15">
        <v>3124999565</v>
      </c>
      <c r="D837" t="s">
        <v>3072</v>
      </c>
      <c r="F837" t="s">
        <v>187</v>
      </c>
      <c r="G837" t="s">
        <v>3</v>
      </c>
      <c r="H837" t="str">
        <f>VLOOKUP(tblContactoCliente[[#This Row],[id_cliente]],tblClientes[[#All],[id]:[nombre_contacto]],4,0)</f>
        <v xml:space="preserve">LUZ STELA RODRIGUEZ / JUAN CARLOS CORTES </v>
      </c>
    </row>
    <row r="838" spans="1:8" x14ac:dyDescent="0.25">
      <c r="A838">
        <v>837</v>
      </c>
      <c r="B838">
        <v>837</v>
      </c>
      <c r="C838" s="15">
        <v>3167241440</v>
      </c>
      <c r="D838" t="s">
        <v>3076</v>
      </c>
      <c r="F838" t="s">
        <v>3077</v>
      </c>
      <c r="G838" t="s">
        <v>668</v>
      </c>
      <c r="H838" t="str">
        <f>VLOOKUP(tblContactoCliente[[#This Row],[id_cliente]],tblClientes[[#All],[id]:[nombre_contacto]],4,0)</f>
        <v xml:space="preserve">JHON EDUARDO SILVA </v>
      </c>
    </row>
    <row r="839" spans="1:8" x14ac:dyDescent="0.25">
      <c r="A839">
        <v>838</v>
      </c>
      <c r="B839">
        <v>838</v>
      </c>
      <c r="C839" s="15">
        <v>3224700979</v>
      </c>
      <c r="D839" t="s">
        <v>2399</v>
      </c>
      <c r="F839" t="s">
        <v>3079</v>
      </c>
      <c r="G839" t="s">
        <v>3</v>
      </c>
      <c r="H839" t="str">
        <f>VLOOKUP(tblContactoCliente[[#This Row],[id_cliente]],tblClientes[[#All],[id]:[nombre_contacto]],4,0)</f>
        <v>HERNANDO ALVARADO</v>
      </c>
    </row>
    <row r="840" spans="1:8" x14ac:dyDescent="0.25">
      <c r="A840">
        <v>839</v>
      </c>
      <c r="B840">
        <v>839</v>
      </c>
      <c r="C840" t="s">
        <v>4172</v>
      </c>
      <c r="D840" t="s">
        <v>4172</v>
      </c>
      <c r="F840" t="s">
        <v>4172</v>
      </c>
      <c r="G840" t="s">
        <v>3</v>
      </c>
      <c r="H840" t="str">
        <f>VLOOKUP(tblContactoCliente[[#This Row],[id_cliente]],tblClientes[[#All],[id]:[nombre_contacto]],4,0)</f>
        <v xml:space="preserve">NELSON GRANDE </v>
      </c>
    </row>
    <row r="841" spans="1:8" x14ac:dyDescent="0.25">
      <c r="A841">
        <v>840</v>
      </c>
      <c r="B841">
        <v>840</v>
      </c>
      <c r="C841" s="15">
        <v>3115007427</v>
      </c>
      <c r="D841" t="s">
        <v>2399</v>
      </c>
      <c r="F841" t="s">
        <v>4172</v>
      </c>
      <c r="G841" t="s">
        <v>3</v>
      </c>
      <c r="H841" t="str">
        <f>VLOOKUP(tblContactoCliente[[#This Row],[id_cliente]],tblClientes[[#All],[id]:[nombre_contacto]],4,0)</f>
        <v>JUAN ROJAS</v>
      </c>
    </row>
    <row r="842" spans="1:8" x14ac:dyDescent="0.25">
      <c r="A842">
        <v>841</v>
      </c>
      <c r="B842">
        <v>841</v>
      </c>
      <c r="C842" s="15">
        <v>3166036899</v>
      </c>
      <c r="D842" t="s">
        <v>2399</v>
      </c>
      <c r="F842" t="s">
        <v>4172</v>
      </c>
      <c r="G842" t="s">
        <v>3</v>
      </c>
      <c r="H842" t="str">
        <f>VLOOKUP(tblContactoCliente[[#This Row],[id_cliente]],tblClientes[[#All],[id]:[nombre_contacto]],4,0)</f>
        <v>ADRIAN ARCOS</v>
      </c>
    </row>
    <row r="843" spans="1:8" x14ac:dyDescent="0.25">
      <c r="A843">
        <v>842</v>
      </c>
      <c r="B843">
        <v>842</v>
      </c>
      <c r="C843" s="15">
        <v>3234788265</v>
      </c>
      <c r="D843" t="s">
        <v>2399</v>
      </c>
      <c r="F843" t="s">
        <v>4172</v>
      </c>
      <c r="G843" t="s">
        <v>3</v>
      </c>
      <c r="H843" t="str">
        <f>VLOOKUP(tblContactoCliente[[#This Row],[id_cliente]],tblClientes[[#All],[id]:[nombre_contacto]],4,0)</f>
        <v>JUAN CARLOS VARGAS</v>
      </c>
    </row>
    <row r="844" spans="1:8" x14ac:dyDescent="0.25">
      <c r="A844">
        <v>843</v>
      </c>
      <c r="B844">
        <v>843</v>
      </c>
      <c r="C844" s="15">
        <v>3156485303</v>
      </c>
      <c r="D844" t="s">
        <v>3086</v>
      </c>
      <c r="F844" t="s">
        <v>4172</v>
      </c>
      <c r="G844" t="s">
        <v>3</v>
      </c>
      <c r="H844" t="str">
        <f>VLOOKUP(tblContactoCliente[[#This Row],[id_cliente]],tblClientes[[#All],[id]:[nombre_contacto]],4,0)</f>
        <v>JOHN BOHORQUEZ</v>
      </c>
    </row>
    <row r="845" spans="1:8" x14ac:dyDescent="0.25">
      <c r="A845">
        <v>844</v>
      </c>
      <c r="B845">
        <v>844</v>
      </c>
      <c r="C845" s="15">
        <v>0</v>
      </c>
      <c r="D845" t="s">
        <v>2399</v>
      </c>
      <c r="F845" t="s">
        <v>4172</v>
      </c>
      <c r="G845" t="s">
        <v>3</v>
      </c>
      <c r="H845" t="str">
        <f>VLOOKUP(tblContactoCliente[[#This Row],[id_cliente]],tblClientes[[#All],[id]:[nombre_contacto]],4,0)</f>
        <v>ANTONIO RUIZ</v>
      </c>
    </row>
    <row r="846" spans="1:8" x14ac:dyDescent="0.25">
      <c r="A846">
        <v>845</v>
      </c>
      <c r="B846">
        <v>845</v>
      </c>
      <c r="C846" s="15">
        <v>0</v>
      </c>
      <c r="D846" t="s">
        <v>4172</v>
      </c>
      <c r="F846" t="s">
        <v>4172</v>
      </c>
      <c r="G846" t="s">
        <v>3</v>
      </c>
      <c r="H846" t="str">
        <f>VLOOKUP(tblContactoCliente[[#This Row],[id_cliente]],tblClientes[[#All],[id]:[nombre_contacto]],4,0)</f>
        <v>NESTOR CASTRO</v>
      </c>
    </row>
    <row r="847" spans="1:8" x14ac:dyDescent="0.25">
      <c r="A847">
        <v>846</v>
      </c>
      <c r="B847">
        <v>846</v>
      </c>
      <c r="C847" s="15">
        <v>0</v>
      </c>
      <c r="D847" t="s">
        <v>4172</v>
      </c>
      <c r="F847" t="s">
        <v>4172</v>
      </c>
      <c r="G847" t="s">
        <v>3</v>
      </c>
      <c r="H847" t="str">
        <f>VLOOKUP(tblContactoCliente[[#This Row],[id_cliente]],tblClientes[[#All],[id]:[nombre_contacto]],4,0)</f>
        <v>MARCELA OVIEO</v>
      </c>
    </row>
    <row r="848" spans="1:8" x14ac:dyDescent="0.25">
      <c r="A848">
        <v>847</v>
      </c>
      <c r="B848">
        <v>847</v>
      </c>
      <c r="C848" s="15">
        <v>3003097909</v>
      </c>
      <c r="D848" t="s">
        <v>3092</v>
      </c>
      <c r="F848" t="s">
        <v>3093</v>
      </c>
      <c r="G848" t="s">
        <v>3</v>
      </c>
      <c r="H848" t="str">
        <f>VLOOKUP(tblContactoCliente[[#This Row],[id_cliente]],tblClientes[[#All],[id]:[nombre_contacto]],4,0)</f>
        <v>PAMELA GONZALEZ</v>
      </c>
    </row>
    <row r="849" spans="1:8" x14ac:dyDescent="0.25">
      <c r="A849">
        <v>848</v>
      </c>
      <c r="B849">
        <v>848</v>
      </c>
      <c r="C849" s="15">
        <v>0</v>
      </c>
      <c r="D849" t="s">
        <v>2399</v>
      </c>
      <c r="F849" t="s">
        <v>4172</v>
      </c>
      <c r="G849" t="s">
        <v>3</v>
      </c>
      <c r="H849" t="str">
        <f>VLOOKUP(tblContactoCliente[[#This Row],[id_cliente]],tblClientes[[#All],[id]:[nombre_contacto]],4,0)</f>
        <v>MIRIAM TOVAR</v>
      </c>
    </row>
    <row r="850" spans="1:8" x14ac:dyDescent="0.25">
      <c r="A850">
        <v>849</v>
      </c>
      <c r="B850">
        <v>849</v>
      </c>
      <c r="C850" s="15">
        <v>3102311967</v>
      </c>
      <c r="D850" t="s">
        <v>4172</v>
      </c>
      <c r="F850" t="s">
        <v>4172</v>
      </c>
      <c r="G850" t="s">
        <v>3</v>
      </c>
      <c r="H850" t="str">
        <f>VLOOKUP(tblContactoCliente[[#This Row],[id_cliente]],tblClientes[[#All],[id]:[nombre_contacto]],4,0)</f>
        <v xml:space="preserve">FABIAN GONZALES </v>
      </c>
    </row>
    <row r="851" spans="1:8" x14ac:dyDescent="0.25">
      <c r="A851">
        <v>850</v>
      </c>
      <c r="B851">
        <v>850</v>
      </c>
      <c r="C851" s="15">
        <v>3214911849</v>
      </c>
      <c r="D851" t="s">
        <v>3099</v>
      </c>
      <c r="F851" t="s">
        <v>1750</v>
      </c>
      <c r="G851" t="s">
        <v>3</v>
      </c>
      <c r="H851" t="str">
        <f>VLOOKUP(tblContactoCliente[[#This Row],[id_cliente]],tblClientes[[#All],[id]:[nombre_contacto]],4,0)</f>
        <v>NORA RODRIGUEZ</v>
      </c>
    </row>
    <row r="852" spans="1:8" x14ac:dyDescent="0.25">
      <c r="A852">
        <v>851</v>
      </c>
      <c r="B852">
        <v>851</v>
      </c>
      <c r="C852" s="15">
        <v>3143176632</v>
      </c>
      <c r="D852" t="s">
        <v>3102</v>
      </c>
      <c r="F852" t="s">
        <v>187</v>
      </c>
      <c r="G852" t="s">
        <v>3</v>
      </c>
      <c r="H852" t="str">
        <f>VLOOKUP(tblContactoCliente[[#This Row],[id_cliente]],tblClientes[[#All],[id]:[nombre_contacto]],4,0)</f>
        <v>LINA GARZON / ALFONSO BONILLA</v>
      </c>
    </row>
    <row r="853" spans="1:8" x14ac:dyDescent="0.25">
      <c r="A853">
        <v>852</v>
      </c>
      <c r="B853">
        <v>852</v>
      </c>
      <c r="C853" s="15">
        <v>3118557192</v>
      </c>
      <c r="D853" t="s">
        <v>3105</v>
      </c>
      <c r="F853" t="s">
        <v>146</v>
      </c>
      <c r="G853" t="s">
        <v>3</v>
      </c>
      <c r="H853" t="str">
        <f>VLOOKUP(tblContactoCliente[[#This Row],[id_cliente]],tblClientes[[#All],[id]:[nombre_contacto]],4,0)</f>
        <v>JORGE HERNANDEZ</v>
      </c>
    </row>
    <row r="854" spans="1:8" x14ac:dyDescent="0.25">
      <c r="A854">
        <v>853</v>
      </c>
      <c r="B854">
        <v>853</v>
      </c>
      <c r="C854" s="15">
        <v>3112380898</v>
      </c>
      <c r="D854" t="s">
        <v>3107</v>
      </c>
      <c r="F854" t="s">
        <v>253</v>
      </c>
      <c r="G854" t="s">
        <v>3</v>
      </c>
      <c r="H854" t="str">
        <f>VLOOKUP(tblContactoCliente[[#This Row],[id_cliente]],tblClientes[[#All],[id]:[nombre_contacto]],4,0)</f>
        <v>CARMEN LOPEZ</v>
      </c>
    </row>
    <row r="855" spans="1:8" x14ac:dyDescent="0.25">
      <c r="A855">
        <v>854</v>
      </c>
      <c r="B855">
        <v>854</v>
      </c>
      <c r="C855" s="15">
        <v>0</v>
      </c>
      <c r="D855" t="s">
        <v>4172</v>
      </c>
      <c r="F855" t="s">
        <v>4172</v>
      </c>
      <c r="G855" t="s">
        <v>3</v>
      </c>
      <c r="H855" t="str">
        <f>VLOOKUP(tblContactoCliente[[#This Row],[id_cliente]],tblClientes[[#All],[id]:[nombre_contacto]],4,0)</f>
        <v>ALIRIO BOLAÑOS</v>
      </c>
    </row>
    <row r="856" spans="1:8" x14ac:dyDescent="0.25">
      <c r="A856">
        <v>855</v>
      </c>
      <c r="B856">
        <v>855</v>
      </c>
      <c r="C856" s="15">
        <v>3204673962</v>
      </c>
      <c r="D856" t="s">
        <v>3112</v>
      </c>
      <c r="F856" t="s">
        <v>205</v>
      </c>
      <c r="G856" t="s">
        <v>3</v>
      </c>
      <c r="H856" t="str">
        <f>VLOOKUP(tblContactoCliente[[#This Row],[id_cliente]],tblClientes[[#All],[id]:[nombre_contacto]],4,0)</f>
        <v>MARTHA BELTRAN</v>
      </c>
    </row>
    <row r="857" spans="1:8" x14ac:dyDescent="0.25">
      <c r="A857">
        <v>856</v>
      </c>
      <c r="B857">
        <v>856</v>
      </c>
      <c r="C857" s="15">
        <v>3213063745</v>
      </c>
      <c r="D857" t="s">
        <v>3116</v>
      </c>
      <c r="F857" t="s">
        <v>187</v>
      </c>
      <c r="G857" t="s">
        <v>3</v>
      </c>
      <c r="H857" t="str">
        <f>VLOOKUP(tblContactoCliente[[#This Row],[id_cliente]],tblClientes[[#All],[id]:[nombre_contacto]],4,0)</f>
        <v>FABIO SAENZ</v>
      </c>
    </row>
    <row r="858" spans="1:8" x14ac:dyDescent="0.25">
      <c r="A858">
        <v>857</v>
      </c>
      <c r="B858">
        <v>857</v>
      </c>
      <c r="C858" s="15">
        <v>3118371408</v>
      </c>
      <c r="D858" t="s">
        <v>3118</v>
      </c>
      <c r="F858" t="s">
        <v>4172</v>
      </c>
      <c r="G858" t="s">
        <v>3</v>
      </c>
      <c r="H858" t="str">
        <f>VLOOKUP(tblContactoCliente[[#This Row],[id_cliente]],tblClientes[[#All],[id]:[nombre_contacto]],4,0)</f>
        <v>JAIME GIL</v>
      </c>
    </row>
    <row r="859" spans="1:8" x14ac:dyDescent="0.25">
      <c r="A859">
        <v>858</v>
      </c>
      <c r="B859">
        <v>858</v>
      </c>
      <c r="C859" s="15">
        <v>3214759543</v>
      </c>
      <c r="D859" t="s">
        <v>3120</v>
      </c>
      <c r="F859" t="s">
        <v>3121</v>
      </c>
      <c r="G859" t="s">
        <v>3</v>
      </c>
      <c r="H859" t="str">
        <f>VLOOKUP(tblContactoCliente[[#This Row],[id_cliente]],tblClientes[[#All],[id]:[nombre_contacto]],4,0)</f>
        <v>EDISON RODRIGUEZ</v>
      </c>
    </row>
    <row r="860" spans="1:8" x14ac:dyDescent="0.25">
      <c r="A860">
        <v>859</v>
      </c>
      <c r="B860">
        <v>859</v>
      </c>
      <c r="C860" s="15">
        <v>3504442629</v>
      </c>
      <c r="D860" t="s">
        <v>3123</v>
      </c>
      <c r="F860" t="s">
        <v>3124</v>
      </c>
      <c r="G860" t="s">
        <v>3</v>
      </c>
      <c r="H860" t="str">
        <f>VLOOKUP(tblContactoCliente[[#This Row],[id_cliente]],tblClientes[[#All],[id]:[nombre_contacto]],4,0)</f>
        <v>ORLANDO YATE</v>
      </c>
    </row>
    <row r="861" spans="1:8" x14ac:dyDescent="0.25">
      <c r="A861">
        <v>860</v>
      </c>
      <c r="B861">
        <v>860</v>
      </c>
      <c r="C861" s="15">
        <v>3133993055</v>
      </c>
      <c r="D861" t="s">
        <v>3126</v>
      </c>
      <c r="F861" t="s">
        <v>1178</v>
      </c>
      <c r="G861" t="s">
        <v>3</v>
      </c>
      <c r="H861" t="str">
        <f>VLOOKUP(tblContactoCliente[[#This Row],[id_cliente]],tblClientes[[#All],[id]:[nombre_contacto]],4,0)</f>
        <v>JEIMY FERNANDEZ</v>
      </c>
    </row>
    <row r="862" spans="1:8" x14ac:dyDescent="0.25">
      <c r="A862">
        <v>861</v>
      </c>
      <c r="B862">
        <v>861</v>
      </c>
      <c r="C862" s="15">
        <v>3203676900</v>
      </c>
      <c r="D862" t="s">
        <v>3128</v>
      </c>
      <c r="F862" t="s">
        <v>4172</v>
      </c>
      <c r="G862" t="s">
        <v>3</v>
      </c>
      <c r="H862" t="str">
        <f>VLOOKUP(tblContactoCliente[[#This Row],[id_cliente]],tblClientes[[#All],[id]:[nombre_contacto]],4,0)</f>
        <v>FERNANDO FERREIRA PATIÑO</v>
      </c>
    </row>
    <row r="863" spans="1:8" x14ac:dyDescent="0.25">
      <c r="A863">
        <v>862</v>
      </c>
      <c r="B863">
        <v>862</v>
      </c>
      <c r="C863" s="15">
        <v>3224279419</v>
      </c>
      <c r="D863" t="s">
        <v>3131</v>
      </c>
      <c r="F863" t="s">
        <v>2674</v>
      </c>
      <c r="G863" t="s">
        <v>467</v>
      </c>
      <c r="H863" t="str">
        <f>VLOOKUP(tblContactoCliente[[#This Row],[id_cliente]],tblClientes[[#All],[id]:[nombre_contacto]],4,0)</f>
        <v>GERMAN GUTIERREZ</v>
      </c>
    </row>
    <row r="864" spans="1:8" x14ac:dyDescent="0.25">
      <c r="A864">
        <v>863</v>
      </c>
      <c r="B864">
        <v>863</v>
      </c>
      <c r="C864" s="15">
        <v>3134363297</v>
      </c>
      <c r="D864" t="s">
        <v>3133</v>
      </c>
      <c r="F864" t="s">
        <v>183</v>
      </c>
      <c r="G864" t="s">
        <v>3</v>
      </c>
      <c r="H864" t="str">
        <f>VLOOKUP(tblContactoCliente[[#This Row],[id_cliente]],tblClientes[[#All],[id]:[nombre_contacto]],4,0)</f>
        <v>JHON ALBERT GUTIERREZ</v>
      </c>
    </row>
    <row r="865" spans="1:8" x14ac:dyDescent="0.25">
      <c r="A865">
        <v>864</v>
      </c>
      <c r="B865">
        <v>864</v>
      </c>
      <c r="C865" s="15">
        <v>3157703614</v>
      </c>
      <c r="D865" t="s">
        <v>4172</v>
      </c>
      <c r="F865" t="s">
        <v>3136</v>
      </c>
      <c r="G865" t="s">
        <v>3</v>
      </c>
      <c r="H865" t="str">
        <f>VLOOKUP(tblContactoCliente[[#This Row],[id_cliente]],tblClientes[[#All],[id]:[nombre_contacto]],4,0)</f>
        <v xml:space="preserve">LEONARDO MURILLO </v>
      </c>
    </row>
    <row r="866" spans="1:8" x14ac:dyDescent="0.25">
      <c r="A866">
        <v>865</v>
      </c>
      <c r="B866">
        <v>865</v>
      </c>
      <c r="C866" s="15">
        <v>3107782174</v>
      </c>
      <c r="D866" t="s">
        <v>3138</v>
      </c>
      <c r="F866" t="s">
        <v>1109</v>
      </c>
      <c r="G866" t="s">
        <v>3</v>
      </c>
      <c r="H866" t="str">
        <f>VLOOKUP(tblContactoCliente[[#This Row],[id_cliente]],tblClientes[[#All],[id]:[nombre_contacto]],4,0)</f>
        <v>LUCIA PARRA</v>
      </c>
    </row>
    <row r="867" spans="1:8" x14ac:dyDescent="0.25">
      <c r="A867">
        <v>866</v>
      </c>
      <c r="B867">
        <v>866</v>
      </c>
      <c r="C867" s="15">
        <v>3135152335</v>
      </c>
      <c r="D867" t="s">
        <v>3142</v>
      </c>
      <c r="F867" t="s">
        <v>2582</v>
      </c>
      <c r="G867" t="s">
        <v>3</v>
      </c>
      <c r="H867" t="str">
        <f>VLOOKUP(tblContactoCliente[[#This Row],[id_cliente]],tblClientes[[#All],[id]:[nombre_contacto]],4,0)</f>
        <v>XIOMARA ARCOS</v>
      </c>
    </row>
    <row r="868" spans="1:8" x14ac:dyDescent="0.25">
      <c r="A868">
        <v>867</v>
      </c>
      <c r="B868">
        <v>867</v>
      </c>
      <c r="C868" s="15">
        <v>3153166225</v>
      </c>
      <c r="D868" t="s">
        <v>3144</v>
      </c>
      <c r="F868" t="s">
        <v>501</v>
      </c>
      <c r="G868" t="s">
        <v>3</v>
      </c>
      <c r="H868" t="str">
        <f>VLOOKUP(tblContactoCliente[[#This Row],[id_cliente]],tblClientes[[#All],[id]:[nombre_contacto]],4,0)</f>
        <v xml:space="preserve">ERNESTO SANCHEZ </v>
      </c>
    </row>
    <row r="869" spans="1:8" x14ac:dyDescent="0.25">
      <c r="A869">
        <v>868</v>
      </c>
      <c r="B869">
        <v>868</v>
      </c>
      <c r="C869" s="15">
        <v>3152443345</v>
      </c>
      <c r="D869" t="s">
        <v>3148</v>
      </c>
      <c r="F869" t="s">
        <v>2405</v>
      </c>
      <c r="G869" t="s">
        <v>3</v>
      </c>
      <c r="H869" t="str">
        <f>VLOOKUP(tblContactoCliente[[#This Row],[id_cliente]],tblClientes[[#All],[id]:[nombre_contacto]],4,0)</f>
        <v>EDGAR SANCHEZ</v>
      </c>
    </row>
    <row r="870" spans="1:8" x14ac:dyDescent="0.25">
      <c r="A870">
        <v>869</v>
      </c>
      <c r="B870">
        <v>869</v>
      </c>
      <c r="C870" s="15">
        <v>3177480924</v>
      </c>
      <c r="D870" t="s">
        <v>3152</v>
      </c>
      <c r="F870" t="s">
        <v>3153</v>
      </c>
      <c r="G870" t="s">
        <v>3</v>
      </c>
      <c r="H870" t="str">
        <f>VLOOKUP(tblContactoCliente[[#This Row],[id_cliente]],tblClientes[[#All],[id]:[nombre_contacto]],4,0)</f>
        <v>JAIRO CARRILLO</v>
      </c>
    </row>
    <row r="871" spans="1:8" x14ac:dyDescent="0.25">
      <c r="A871">
        <v>870</v>
      </c>
      <c r="B871">
        <v>870</v>
      </c>
      <c r="C871" s="15">
        <v>3208366694</v>
      </c>
      <c r="D871" t="s">
        <v>3155</v>
      </c>
      <c r="F871" t="s">
        <v>795</v>
      </c>
      <c r="G871" t="s">
        <v>3</v>
      </c>
      <c r="H871" t="str">
        <f>VLOOKUP(tblContactoCliente[[#This Row],[id_cliente]],tblClientes[[#All],[id]:[nombre_contacto]],4,0)</f>
        <v>JAVIER CAICEDO</v>
      </c>
    </row>
    <row r="872" spans="1:8" x14ac:dyDescent="0.25">
      <c r="A872">
        <v>871</v>
      </c>
      <c r="B872">
        <v>871</v>
      </c>
      <c r="C872" s="15">
        <v>3184961483</v>
      </c>
      <c r="D872" t="s">
        <v>16</v>
      </c>
      <c r="F872" t="s">
        <v>4172</v>
      </c>
      <c r="G872" t="s">
        <v>16</v>
      </c>
      <c r="H872" t="str">
        <f>VLOOKUP(tblContactoCliente[[#This Row],[id_cliente]],tblClientes[[#All],[id]:[nombre_contacto]],4,0)</f>
        <v>GISELA ALVAREZ VANEGAS</v>
      </c>
    </row>
    <row r="873" spans="1:8" x14ac:dyDescent="0.25">
      <c r="A873">
        <v>872</v>
      </c>
      <c r="B873">
        <v>872</v>
      </c>
      <c r="C873" s="15">
        <v>3114727695</v>
      </c>
      <c r="D873" t="s">
        <v>2399</v>
      </c>
      <c r="F873" t="s">
        <v>4172</v>
      </c>
      <c r="G873" t="s">
        <v>3</v>
      </c>
      <c r="H873" t="str">
        <f>VLOOKUP(tblContactoCliente[[#This Row],[id_cliente]],tblClientes[[#All],[id]:[nombre_contacto]],4,0)</f>
        <v>JUAN CARLOS SERRANO</v>
      </c>
    </row>
    <row r="874" spans="1:8" x14ac:dyDescent="0.25">
      <c r="A874">
        <v>873</v>
      </c>
      <c r="B874">
        <v>873</v>
      </c>
      <c r="C874" s="15">
        <v>3213943781</v>
      </c>
      <c r="D874" t="s">
        <v>3161</v>
      </c>
      <c r="F874" t="s">
        <v>274</v>
      </c>
      <c r="G874" t="s">
        <v>3</v>
      </c>
      <c r="H874" t="str">
        <f>VLOOKUP(tblContactoCliente[[#This Row],[id_cliente]],tblClientes[[#All],[id]:[nombre_contacto]],4,0)</f>
        <v>MOISES PARAMO</v>
      </c>
    </row>
    <row r="875" spans="1:8" x14ac:dyDescent="0.25">
      <c r="A875">
        <v>874</v>
      </c>
      <c r="B875">
        <v>874</v>
      </c>
      <c r="C875" t="s">
        <v>4172</v>
      </c>
      <c r="D875" t="s">
        <v>4172</v>
      </c>
      <c r="F875" t="s">
        <v>4172</v>
      </c>
      <c r="G875" t="s">
        <v>3</v>
      </c>
      <c r="H875" t="str">
        <f>VLOOKUP(tblContactoCliente[[#This Row],[id_cliente]],tblClientes[[#All],[id]:[nombre_contacto]],4,0)</f>
        <v>EDWIN MAHECHA</v>
      </c>
    </row>
    <row r="876" spans="1:8" x14ac:dyDescent="0.25">
      <c r="A876">
        <v>875</v>
      </c>
      <c r="B876">
        <v>875</v>
      </c>
      <c r="C876" s="15">
        <v>3208439608</v>
      </c>
      <c r="D876" t="s">
        <v>3165</v>
      </c>
      <c r="F876" t="s">
        <v>4172</v>
      </c>
      <c r="G876" t="s">
        <v>3</v>
      </c>
      <c r="H876" t="str">
        <f>VLOOKUP(tblContactoCliente[[#This Row],[id_cliente]],tblClientes[[#All],[id]:[nombre_contacto]],4,0)</f>
        <v>SAMUEL CAMACHO</v>
      </c>
    </row>
    <row r="877" spans="1:8" x14ac:dyDescent="0.25">
      <c r="A877">
        <v>876</v>
      </c>
      <c r="B877">
        <v>876</v>
      </c>
      <c r="C877" s="15">
        <v>3164952394</v>
      </c>
      <c r="D877" t="s">
        <v>4172</v>
      </c>
      <c r="F877" t="s">
        <v>2324</v>
      </c>
      <c r="G877" t="s">
        <v>2324</v>
      </c>
      <c r="H877" t="str">
        <f>VLOOKUP(tblContactoCliente[[#This Row],[id_cliente]],tblClientes[[#All],[id]:[nombre_contacto]],4,0)</f>
        <v>JASIBIS CUDRIS</v>
      </c>
    </row>
    <row r="878" spans="1:8" x14ac:dyDescent="0.25">
      <c r="A878">
        <v>877</v>
      </c>
      <c r="B878">
        <v>877</v>
      </c>
      <c r="C878" s="15">
        <v>3022235153</v>
      </c>
      <c r="D878" t="s">
        <v>3169</v>
      </c>
      <c r="F878" t="s">
        <v>4172</v>
      </c>
      <c r="G878" t="s">
        <v>16</v>
      </c>
      <c r="H878" t="str">
        <f>VLOOKUP(tblContactoCliente[[#This Row],[id_cliente]],tblClientes[[#All],[id]:[nombre_contacto]],4,0)</f>
        <v>BRAYAN DAVID ZULUAGA</v>
      </c>
    </row>
    <row r="879" spans="1:8" x14ac:dyDescent="0.25">
      <c r="A879">
        <v>878</v>
      </c>
      <c r="B879">
        <v>878</v>
      </c>
      <c r="C879" s="15">
        <v>3208478791</v>
      </c>
      <c r="D879" t="s">
        <v>187</v>
      </c>
      <c r="F879" t="s">
        <v>187</v>
      </c>
      <c r="G879" t="s">
        <v>3</v>
      </c>
      <c r="H879" t="str">
        <f>VLOOKUP(tblContactoCliente[[#This Row],[id_cliente]],tblClientes[[#All],[id]:[nombre_contacto]],4,0)</f>
        <v>NUBIA ROA</v>
      </c>
    </row>
    <row r="880" spans="1:8" x14ac:dyDescent="0.25">
      <c r="A880">
        <v>879</v>
      </c>
      <c r="B880">
        <v>879</v>
      </c>
      <c r="C880" s="15">
        <v>3118520224</v>
      </c>
      <c r="D880" t="s">
        <v>3172</v>
      </c>
      <c r="F880" t="s">
        <v>747</v>
      </c>
      <c r="G880" t="s">
        <v>3</v>
      </c>
      <c r="H880" t="str">
        <f>VLOOKUP(tblContactoCliente[[#This Row],[id_cliente]],tblClientes[[#All],[id]:[nombre_contacto]],4,0)</f>
        <v>WILLSON MURCIA</v>
      </c>
    </row>
    <row r="881" spans="1:8" x14ac:dyDescent="0.25">
      <c r="A881">
        <v>880</v>
      </c>
      <c r="B881">
        <v>880</v>
      </c>
      <c r="C881" s="15">
        <v>3142072902</v>
      </c>
      <c r="D881" t="s">
        <v>3174</v>
      </c>
      <c r="F881" t="s">
        <v>3175</v>
      </c>
      <c r="G881" t="s">
        <v>3</v>
      </c>
      <c r="H881" t="str">
        <f>VLOOKUP(tblContactoCliente[[#This Row],[id_cliente]],tblClientes[[#All],[id]:[nombre_contacto]],4,0)</f>
        <v>ELMER OVIEDO</v>
      </c>
    </row>
    <row r="882" spans="1:8" x14ac:dyDescent="0.25">
      <c r="A882">
        <v>881</v>
      </c>
      <c r="B882">
        <v>881</v>
      </c>
      <c r="C882" t="s">
        <v>4172</v>
      </c>
      <c r="D882" t="s">
        <v>4172</v>
      </c>
      <c r="F882" t="s">
        <v>4172</v>
      </c>
      <c r="G882" t="s">
        <v>3</v>
      </c>
      <c r="H882" t="str">
        <f>VLOOKUP(tblContactoCliente[[#This Row],[id_cliente]],tblClientes[[#All],[id]:[nombre_contacto]],4,0)</f>
        <v xml:space="preserve">LUZ MARINA ORDOÑEZ </v>
      </c>
    </row>
    <row r="883" spans="1:8" x14ac:dyDescent="0.25">
      <c r="A883">
        <v>882</v>
      </c>
      <c r="B883">
        <v>882</v>
      </c>
      <c r="C883" s="15">
        <v>3142254521</v>
      </c>
      <c r="D883" t="s">
        <v>3179</v>
      </c>
      <c r="F883" t="s">
        <v>1915</v>
      </c>
      <c r="G883" t="s">
        <v>3180</v>
      </c>
      <c r="H883" t="str">
        <f>VLOOKUP(tblContactoCliente[[#This Row],[id_cliente]],tblClientes[[#All],[id]:[nombre_contacto]],4,0)</f>
        <v>JAVIER MORENO</v>
      </c>
    </row>
    <row r="884" spans="1:8" x14ac:dyDescent="0.25">
      <c r="A884">
        <v>883</v>
      </c>
      <c r="B884">
        <v>883</v>
      </c>
      <c r="C884" s="15">
        <v>3103224634</v>
      </c>
      <c r="D884" t="s">
        <v>3182</v>
      </c>
      <c r="F884" t="s">
        <v>3183</v>
      </c>
      <c r="G884" t="s">
        <v>3</v>
      </c>
      <c r="H884" t="str">
        <f>VLOOKUP(tblContactoCliente[[#This Row],[id_cliente]],tblClientes[[#All],[id]:[nombre_contacto]],4,0)</f>
        <v>WILSON MAARTINEZ</v>
      </c>
    </row>
    <row r="885" spans="1:8" x14ac:dyDescent="0.25">
      <c r="A885">
        <v>884</v>
      </c>
      <c r="B885">
        <v>884</v>
      </c>
      <c r="C885" s="15">
        <v>3144575249</v>
      </c>
      <c r="D885" t="s">
        <v>4172</v>
      </c>
      <c r="F885" t="s">
        <v>4172</v>
      </c>
      <c r="G885" t="s">
        <v>3</v>
      </c>
      <c r="H885" t="str">
        <f>VLOOKUP(tblContactoCliente[[#This Row],[id_cliente]],tblClientes[[#All],[id]:[nombre_contacto]],4,0)</f>
        <v>JESUS ANTONIO MARTINEZ</v>
      </c>
    </row>
    <row r="886" spans="1:8" x14ac:dyDescent="0.25">
      <c r="A886">
        <v>885</v>
      </c>
      <c r="B886">
        <v>885</v>
      </c>
      <c r="C886" s="15">
        <v>3004933510</v>
      </c>
      <c r="D886" t="s">
        <v>3186</v>
      </c>
      <c r="F886" t="s">
        <v>187</v>
      </c>
      <c r="G886" t="s">
        <v>3</v>
      </c>
      <c r="H886" t="str">
        <f>VLOOKUP(tblContactoCliente[[#This Row],[id_cliente]],tblClientes[[#All],[id]:[nombre_contacto]],4,0)</f>
        <v>DIDIER ALEXANDER ORDOÑEZ</v>
      </c>
    </row>
    <row r="887" spans="1:8" x14ac:dyDescent="0.25">
      <c r="A887">
        <v>886</v>
      </c>
      <c r="B887">
        <v>886</v>
      </c>
      <c r="C887" s="15">
        <v>3102391825</v>
      </c>
      <c r="D887" t="s">
        <v>3188</v>
      </c>
      <c r="F887" t="s">
        <v>3189</v>
      </c>
      <c r="G887" t="s">
        <v>3</v>
      </c>
      <c r="H887" t="str">
        <f>VLOOKUP(tblContactoCliente[[#This Row],[id_cliente]],tblClientes[[#All],[id]:[nombre_contacto]],4,0)</f>
        <v>FERNANDO ROMERO</v>
      </c>
    </row>
    <row r="888" spans="1:8" x14ac:dyDescent="0.25">
      <c r="A888">
        <v>887</v>
      </c>
      <c r="B888">
        <v>887</v>
      </c>
      <c r="C888" s="15">
        <v>2536224</v>
      </c>
      <c r="D888" t="s">
        <v>3191</v>
      </c>
      <c r="F888" t="s">
        <v>4172</v>
      </c>
      <c r="G888" t="s">
        <v>3</v>
      </c>
      <c r="H888" t="str">
        <f>VLOOKUP(tblContactoCliente[[#This Row],[id_cliente]],tblClientes[[#All],[id]:[nombre_contacto]],4,0)</f>
        <v>ALFONZO REYES</v>
      </c>
    </row>
    <row r="889" spans="1:8" x14ac:dyDescent="0.25">
      <c r="A889">
        <v>888</v>
      </c>
      <c r="B889">
        <v>888</v>
      </c>
      <c r="C889" s="15">
        <v>3508687327</v>
      </c>
      <c r="D889" t="s">
        <v>3197</v>
      </c>
      <c r="F889" t="s">
        <v>1946</v>
      </c>
      <c r="G889" t="s">
        <v>3</v>
      </c>
      <c r="H889" t="str">
        <f>VLOOKUP(tblContactoCliente[[#This Row],[id_cliente]],tblClientes[[#All],[id]:[nombre_contacto]],4,0)</f>
        <v>JUAN FERNANDO GOMEZ</v>
      </c>
    </row>
    <row r="890" spans="1:8" x14ac:dyDescent="0.25">
      <c r="A890">
        <v>889</v>
      </c>
      <c r="B890">
        <v>889</v>
      </c>
      <c r="C890" s="15">
        <v>3102100087</v>
      </c>
      <c r="G890" t="s">
        <v>3</v>
      </c>
      <c r="H890" t="str">
        <f>VLOOKUP(tblContactoCliente[[#This Row],[id_cliente]],tblClientes[[#All],[id]:[nombre_contacto]],4,0)</f>
        <v>ELBER SIERRA CORTES</v>
      </c>
    </row>
    <row r="891" spans="1:8" x14ac:dyDescent="0.25">
      <c r="A891">
        <v>890</v>
      </c>
      <c r="B891">
        <v>890</v>
      </c>
      <c r="C891" s="15">
        <v>3022510131</v>
      </c>
      <c r="D891" t="s">
        <v>3200</v>
      </c>
      <c r="F891" t="s">
        <v>187</v>
      </c>
      <c r="G891" t="s">
        <v>3</v>
      </c>
      <c r="H891" t="str">
        <f>VLOOKUP(tblContactoCliente[[#This Row],[id_cliente]],tblClientes[[#All],[id]:[nombre_contacto]],4,0)</f>
        <v>SAMUEL PACHON</v>
      </c>
    </row>
    <row r="892" spans="1:8" x14ac:dyDescent="0.25">
      <c r="A892">
        <v>891</v>
      </c>
      <c r="B892">
        <v>891</v>
      </c>
      <c r="C892" s="15">
        <v>3227997154</v>
      </c>
      <c r="D892" t="s">
        <v>3202</v>
      </c>
      <c r="F892" t="s">
        <v>187</v>
      </c>
      <c r="G892" t="s">
        <v>3</v>
      </c>
      <c r="H892" t="str">
        <f>VLOOKUP(tblContactoCliente[[#This Row],[id_cliente]],tblClientes[[#All],[id]:[nombre_contacto]],4,0)</f>
        <v>ARNOLD FAJARDO</v>
      </c>
    </row>
    <row r="893" spans="1:8" x14ac:dyDescent="0.25">
      <c r="A893">
        <v>892</v>
      </c>
      <c r="B893">
        <v>892</v>
      </c>
      <c r="C893" s="15">
        <v>3004615542</v>
      </c>
      <c r="D893" t="s">
        <v>4172</v>
      </c>
      <c r="F893" t="s">
        <v>4172</v>
      </c>
      <c r="G893" t="s">
        <v>3</v>
      </c>
      <c r="H893" t="str">
        <f>VLOOKUP(tblContactoCliente[[#This Row],[id_cliente]],tblClientes[[#All],[id]:[nombre_contacto]],4,0)</f>
        <v>JEISSON MONTOYA</v>
      </c>
    </row>
    <row r="894" spans="1:8" x14ac:dyDescent="0.25">
      <c r="A894">
        <v>893</v>
      </c>
      <c r="B894">
        <v>893</v>
      </c>
      <c r="C894" s="15">
        <v>3508565779</v>
      </c>
      <c r="D894" t="s">
        <v>3206</v>
      </c>
      <c r="F894" t="s">
        <v>3207</v>
      </c>
      <c r="G894" t="s">
        <v>3</v>
      </c>
      <c r="H894" t="str">
        <f>VLOOKUP(tblContactoCliente[[#This Row],[id_cliente]],tblClientes[[#All],[id]:[nombre_contacto]],4,0)</f>
        <v xml:space="preserve">LUZ SUAREZ </v>
      </c>
    </row>
    <row r="895" spans="1:8" x14ac:dyDescent="0.25">
      <c r="A895">
        <v>894</v>
      </c>
      <c r="B895">
        <v>894</v>
      </c>
      <c r="C895" s="15">
        <v>3002022466</v>
      </c>
      <c r="D895" t="s">
        <v>3209</v>
      </c>
      <c r="F895" t="s">
        <v>3210</v>
      </c>
      <c r="G895" t="s">
        <v>3</v>
      </c>
      <c r="H895" t="str">
        <f>VLOOKUP(tblContactoCliente[[#This Row],[id_cliente]],tblClientes[[#All],[id]:[nombre_contacto]],4,0)</f>
        <v>MARCO ANTONIO ALFONSO</v>
      </c>
    </row>
    <row r="896" spans="1:8" x14ac:dyDescent="0.25">
      <c r="A896">
        <v>895</v>
      </c>
      <c r="B896">
        <v>895</v>
      </c>
      <c r="C896" s="15">
        <v>3015941616</v>
      </c>
      <c r="D896" t="s">
        <v>3212</v>
      </c>
      <c r="F896" t="s">
        <v>703</v>
      </c>
      <c r="G896" t="s">
        <v>3</v>
      </c>
      <c r="H896" t="str">
        <f>VLOOKUP(tblContactoCliente[[#This Row],[id_cliente]],tblClientes[[#All],[id]:[nombre_contacto]],4,0)</f>
        <v>ALEJANDRA RODRIGUEZ</v>
      </c>
    </row>
    <row r="897" spans="1:8" x14ac:dyDescent="0.25">
      <c r="A897">
        <v>896</v>
      </c>
      <c r="B897">
        <v>896</v>
      </c>
      <c r="C897" s="15">
        <v>3156434708</v>
      </c>
      <c r="D897" t="s">
        <v>3217</v>
      </c>
      <c r="F897" t="s">
        <v>187</v>
      </c>
      <c r="G897" t="s">
        <v>3</v>
      </c>
      <c r="H897" t="str">
        <f>VLOOKUP(tblContactoCliente[[#This Row],[id_cliente]],tblClientes[[#All],[id]:[nombre_contacto]],4,0)</f>
        <v>HERNANDO GUZMAN</v>
      </c>
    </row>
    <row r="898" spans="1:8" x14ac:dyDescent="0.25">
      <c r="A898">
        <v>897</v>
      </c>
      <c r="B898">
        <v>897</v>
      </c>
      <c r="C898" s="15">
        <v>3024263673</v>
      </c>
      <c r="D898" t="s">
        <v>3222</v>
      </c>
      <c r="F898" t="s">
        <v>3223</v>
      </c>
      <c r="G898" t="s">
        <v>3</v>
      </c>
      <c r="H898" t="str">
        <f>VLOOKUP(tblContactoCliente[[#This Row],[id_cliente]],tblClientes[[#All],[id]:[nombre_contacto]],4,0)</f>
        <v>DANIEL EDUARDO YEPES</v>
      </c>
    </row>
    <row r="899" spans="1:8" x14ac:dyDescent="0.25">
      <c r="A899">
        <v>898</v>
      </c>
      <c r="B899">
        <v>898</v>
      </c>
      <c r="C899" s="15">
        <v>3134211305</v>
      </c>
      <c r="D899" t="s">
        <v>3226</v>
      </c>
      <c r="F899" t="s">
        <v>3227</v>
      </c>
      <c r="G899" t="s">
        <v>3</v>
      </c>
      <c r="H899" t="str">
        <f>VLOOKUP(tblContactoCliente[[#This Row],[id_cliente]],tblClientes[[#All],[id]:[nombre_contacto]],4,0)</f>
        <v>CARLOS REYES</v>
      </c>
    </row>
    <row r="900" spans="1:8" x14ac:dyDescent="0.25">
      <c r="A900">
        <v>899</v>
      </c>
      <c r="B900">
        <v>899</v>
      </c>
      <c r="C900" s="15">
        <v>3158080327</v>
      </c>
      <c r="D900" t="s">
        <v>3230</v>
      </c>
      <c r="F900" t="s">
        <v>1408</v>
      </c>
      <c r="G900" t="s">
        <v>3</v>
      </c>
      <c r="H900" t="str">
        <f>VLOOKUP(tblContactoCliente[[#This Row],[id_cliente]],tblClientes[[#All],[id]:[nombre_contacto]],4,0)</f>
        <v>LEONEL GALLEGO</v>
      </c>
    </row>
    <row r="901" spans="1:8" x14ac:dyDescent="0.25">
      <c r="A901">
        <v>900</v>
      </c>
      <c r="B901">
        <v>900</v>
      </c>
      <c r="C901" s="15">
        <v>3004299012</v>
      </c>
      <c r="D901" t="s">
        <v>3232</v>
      </c>
      <c r="F901" t="s">
        <v>3233</v>
      </c>
      <c r="G901" t="s">
        <v>3</v>
      </c>
      <c r="H901" t="str">
        <f>VLOOKUP(tblContactoCliente[[#This Row],[id_cliente]],tblClientes[[#All],[id]:[nombre_contacto]],4,0)</f>
        <v>LEONARDO CUASPUD</v>
      </c>
    </row>
    <row r="902" spans="1:8" x14ac:dyDescent="0.25">
      <c r="A902">
        <v>901</v>
      </c>
      <c r="B902">
        <v>901</v>
      </c>
      <c r="C902" s="15">
        <v>3023431763</v>
      </c>
      <c r="D902" t="s">
        <v>3237</v>
      </c>
      <c r="F902" t="s">
        <v>3238</v>
      </c>
      <c r="G902" t="s">
        <v>3</v>
      </c>
      <c r="H902" t="str">
        <f>VLOOKUP(tblContactoCliente[[#This Row],[id_cliente]],tblClientes[[#All],[id]:[nombre_contacto]],4,0)</f>
        <v>ANDRES QUIJANO</v>
      </c>
    </row>
    <row r="903" spans="1:8" x14ac:dyDescent="0.25">
      <c r="A903">
        <v>902</v>
      </c>
      <c r="B903">
        <v>902</v>
      </c>
      <c r="C903" s="15">
        <v>3216417207</v>
      </c>
      <c r="D903" t="s">
        <v>3244</v>
      </c>
      <c r="F903" t="s">
        <v>187</v>
      </c>
      <c r="G903" t="s">
        <v>3</v>
      </c>
      <c r="H903" t="str">
        <f>VLOOKUP(tblContactoCliente[[#This Row],[id_cliente]],tblClientes[[#All],[id]:[nombre_contacto]],4,0)</f>
        <v>HENRY DELGADO (ARTEX)</v>
      </c>
    </row>
    <row r="904" spans="1:8" x14ac:dyDescent="0.25">
      <c r="A904">
        <v>903</v>
      </c>
      <c r="B904">
        <v>903</v>
      </c>
      <c r="C904" s="15">
        <v>3148883137</v>
      </c>
      <c r="D904" t="s">
        <v>16</v>
      </c>
      <c r="F904" t="s">
        <v>16</v>
      </c>
      <c r="G904" t="s">
        <v>16</v>
      </c>
      <c r="H904" t="str">
        <f>VLOOKUP(tblContactoCliente[[#This Row],[id_cliente]],tblClientes[[#All],[id]:[nombre_contacto]],4,0)</f>
        <v>YULIANA ANDREA NOHAVA</v>
      </c>
    </row>
    <row r="905" spans="1:8" x14ac:dyDescent="0.25">
      <c r="A905">
        <v>904</v>
      </c>
      <c r="B905">
        <v>904</v>
      </c>
      <c r="C905" s="15">
        <v>3102345854</v>
      </c>
      <c r="D905" t="s">
        <v>3248</v>
      </c>
      <c r="F905" t="s">
        <v>3249</v>
      </c>
      <c r="G905" t="s">
        <v>467</v>
      </c>
      <c r="H905" t="str">
        <f>VLOOKUP(tblContactoCliente[[#This Row],[id_cliente]],tblClientes[[#All],[id]:[nombre_contacto]],4,0)</f>
        <v>DIEGO FERNANDO PINEDA</v>
      </c>
    </row>
    <row r="906" spans="1:8" x14ac:dyDescent="0.25">
      <c r="A906">
        <v>905</v>
      </c>
      <c r="B906">
        <v>905</v>
      </c>
      <c r="C906" s="15">
        <v>3222647265</v>
      </c>
      <c r="D906" t="s">
        <v>3252</v>
      </c>
      <c r="F906" t="s">
        <v>795</v>
      </c>
      <c r="G906" t="s">
        <v>3</v>
      </c>
      <c r="H906" t="str">
        <f>VLOOKUP(tblContactoCliente[[#This Row],[id_cliente]],tblClientes[[#All],[id]:[nombre_contacto]],4,0)</f>
        <v>ELICEO CUCAYTA CRUZ</v>
      </c>
    </row>
    <row r="907" spans="1:8" x14ac:dyDescent="0.25">
      <c r="A907">
        <v>906</v>
      </c>
      <c r="B907">
        <v>906</v>
      </c>
      <c r="C907" s="15">
        <v>3218829073</v>
      </c>
      <c r="D907" t="s">
        <v>3254</v>
      </c>
      <c r="F907" t="s">
        <v>3255</v>
      </c>
      <c r="G907" t="s">
        <v>3</v>
      </c>
      <c r="H907" t="str">
        <f>VLOOKUP(tblContactoCliente[[#This Row],[id_cliente]],tblClientes[[#All],[id]:[nombre_contacto]],4,0)</f>
        <v>JUAN CARLOS QUEZADA TRUJILLO</v>
      </c>
    </row>
    <row r="908" spans="1:8" x14ac:dyDescent="0.25">
      <c r="A908">
        <v>907</v>
      </c>
      <c r="B908">
        <v>907</v>
      </c>
      <c r="C908" s="15">
        <v>3124029304</v>
      </c>
      <c r="D908" t="s">
        <v>3259</v>
      </c>
      <c r="F908" t="s">
        <v>1178</v>
      </c>
      <c r="G908" t="s">
        <v>3</v>
      </c>
      <c r="H908" t="str">
        <f>VLOOKUP(tblContactoCliente[[#This Row],[id_cliente]],tblClientes[[#All],[id]:[nombre_contacto]],4,0)</f>
        <v>RUBEN MUÑOZ</v>
      </c>
    </row>
    <row r="909" spans="1:8" x14ac:dyDescent="0.25">
      <c r="A909">
        <v>908</v>
      </c>
      <c r="B909">
        <v>908</v>
      </c>
      <c r="C909" s="15">
        <v>3108566500</v>
      </c>
      <c r="D909" t="s">
        <v>3261</v>
      </c>
      <c r="F909" t="s">
        <v>595</v>
      </c>
      <c r="G909" t="s">
        <v>3</v>
      </c>
      <c r="H909" t="str">
        <f>VLOOKUP(tblContactoCliente[[#This Row],[id_cliente]],tblClientes[[#All],[id]:[nombre_contacto]],4,0)</f>
        <v>EDUARDO GONZALEZ OTALORA</v>
      </c>
    </row>
    <row r="910" spans="1:8" x14ac:dyDescent="0.25">
      <c r="A910">
        <v>909</v>
      </c>
      <c r="B910">
        <v>909</v>
      </c>
      <c r="C910" s="15">
        <v>3106897722</v>
      </c>
      <c r="D910" t="s">
        <v>3266</v>
      </c>
      <c r="F910" t="s">
        <v>1036</v>
      </c>
      <c r="G910" t="s">
        <v>3</v>
      </c>
      <c r="H910" t="str">
        <f>VLOOKUP(tblContactoCliente[[#This Row],[id_cliente]],tblClientes[[#All],[id]:[nombre_contacto]],4,0)</f>
        <v>ALEXANDRA PARRA</v>
      </c>
    </row>
    <row r="911" spans="1:8" x14ac:dyDescent="0.25">
      <c r="A911">
        <v>910</v>
      </c>
      <c r="B911">
        <v>910</v>
      </c>
      <c r="C911" s="15">
        <v>3144107222</v>
      </c>
      <c r="D911" t="s">
        <v>3268</v>
      </c>
      <c r="F911" t="s">
        <v>165</v>
      </c>
      <c r="G911" t="s">
        <v>165</v>
      </c>
      <c r="H911" t="str">
        <f>VLOOKUP(tblContactoCliente[[#This Row],[id_cliente]],tblClientes[[#All],[id]:[nombre_contacto]],4,0)</f>
        <v>CESAR VERA</v>
      </c>
    </row>
    <row r="912" spans="1:8" x14ac:dyDescent="0.25">
      <c r="A912">
        <v>911</v>
      </c>
      <c r="B912">
        <v>911</v>
      </c>
      <c r="C912" s="15">
        <v>3112731070</v>
      </c>
      <c r="D912" t="s">
        <v>3272</v>
      </c>
      <c r="F912" t="s">
        <v>3273</v>
      </c>
      <c r="G912" t="s">
        <v>3</v>
      </c>
      <c r="H912" t="str">
        <f>VLOOKUP(tblContactoCliente[[#This Row],[id_cliente]],tblClientes[[#All],[id]:[nombre_contacto]],4,0)</f>
        <v>DIANA PIZA AGUILAR</v>
      </c>
    </row>
    <row r="913" spans="1:8" x14ac:dyDescent="0.25">
      <c r="A913">
        <v>912</v>
      </c>
      <c r="B913">
        <v>912</v>
      </c>
      <c r="C913" s="15">
        <v>3214945930</v>
      </c>
      <c r="D913" t="s">
        <v>187</v>
      </c>
      <c r="F913" t="s">
        <v>187</v>
      </c>
      <c r="G913" t="s">
        <v>3</v>
      </c>
      <c r="H913" t="str">
        <f>VLOOKUP(tblContactoCliente[[#This Row],[id_cliente]],tblClientes[[#All],[id]:[nombre_contacto]],4,0)</f>
        <v>WILMER HUMBERTO CARABALI/PERALTEX</v>
      </c>
    </row>
    <row r="914" spans="1:8" x14ac:dyDescent="0.25">
      <c r="A914">
        <v>913</v>
      </c>
      <c r="B914">
        <v>913</v>
      </c>
      <c r="C914" s="15">
        <v>3209063122</v>
      </c>
      <c r="D914" t="s">
        <v>3279</v>
      </c>
      <c r="F914" t="s">
        <v>3280</v>
      </c>
      <c r="G914" t="s">
        <v>3</v>
      </c>
      <c r="H914" t="str">
        <f>VLOOKUP(tblContactoCliente[[#This Row],[id_cliente]],tblClientes[[#All],[id]:[nombre_contacto]],4,0)</f>
        <v>LIGIA NAVARRO</v>
      </c>
    </row>
    <row r="915" spans="1:8" x14ac:dyDescent="0.25">
      <c r="A915">
        <v>914</v>
      </c>
      <c r="B915">
        <v>914</v>
      </c>
      <c r="C915" s="15">
        <v>678678678</v>
      </c>
      <c r="D915" t="s">
        <v>3282</v>
      </c>
      <c r="F915" t="s">
        <v>3283</v>
      </c>
      <c r="G915" t="s">
        <v>3</v>
      </c>
      <c r="H915" t="str">
        <f>VLOOKUP(tblContactoCliente[[#This Row],[id_cliente]],tblClientes[[#All],[id]:[nombre_contacto]],4,0)</f>
        <v>JOE OSORIO</v>
      </c>
    </row>
    <row r="916" spans="1:8" x14ac:dyDescent="0.25">
      <c r="A916">
        <v>915</v>
      </c>
      <c r="B916">
        <v>915</v>
      </c>
      <c r="C916" s="15">
        <v>3123253923</v>
      </c>
      <c r="D916" t="s">
        <v>3287</v>
      </c>
      <c r="F916" t="s">
        <v>2575</v>
      </c>
      <c r="G916" t="s">
        <v>3</v>
      </c>
      <c r="H916" t="str">
        <f>VLOOKUP(tblContactoCliente[[#This Row],[id_cliente]],tblClientes[[#All],[id]:[nombre_contacto]],4,0)</f>
        <v>ORANGEL PEÑARANDA</v>
      </c>
    </row>
    <row r="917" spans="1:8" x14ac:dyDescent="0.25">
      <c r="A917">
        <v>916</v>
      </c>
      <c r="B917">
        <v>916</v>
      </c>
      <c r="C917" s="15">
        <v>3212249928</v>
      </c>
      <c r="D917" t="s">
        <v>3291</v>
      </c>
      <c r="F917" t="s">
        <v>2415</v>
      </c>
      <c r="G917" t="s">
        <v>3</v>
      </c>
      <c r="H917" t="str">
        <f>VLOOKUP(tblContactoCliente[[#This Row],[id_cliente]],tblClientes[[#All],[id]:[nombre_contacto]],4,0)</f>
        <v>CAROLINA RAMIREZ DUQUE</v>
      </c>
    </row>
    <row r="918" spans="1:8" x14ac:dyDescent="0.25">
      <c r="A918">
        <v>917</v>
      </c>
      <c r="B918">
        <v>917</v>
      </c>
      <c r="C918" s="15">
        <v>3168095059</v>
      </c>
      <c r="D918" t="s">
        <v>3294</v>
      </c>
      <c r="F918" t="s">
        <v>3295</v>
      </c>
      <c r="G918" t="s">
        <v>3</v>
      </c>
      <c r="H918" t="str">
        <f>VLOOKUP(tblContactoCliente[[#This Row],[id_cliente]],tblClientes[[#All],[id]:[nombre_contacto]],4,0)</f>
        <v>GUSTAVO VINASCO</v>
      </c>
    </row>
    <row r="919" spans="1:8" x14ac:dyDescent="0.25">
      <c r="A919">
        <v>918</v>
      </c>
      <c r="B919">
        <v>918</v>
      </c>
      <c r="C919" s="15">
        <v>3133899215</v>
      </c>
      <c r="D919" t="s">
        <v>3297</v>
      </c>
      <c r="F919" t="s">
        <v>2546</v>
      </c>
      <c r="G919" t="s">
        <v>3</v>
      </c>
      <c r="H919" t="str">
        <f>VLOOKUP(tblContactoCliente[[#This Row],[id_cliente]],tblClientes[[#All],[id]:[nombre_contacto]],4,0)</f>
        <v>JUAN CARLOS MAECHA</v>
      </c>
    </row>
    <row r="920" spans="1:8" x14ac:dyDescent="0.25">
      <c r="A920">
        <v>919</v>
      </c>
      <c r="B920">
        <v>919</v>
      </c>
      <c r="C920" s="15">
        <v>3113910043</v>
      </c>
      <c r="D920" t="s">
        <v>3299</v>
      </c>
      <c r="F920" t="s">
        <v>3300</v>
      </c>
      <c r="G920" t="s">
        <v>3301</v>
      </c>
      <c r="H920" t="str">
        <f>VLOOKUP(tblContactoCliente[[#This Row],[id_cliente]],tblClientes[[#All],[id]:[nombre_contacto]],4,0)</f>
        <v>LEIDY JOHANA PALACIO/ CARLOS CASTAÑEDA</v>
      </c>
    </row>
    <row r="921" spans="1:8" x14ac:dyDescent="0.25">
      <c r="A921">
        <v>920</v>
      </c>
      <c r="B921">
        <v>920</v>
      </c>
      <c r="C921" s="15">
        <v>3143061567</v>
      </c>
      <c r="D921" t="s">
        <v>3304</v>
      </c>
      <c r="F921" t="s">
        <v>513</v>
      </c>
      <c r="G921" t="s">
        <v>3</v>
      </c>
      <c r="H921" t="str">
        <f>VLOOKUP(tblContactoCliente[[#This Row],[id_cliente]],tblClientes[[#All],[id]:[nombre_contacto]],4,0)</f>
        <v>HENRY CIFUENTES</v>
      </c>
    </row>
    <row r="922" spans="1:8" x14ac:dyDescent="0.25">
      <c r="A922">
        <v>921</v>
      </c>
      <c r="B922">
        <v>921</v>
      </c>
      <c r="C922" s="15">
        <v>3124578462</v>
      </c>
      <c r="D922" t="s">
        <v>3308</v>
      </c>
      <c r="F922" t="s">
        <v>2965</v>
      </c>
      <c r="G922" t="s">
        <v>3</v>
      </c>
      <c r="H922" t="str">
        <f>VLOOKUP(tblContactoCliente[[#This Row],[id_cliente]],tblClientes[[#All],[id]:[nombre_contacto]],4,0)</f>
        <v>EMIRO MUÑOZ</v>
      </c>
    </row>
    <row r="923" spans="1:8" x14ac:dyDescent="0.25">
      <c r="A923">
        <v>922</v>
      </c>
      <c r="B923">
        <v>922</v>
      </c>
      <c r="C923" s="15">
        <v>3136048127</v>
      </c>
      <c r="D923" t="s">
        <v>3310</v>
      </c>
      <c r="F923" t="s">
        <v>3311</v>
      </c>
      <c r="G923" t="s">
        <v>3</v>
      </c>
      <c r="H923" t="str">
        <f>VLOOKUP(tblContactoCliente[[#This Row],[id_cliente]],tblClientes[[#All],[id]:[nombre_contacto]],4,0)</f>
        <v>ROMMEL NOVA</v>
      </c>
    </row>
    <row r="924" spans="1:8" x14ac:dyDescent="0.25">
      <c r="A924">
        <v>923</v>
      </c>
      <c r="B924">
        <v>923</v>
      </c>
      <c r="C924" s="15">
        <v>3144359660</v>
      </c>
      <c r="D924" t="s">
        <v>3315</v>
      </c>
      <c r="F924" t="s">
        <v>2965</v>
      </c>
      <c r="G924" t="s">
        <v>3</v>
      </c>
      <c r="H924" t="str">
        <f>VLOOKUP(tblContactoCliente[[#This Row],[id_cliente]],tblClientes[[#All],[id]:[nombre_contacto]],4,0)</f>
        <v>SERGIO MUÑOZ</v>
      </c>
    </row>
    <row r="925" spans="1:8" x14ac:dyDescent="0.25">
      <c r="A925">
        <v>924</v>
      </c>
      <c r="B925">
        <v>924</v>
      </c>
      <c r="C925" s="15">
        <v>3165319973</v>
      </c>
      <c r="D925" t="s">
        <v>3317</v>
      </c>
      <c r="F925" t="s">
        <v>3318</v>
      </c>
      <c r="G925" t="s">
        <v>612</v>
      </c>
      <c r="H925" t="str">
        <f>VLOOKUP(tblContactoCliente[[#This Row],[id_cliente]],tblClientes[[#All],[id]:[nombre_contacto]],4,0)</f>
        <v>LIANELA MARTINEZ</v>
      </c>
    </row>
    <row r="926" spans="1:8" x14ac:dyDescent="0.25">
      <c r="A926">
        <v>925</v>
      </c>
      <c r="B926">
        <v>925</v>
      </c>
      <c r="C926" s="15">
        <v>3112206923</v>
      </c>
      <c r="D926" t="s">
        <v>3321</v>
      </c>
      <c r="F926" t="s">
        <v>146</v>
      </c>
      <c r="G926" t="s">
        <v>467</v>
      </c>
      <c r="H926" t="str">
        <f>VLOOKUP(tblContactoCliente[[#This Row],[id_cliente]],tblClientes[[#All],[id]:[nombre_contacto]],4,0)</f>
        <v>GERSSON LAISECA</v>
      </c>
    </row>
    <row r="927" spans="1:8" x14ac:dyDescent="0.25">
      <c r="A927">
        <v>926</v>
      </c>
      <c r="B927">
        <v>926</v>
      </c>
      <c r="C927" s="15">
        <v>311508199</v>
      </c>
      <c r="D927" t="s">
        <v>3323</v>
      </c>
      <c r="F927" t="s">
        <v>187</v>
      </c>
      <c r="G927" t="s">
        <v>3</v>
      </c>
      <c r="H927" t="str">
        <f>VLOOKUP(tblContactoCliente[[#This Row],[id_cliente]],tblClientes[[#All],[id]:[nombre_contacto]],4,0)</f>
        <v>NANCY PATRICIA USECHE</v>
      </c>
    </row>
    <row r="928" spans="1:8" x14ac:dyDescent="0.25">
      <c r="A928">
        <v>927</v>
      </c>
      <c r="B928">
        <v>927</v>
      </c>
      <c r="C928" s="15">
        <v>3124882392</v>
      </c>
      <c r="D928" t="s">
        <v>3327</v>
      </c>
      <c r="F928" t="s">
        <v>296</v>
      </c>
      <c r="G928" t="s">
        <v>3</v>
      </c>
      <c r="H928" t="str">
        <f>VLOOKUP(tblContactoCliente[[#This Row],[id_cliente]],tblClientes[[#All],[id]:[nombre_contacto]],4,0)</f>
        <v>ROIMER HERNANDEZ</v>
      </c>
    </row>
    <row r="929" spans="1:8" x14ac:dyDescent="0.25">
      <c r="A929">
        <v>928</v>
      </c>
      <c r="B929">
        <v>928</v>
      </c>
      <c r="C929" s="15">
        <v>3143299873</v>
      </c>
      <c r="D929" t="s">
        <v>3329</v>
      </c>
      <c r="F929" t="s">
        <v>3233</v>
      </c>
      <c r="G929" t="s">
        <v>3</v>
      </c>
      <c r="H929" t="str">
        <f>VLOOKUP(tblContactoCliente[[#This Row],[id_cliente]],tblClientes[[#All],[id]:[nombre_contacto]],4,0)</f>
        <v>JOSE BARRERA</v>
      </c>
    </row>
    <row r="930" spans="1:8" x14ac:dyDescent="0.25">
      <c r="A930">
        <v>929</v>
      </c>
      <c r="B930">
        <v>929</v>
      </c>
      <c r="C930" s="15">
        <v>3125020498</v>
      </c>
      <c r="D930" t="s">
        <v>3331</v>
      </c>
      <c r="F930" t="s">
        <v>2328</v>
      </c>
      <c r="G930" t="s">
        <v>3</v>
      </c>
      <c r="H930" t="str">
        <f>VLOOKUP(tblContactoCliente[[#This Row],[id_cliente]],tblClientes[[#All],[id]:[nombre_contacto]],4,0)</f>
        <v>NANCY CUBILLOS</v>
      </c>
    </row>
    <row r="931" spans="1:8" x14ac:dyDescent="0.25">
      <c r="A931">
        <v>930</v>
      </c>
      <c r="B931">
        <v>930</v>
      </c>
      <c r="C931" s="15">
        <v>3124991286</v>
      </c>
      <c r="D931" t="s">
        <v>3333</v>
      </c>
      <c r="F931" t="s">
        <v>410</v>
      </c>
      <c r="G931" t="s">
        <v>3</v>
      </c>
      <c r="H931" t="str">
        <f>VLOOKUP(tblContactoCliente[[#This Row],[id_cliente]],tblClientes[[#All],[id]:[nombre_contacto]],4,0)</f>
        <v>JAIRO ALBERTO GARZON</v>
      </c>
    </row>
    <row r="932" spans="1:8" x14ac:dyDescent="0.25">
      <c r="A932">
        <v>931</v>
      </c>
      <c r="B932">
        <v>931</v>
      </c>
      <c r="C932" s="15">
        <v>3102471914</v>
      </c>
      <c r="D932" t="s">
        <v>3336</v>
      </c>
      <c r="F932" t="s">
        <v>795</v>
      </c>
      <c r="G932" t="s">
        <v>3</v>
      </c>
      <c r="H932" t="str">
        <f>VLOOKUP(tblContactoCliente[[#This Row],[id_cliente]],tblClientes[[#All],[id]:[nombre_contacto]],4,0)</f>
        <v>JUAN CARLOS BLANCO OCHOA</v>
      </c>
    </row>
    <row r="933" spans="1:8" x14ac:dyDescent="0.25">
      <c r="A933">
        <v>932</v>
      </c>
      <c r="B933">
        <v>932</v>
      </c>
      <c r="C933" s="15">
        <v>3108696292</v>
      </c>
      <c r="D933" t="s">
        <v>3341</v>
      </c>
      <c r="F933" t="s">
        <v>880</v>
      </c>
      <c r="G933" t="s">
        <v>3</v>
      </c>
      <c r="H933" t="str">
        <f>VLOOKUP(tblContactoCliente[[#This Row],[id_cliente]],tblClientes[[#All],[id]:[nombre_contacto]],4,0)</f>
        <v>LAURA GUERRA</v>
      </c>
    </row>
    <row r="934" spans="1:8" x14ac:dyDescent="0.25">
      <c r="A934">
        <v>933</v>
      </c>
      <c r="B934">
        <v>933</v>
      </c>
      <c r="C934" s="15">
        <v>3228107866</v>
      </c>
      <c r="D934" t="s">
        <v>4172</v>
      </c>
      <c r="F934" t="s">
        <v>4172</v>
      </c>
      <c r="G934" t="s">
        <v>3</v>
      </c>
      <c r="H934" t="str">
        <f>VLOOKUP(tblContactoCliente[[#This Row],[id_cliente]],tblClientes[[#All],[id]:[nombre_contacto]],4,0)</f>
        <v>MICHAEL NIZRI</v>
      </c>
    </row>
    <row r="935" spans="1:8" x14ac:dyDescent="0.25">
      <c r="A935">
        <v>934</v>
      </c>
      <c r="B935">
        <v>934</v>
      </c>
      <c r="C935" s="15">
        <v>3127584935</v>
      </c>
      <c r="D935" t="s">
        <v>3346</v>
      </c>
      <c r="F935" t="s">
        <v>4172</v>
      </c>
      <c r="G935" t="s">
        <v>3</v>
      </c>
      <c r="H935" t="str">
        <f>VLOOKUP(tblContactoCliente[[#This Row],[id_cliente]],tblClientes[[#All],[id]:[nombre_contacto]],4,0)</f>
        <v>ALEX RESTREPO CUENCAS</v>
      </c>
    </row>
    <row r="936" spans="1:8" x14ac:dyDescent="0.25">
      <c r="A936">
        <v>935</v>
      </c>
      <c r="B936">
        <v>935</v>
      </c>
      <c r="C936">
        <v>3158329365</v>
      </c>
      <c r="D936" t="s">
        <v>3349</v>
      </c>
      <c r="F936" t="s">
        <v>2123</v>
      </c>
      <c r="G936" t="s">
        <v>3</v>
      </c>
      <c r="H936" t="str">
        <f>VLOOKUP(tblContactoCliente[[#This Row],[id_cliente]],tblClientes[[#All],[id]:[nombre_contacto]],4,0)</f>
        <v>MAURICIO AGUILLON</v>
      </c>
    </row>
    <row r="937" spans="1:8" x14ac:dyDescent="0.25">
      <c r="A937">
        <v>936</v>
      </c>
      <c r="B937">
        <v>936</v>
      </c>
      <c r="C937" s="15">
        <v>3118105316</v>
      </c>
      <c r="D937" t="s">
        <v>3351</v>
      </c>
      <c r="F937" t="s">
        <v>3352</v>
      </c>
      <c r="G937" t="s">
        <v>3</v>
      </c>
      <c r="H937" t="str">
        <f>VLOOKUP(tblContactoCliente[[#This Row],[id_cliente]],tblClientes[[#All],[id]:[nombre_contacto]],4,0)</f>
        <v>ANGELICA BASTO</v>
      </c>
    </row>
    <row r="938" spans="1:8" x14ac:dyDescent="0.25">
      <c r="A938">
        <v>937</v>
      </c>
      <c r="B938">
        <v>937</v>
      </c>
      <c r="C938" s="15">
        <v>3113854503</v>
      </c>
      <c r="D938" t="s">
        <v>3354</v>
      </c>
      <c r="F938" t="s">
        <v>1455</v>
      </c>
      <c r="G938" t="s">
        <v>429</v>
      </c>
      <c r="H938" t="str">
        <f>VLOOKUP(tblContactoCliente[[#This Row],[id_cliente]],tblClientes[[#All],[id]:[nombre_contacto]],4,0)</f>
        <v xml:space="preserve">GIOVANNY NOGUERA </v>
      </c>
    </row>
    <row r="939" spans="1:8" x14ac:dyDescent="0.25">
      <c r="A939">
        <v>938</v>
      </c>
      <c r="B939">
        <v>938</v>
      </c>
      <c r="C939" s="15">
        <v>3186956700</v>
      </c>
      <c r="D939" t="s">
        <v>3356</v>
      </c>
      <c r="F939" t="s">
        <v>3357</v>
      </c>
      <c r="G939" t="s">
        <v>3</v>
      </c>
      <c r="H939" t="str">
        <f>VLOOKUP(tblContactoCliente[[#This Row],[id_cliente]],tblClientes[[#All],[id]:[nombre_contacto]],4,0)</f>
        <v>DANIEL JULIAO</v>
      </c>
    </row>
    <row r="940" spans="1:8" x14ac:dyDescent="0.25">
      <c r="A940">
        <v>939</v>
      </c>
      <c r="B940">
        <v>939</v>
      </c>
      <c r="C940" t="s">
        <v>4172</v>
      </c>
      <c r="D940" t="s">
        <v>3359</v>
      </c>
      <c r="F940" t="s">
        <v>4172</v>
      </c>
      <c r="G940" t="s">
        <v>3</v>
      </c>
      <c r="H940" t="str">
        <f>VLOOKUP(tblContactoCliente[[#This Row],[id_cliente]],tblClientes[[#All],[id]:[nombre_contacto]],4,0)</f>
        <v>CARLOS PINEDA</v>
      </c>
    </row>
    <row r="941" spans="1:8" x14ac:dyDescent="0.25">
      <c r="A941">
        <v>940</v>
      </c>
      <c r="B941">
        <v>940</v>
      </c>
      <c r="C941" s="15">
        <v>3203650863</v>
      </c>
      <c r="D941" t="s">
        <v>3363</v>
      </c>
      <c r="F941" t="s">
        <v>3364</v>
      </c>
      <c r="G941" t="s">
        <v>3</v>
      </c>
      <c r="H941" t="str">
        <f>VLOOKUP(tblContactoCliente[[#This Row],[id_cliente]],tblClientes[[#All],[id]:[nombre_contacto]],4,0)</f>
        <v>LOLA GUTIERREZ</v>
      </c>
    </row>
    <row r="942" spans="1:8" x14ac:dyDescent="0.25">
      <c r="A942">
        <v>941</v>
      </c>
      <c r="B942">
        <v>941</v>
      </c>
      <c r="C942" s="15">
        <v>3157133578</v>
      </c>
      <c r="D942" t="s">
        <v>3366</v>
      </c>
      <c r="F942" t="s">
        <v>4172</v>
      </c>
      <c r="G942" t="s">
        <v>3</v>
      </c>
      <c r="H942" t="str">
        <f>VLOOKUP(tblContactoCliente[[#This Row],[id_cliente]],tblClientes[[#All],[id]:[nombre_contacto]],4,0)</f>
        <v>GINA MILENA AMORTEGUI CUELLAR</v>
      </c>
    </row>
    <row r="943" spans="1:8" x14ac:dyDescent="0.25">
      <c r="A943">
        <v>942</v>
      </c>
      <c r="B943">
        <v>942</v>
      </c>
      <c r="C943" s="15">
        <v>3163452304</v>
      </c>
      <c r="D943" t="s">
        <v>3369</v>
      </c>
      <c r="F943" t="s">
        <v>3370</v>
      </c>
      <c r="G943" t="s">
        <v>3</v>
      </c>
      <c r="H943" t="str">
        <f>VLOOKUP(tblContactoCliente[[#This Row],[id_cliente]],tblClientes[[#All],[id]:[nombre_contacto]],4,0)</f>
        <v>SANDRA GUERRERO</v>
      </c>
    </row>
    <row r="944" spans="1:8" x14ac:dyDescent="0.25">
      <c r="A944">
        <v>943</v>
      </c>
      <c r="B944">
        <v>943</v>
      </c>
      <c r="C944" s="15">
        <v>3214903209</v>
      </c>
      <c r="D944" t="s">
        <v>3372</v>
      </c>
      <c r="F944" t="s">
        <v>2959</v>
      </c>
      <c r="G944" t="s">
        <v>3</v>
      </c>
      <c r="H944" t="str">
        <f>VLOOKUP(tblContactoCliente[[#This Row],[id_cliente]],tblClientes[[#All],[id]:[nombre_contacto]],4,0)</f>
        <v xml:space="preserve">OSCAR GOMEZ </v>
      </c>
    </row>
    <row r="945" spans="1:8" x14ac:dyDescent="0.25">
      <c r="A945">
        <v>944</v>
      </c>
      <c r="B945">
        <v>944</v>
      </c>
      <c r="C945" s="15">
        <v>47631127</v>
      </c>
      <c r="D945" t="s">
        <v>3375</v>
      </c>
      <c r="F945" t="s">
        <v>187</v>
      </c>
      <c r="G945" t="s">
        <v>3</v>
      </c>
      <c r="H945" t="str">
        <f>VLOOKUP(tblContactoCliente[[#This Row],[id_cliente]],tblClientes[[#All],[id]:[nombre_contacto]],4,0)</f>
        <v>PAULA ANDRES TREJOS</v>
      </c>
    </row>
    <row r="946" spans="1:8" x14ac:dyDescent="0.25">
      <c r="A946">
        <v>945</v>
      </c>
      <c r="B946">
        <v>945</v>
      </c>
      <c r="C946" s="15">
        <v>3177002796</v>
      </c>
      <c r="D946" t="s">
        <v>3377</v>
      </c>
      <c r="F946" t="s">
        <v>253</v>
      </c>
      <c r="G946" t="s">
        <v>3</v>
      </c>
      <c r="H946" t="str">
        <f>VLOOKUP(tblContactoCliente[[#This Row],[id_cliente]],tblClientes[[#All],[id]:[nombre_contacto]],4,0)</f>
        <v>OSCAR ALCANTARA GONZALES</v>
      </c>
    </row>
    <row r="947" spans="1:8" x14ac:dyDescent="0.25">
      <c r="A947">
        <v>946</v>
      </c>
      <c r="B947">
        <v>946</v>
      </c>
      <c r="C947" s="15">
        <v>3193504468</v>
      </c>
      <c r="D947" t="s">
        <v>3379</v>
      </c>
      <c r="F947" t="s">
        <v>2959</v>
      </c>
      <c r="G947" t="s">
        <v>3</v>
      </c>
      <c r="H947" t="str">
        <f>VLOOKUP(tblContactoCliente[[#This Row],[id_cliente]],tblClientes[[#All],[id]:[nombre_contacto]],4,0)</f>
        <v>LORENA ROJAS</v>
      </c>
    </row>
    <row r="948" spans="1:8" x14ac:dyDescent="0.25">
      <c r="A948">
        <v>947</v>
      </c>
      <c r="B948">
        <v>947</v>
      </c>
      <c r="C948" t="s">
        <v>4172</v>
      </c>
      <c r="D948" t="s">
        <v>3381</v>
      </c>
      <c r="F948" t="s">
        <v>4172</v>
      </c>
      <c r="G948" t="s">
        <v>3</v>
      </c>
      <c r="H948" t="str">
        <f>VLOOKUP(tblContactoCliente[[#This Row],[id_cliente]],tblClientes[[#All],[id]:[nombre_contacto]],4,0)</f>
        <v>JAVIER CANO</v>
      </c>
    </row>
    <row r="949" spans="1:8" x14ac:dyDescent="0.25">
      <c r="A949">
        <v>948</v>
      </c>
      <c r="B949">
        <v>948</v>
      </c>
      <c r="C949" s="15">
        <v>2774972</v>
      </c>
      <c r="D949" t="s">
        <v>3386</v>
      </c>
      <c r="F949" t="s">
        <v>1109</v>
      </c>
      <c r="G949" t="s">
        <v>3</v>
      </c>
      <c r="H949" t="str">
        <f>VLOOKUP(tblContactoCliente[[#This Row],[id_cliente]],tblClientes[[#All],[id]:[nombre_contacto]],4,0)</f>
        <v>LUIS CABAS</v>
      </c>
    </row>
    <row r="950" spans="1:8" x14ac:dyDescent="0.25">
      <c r="A950">
        <v>949</v>
      </c>
      <c r="B950">
        <v>949</v>
      </c>
      <c r="C950" s="15">
        <v>3108085232</v>
      </c>
      <c r="D950" t="s">
        <v>3390</v>
      </c>
      <c r="F950" t="s">
        <v>4172</v>
      </c>
      <c r="G950" t="s">
        <v>3</v>
      </c>
      <c r="H950" t="str">
        <f>VLOOKUP(tblContactoCliente[[#This Row],[id_cliente]],tblClientes[[#All],[id]:[nombre_contacto]],4,0)</f>
        <v>GUSTAVO PORRAS</v>
      </c>
    </row>
    <row r="951" spans="1:8" x14ac:dyDescent="0.25">
      <c r="A951">
        <v>950</v>
      </c>
      <c r="B951">
        <v>950</v>
      </c>
      <c r="C951" s="15">
        <v>3015794400</v>
      </c>
      <c r="D951" t="s">
        <v>2399</v>
      </c>
      <c r="F951" t="s">
        <v>3392</v>
      </c>
      <c r="G951" t="s">
        <v>3</v>
      </c>
      <c r="H951" t="str">
        <f>VLOOKUP(tblContactoCliente[[#This Row],[id_cliente]],tblClientes[[#All],[id]:[nombre_contacto]],4,0)</f>
        <v>NORA MENDEZ</v>
      </c>
    </row>
    <row r="952" spans="1:8" x14ac:dyDescent="0.25">
      <c r="A952">
        <v>951</v>
      </c>
      <c r="B952">
        <v>951</v>
      </c>
      <c r="C952" s="15">
        <v>3142604182</v>
      </c>
      <c r="D952" t="s">
        <v>3394</v>
      </c>
      <c r="F952" t="s">
        <v>4172</v>
      </c>
      <c r="G952" t="s">
        <v>3</v>
      </c>
      <c r="H952" t="str">
        <f>VLOOKUP(tblContactoCliente[[#This Row],[id_cliente]],tblClientes[[#All],[id]:[nombre_contacto]],4,0)</f>
        <v>JUAN DAVID ALZATE</v>
      </c>
    </row>
    <row r="953" spans="1:8" x14ac:dyDescent="0.25">
      <c r="A953">
        <v>952</v>
      </c>
      <c r="B953">
        <v>952</v>
      </c>
      <c r="C953" s="15">
        <v>3203654183</v>
      </c>
      <c r="D953" t="s">
        <v>3396</v>
      </c>
      <c r="F953" t="s">
        <v>4172</v>
      </c>
      <c r="G953" t="s">
        <v>3</v>
      </c>
      <c r="H953" t="str">
        <f>VLOOKUP(tblContactoCliente[[#This Row],[id_cliente]],tblClientes[[#All],[id]:[nombre_contacto]],4,0)</f>
        <v>YOIBER MARTOZ</v>
      </c>
    </row>
    <row r="954" spans="1:8" x14ac:dyDescent="0.25">
      <c r="A954">
        <v>953</v>
      </c>
      <c r="B954">
        <v>953</v>
      </c>
      <c r="C954" s="15">
        <v>3142189485</v>
      </c>
      <c r="D954" t="s">
        <v>3398</v>
      </c>
      <c r="F954" t="s">
        <v>3399</v>
      </c>
      <c r="G954" t="s">
        <v>3</v>
      </c>
      <c r="H954" t="str">
        <f>VLOOKUP(tblContactoCliente[[#This Row],[id_cliente]],tblClientes[[#All],[id]:[nombre_contacto]],4,0)</f>
        <v>ROBINSON ROJAS</v>
      </c>
    </row>
    <row r="955" spans="1:8" x14ac:dyDescent="0.25">
      <c r="A955">
        <v>954</v>
      </c>
      <c r="B955">
        <v>954</v>
      </c>
      <c r="C955" s="15">
        <v>3122904931</v>
      </c>
      <c r="D955" t="s">
        <v>2399</v>
      </c>
      <c r="F955" t="s">
        <v>4172</v>
      </c>
      <c r="G955" t="s">
        <v>3</v>
      </c>
      <c r="H955" t="str">
        <f>VLOOKUP(tblContactoCliente[[#This Row],[id_cliente]],tblClientes[[#All],[id]:[nombre_contacto]],4,0)</f>
        <v>ALBEIRO ORTEGA</v>
      </c>
    </row>
    <row r="956" spans="1:8" x14ac:dyDescent="0.25">
      <c r="A956">
        <v>955</v>
      </c>
      <c r="B956">
        <v>955</v>
      </c>
      <c r="C956" s="15">
        <v>3193081126</v>
      </c>
      <c r="D956" t="s">
        <v>3402</v>
      </c>
      <c r="F956" t="s">
        <v>4172</v>
      </c>
      <c r="G956" t="s">
        <v>3</v>
      </c>
      <c r="H956" t="str">
        <f>VLOOKUP(tblContactoCliente[[#This Row],[id_cliente]],tblClientes[[#All],[id]:[nombre_contacto]],4,0)</f>
        <v>YARI PAREJO</v>
      </c>
    </row>
    <row r="957" spans="1:8" x14ac:dyDescent="0.25">
      <c r="A957">
        <v>956</v>
      </c>
      <c r="B957">
        <v>956</v>
      </c>
      <c r="C957" s="15">
        <v>0</v>
      </c>
      <c r="D957" t="s">
        <v>2399</v>
      </c>
      <c r="F957" t="s">
        <v>4172</v>
      </c>
      <c r="G957" t="s">
        <v>3</v>
      </c>
      <c r="H957" t="str">
        <f>VLOOKUP(tblContactoCliente[[#This Row],[id_cliente]],tblClientes[[#All],[id]:[nombre_contacto]],4,0)</f>
        <v>RUFINO ARIAS (ARICUEROS)</v>
      </c>
    </row>
    <row r="958" spans="1:8" x14ac:dyDescent="0.25">
      <c r="A958">
        <v>957</v>
      </c>
      <c r="B958">
        <v>957</v>
      </c>
      <c r="C958" s="15">
        <v>3108805677</v>
      </c>
      <c r="D958" t="s">
        <v>3408</v>
      </c>
      <c r="F958" t="s">
        <v>3409</v>
      </c>
      <c r="G958" t="s">
        <v>3</v>
      </c>
      <c r="H958" t="str">
        <f>VLOOKUP(tblContactoCliente[[#This Row],[id_cliente]],tblClientes[[#All],[id]:[nombre_contacto]],4,0)</f>
        <v>JUAN PABLO ACUÑA</v>
      </c>
    </row>
    <row r="959" spans="1:8" x14ac:dyDescent="0.25">
      <c r="A959">
        <v>958</v>
      </c>
      <c r="B959">
        <v>958</v>
      </c>
      <c r="C959" t="s">
        <v>4172</v>
      </c>
      <c r="D959" t="s">
        <v>4172</v>
      </c>
      <c r="F959" t="s">
        <v>4172</v>
      </c>
      <c r="G959" t="s">
        <v>3</v>
      </c>
      <c r="H959" t="str">
        <f>VLOOKUP(tblContactoCliente[[#This Row],[id_cliente]],tblClientes[[#All],[id]:[nombre_contacto]],4,0)</f>
        <v>ALEXANDER CARDONA</v>
      </c>
    </row>
    <row r="960" spans="1:8" x14ac:dyDescent="0.25">
      <c r="A960">
        <v>959</v>
      </c>
      <c r="B960">
        <v>959</v>
      </c>
      <c r="C960" s="15">
        <v>3208534923</v>
      </c>
      <c r="D960" t="s">
        <v>3414</v>
      </c>
      <c r="F960" t="s">
        <v>4172</v>
      </c>
      <c r="G960" t="s">
        <v>3</v>
      </c>
      <c r="H960" t="str">
        <f>VLOOKUP(tblContactoCliente[[#This Row],[id_cliente]],tblClientes[[#All],[id]:[nombre_contacto]],4,0)</f>
        <v>JUAN DE JESUS SANTANA</v>
      </c>
    </row>
    <row r="961" spans="1:8" x14ac:dyDescent="0.25">
      <c r="A961">
        <v>960</v>
      </c>
      <c r="B961">
        <v>960</v>
      </c>
      <c r="C961" s="15">
        <v>3144705584</v>
      </c>
      <c r="D961" t="s">
        <v>3417</v>
      </c>
      <c r="F961" t="s">
        <v>3418</v>
      </c>
      <c r="G961" t="s">
        <v>3</v>
      </c>
      <c r="H961" t="str">
        <f>VLOOKUP(tblContactoCliente[[#This Row],[id_cliente]],tblClientes[[#All],[id]:[nombre_contacto]],4,0)</f>
        <v>JHON FRANCO</v>
      </c>
    </row>
    <row r="962" spans="1:8" x14ac:dyDescent="0.25">
      <c r="A962">
        <v>961</v>
      </c>
      <c r="B962">
        <v>961</v>
      </c>
      <c r="C962" s="15">
        <v>3177571577</v>
      </c>
      <c r="D962" t="s">
        <v>3421</v>
      </c>
      <c r="F962" t="s">
        <v>4172</v>
      </c>
      <c r="G962" t="s">
        <v>3</v>
      </c>
      <c r="H962" t="str">
        <f>VLOOKUP(tblContactoCliente[[#This Row],[id_cliente]],tblClientes[[#All],[id]:[nombre_contacto]],4,0)</f>
        <v>LORENA HERNANDEZ</v>
      </c>
    </row>
    <row r="963" spans="1:8" x14ac:dyDescent="0.25">
      <c r="A963">
        <v>962</v>
      </c>
      <c r="B963">
        <v>962</v>
      </c>
      <c r="C963" s="15">
        <v>3046718389</v>
      </c>
      <c r="D963" t="s">
        <v>3423</v>
      </c>
      <c r="F963" t="s">
        <v>1970</v>
      </c>
      <c r="G963" t="s">
        <v>3</v>
      </c>
      <c r="H963" t="str">
        <f>VLOOKUP(tblContactoCliente[[#This Row],[id_cliente]],tblClientes[[#All],[id]:[nombre_contacto]],4,0)</f>
        <v>VANESA GOMEZ</v>
      </c>
    </row>
    <row r="964" spans="1:8" x14ac:dyDescent="0.25">
      <c r="A964">
        <v>963</v>
      </c>
      <c r="B964">
        <v>963</v>
      </c>
      <c r="C964" s="15">
        <v>3114835106</v>
      </c>
      <c r="D964" t="s">
        <v>3425</v>
      </c>
      <c r="F964" t="s">
        <v>3426</v>
      </c>
      <c r="G964" t="s">
        <v>3</v>
      </c>
      <c r="H964" t="str">
        <f>VLOOKUP(tblContactoCliente[[#This Row],[id_cliente]],tblClientes[[#All],[id]:[nombre_contacto]],4,0)</f>
        <v>JOSE VICENTE AREVALO NOGUERA</v>
      </c>
    </row>
    <row r="965" spans="1:8" x14ac:dyDescent="0.25">
      <c r="A965">
        <v>964</v>
      </c>
      <c r="B965">
        <v>964</v>
      </c>
      <c r="C965" s="15">
        <v>3133429833</v>
      </c>
      <c r="D965" t="s">
        <v>3430</v>
      </c>
      <c r="F965" t="s">
        <v>187</v>
      </c>
      <c r="G965" t="s">
        <v>3</v>
      </c>
      <c r="H965" t="str">
        <f>VLOOKUP(tblContactoCliente[[#This Row],[id_cliente]],tblClientes[[#All],[id]:[nombre_contacto]],4,0)</f>
        <v>HENRY VELASCO</v>
      </c>
    </row>
    <row r="966" spans="1:8" x14ac:dyDescent="0.25">
      <c r="A966">
        <v>965</v>
      </c>
      <c r="B966">
        <v>965</v>
      </c>
      <c r="C966" s="15">
        <v>3213332913</v>
      </c>
      <c r="D966" t="s">
        <v>3432</v>
      </c>
      <c r="F966" t="s">
        <v>187</v>
      </c>
      <c r="G966" t="s">
        <v>3</v>
      </c>
      <c r="H966" t="str">
        <f>VLOOKUP(tblContactoCliente[[#This Row],[id_cliente]],tblClientes[[#All],[id]:[nombre_contacto]],4,0)</f>
        <v>TEREZA DELGADO</v>
      </c>
    </row>
    <row r="967" spans="1:8" x14ac:dyDescent="0.25">
      <c r="A967">
        <v>966</v>
      </c>
      <c r="B967">
        <v>966</v>
      </c>
      <c r="C967" s="15">
        <v>3138636970</v>
      </c>
      <c r="D967" t="s">
        <v>3434</v>
      </c>
      <c r="F967" t="s">
        <v>4172</v>
      </c>
      <c r="G967" t="s">
        <v>3</v>
      </c>
      <c r="H967" t="str">
        <f>VLOOKUP(tblContactoCliente[[#This Row],[id_cliente]],tblClientes[[#All],[id]:[nombre_contacto]],4,0)</f>
        <v>MARCO ZULUETA</v>
      </c>
    </row>
    <row r="968" spans="1:8" x14ac:dyDescent="0.25">
      <c r="A968">
        <v>967</v>
      </c>
      <c r="B968">
        <v>967</v>
      </c>
      <c r="C968" s="15">
        <v>3014479416</v>
      </c>
      <c r="D968" t="s">
        <v>4172</v>
      </c>
      <c r="F968" t="s">
        <v>4172</v>
      </c>
      <c r="G968" t="s">
        <v>3</v>
      </c>
      <c r="H968" t="str">
        <f>VLOOKUP(tblContactoCliente[[#This Row],[id_cliente]],tblClientes[[#All],[id]:[nombre_contacto]],4,0)</f>
        <v>ANGELICA LAVERDE</v>
      </c>
    </row>
    <row r="969" spans="1:8" x14ac:dyDescent="0.25">
      <c r="A969">
        <v>968</v>
      </c>
      <c r="B969">
        <v>968</v>
      </c>
      <c r="C969" s="15">
        <v>3206889651</v>
      </c>
      <c r="D969" t="s">
        <v>3442</v>
      </c>
      <c r="F969" t="s">
        <v>4172</v>
      </c>
      <c r="G969" t="s">
        <v>4172</v>
      </c>
      <c r="H969" t="str">
        <f>VLOOKUP(tblContactoCliente[[#This Row],[id_cliente]],tblClientes[[#All],[id]:[nombre_contacto]],4,0)</f>
        <v>MARIA EUGENIA SERNA</v>
      </c>
    </row>
    <row r="970" spans="1:8" x14ac:dyDescent="0.25">
      <c r="A970">
        <v>969</v>
      </c>
      <c r="B970">
        <v>969</v>
      </c>
      <c r="C970" s="15">
        <v>3104296484</v>
      </c>
      <c r="D970" t="s">
        <v>4172</v>
      </c>
      <c r="F970" t="s">
        <v>4172</v>
      </c>
      <c r="G970" t="s">
        <v>3444</v>
      </c>
      <c r="H970" t="str">
        <f>VLOOKUP(tblContactoCliente[[#This Row],[id_cliente]],tblClientes[[#All],[id]:[nombre_contacto]],4,0)</f>
        <v>JHON VILLAREAL</v>
      </c>
    </row>
    <row r="971" spans="1:8" x14ac:dyDescent="0.25">
      <c r="A971">
        <v>970</v>
      </c>
      <c r="B971">
        <v>970</v>
      </c>
      <c r="C971" s="15">
        <v>313733382</v>
      </c>
      <c r="D971" t="s">
        <v>4172</v>
      </c>
      <c r="F971" t="s">
        <v>187</v>
      </c>
      <c r="G971" t="s">
        <v>3</v>
      </c>
      <c r="H971" t="str">
        <f>VLOOKUP(tblContactoCliente[[#This Row],[id_cliente]],tblClientes[[#All],[id]:[nombre_contacto]],4,0)</f>
        <v xml:space="preserve">CRISTIAN  JOHANA </v>
      </c>
    </row>
    <row r="972" spans="1:8" x14ac:dyDescent="0.25">
      <c r="A972">
        <v>971</v>
      </c>
      <c r="B972">
        <v>971</v>
      </c>
      <c r="C972" s="15">
        <v>3122156625</v>
      </c>
      <c r="D972" t="s">
        <v>3448</v>
      </c>
      <c r="F972" t="s">
        <v>3449</v>
      </c>
      <c r="G972" t="s">
        <v>3</v>
      </c>
      <c r="H972" t="str">
        <f>VLOOKUP(tblContactoCliente[[#This Row],[id_cliente]],tblClientes[[#All],[id]:[nombre_contacto]],4,0)</f>
        <v xml:space="preserve">YOLIMESA </v>
      </c>
    </row>
    <row r="973" spans="1:8" x14ac:dyDescent="0.25">
      <c r="A973">
        <v>972</v>
      </c>
      <c r="B973">
        <v>972</v>
      </c>
      <c r="C973" s="15">
        <v>3229013500</v>
      </c>
      <c r="D973" t="s">
        <v>3451</v>
      </c>
      <c r="F973" t="s">
        <v>3452</v>
      </c>
      <c r="G973" t="s">
        <v>3453</v>
      </c>
      <c r="H973" t="str">
        <f>VLOOKUP(tblContactoCliente[[#This Row],[id_cliente]],tblClientes[[#All],[id]:[nombre_contacto]],4,0)</f>
        <v>OSCAR RESTREPO</v>
      </c>
    </row>
    <row r="974" spans="1:8" x14ac:dyDescent="0.25">
      <c r="A974">
        <v>973</v>
      </c>
      <c r="B974">
        <v>973</v>
      </c>
      <c r="C974" s="15">
        <v>3106251989</v>
      </c>
      <c r="D974" t="s">
        <v>3455</v>
      </c>
      <c r="F974" t="s">
        <v>436</v>
      </c>
      <c r="G974" t="s">
        <v>801</v>
      </c>
      <c r="H974" t="str">
        <f>VLOOKUP(tblContactoCliente[[#This Row],[id_cliente]],tblClientes[[#All],[id]:[nombre_contacto]],4,0)</f>
        <v>CARMEN HELENA CARVAJAL</v>
      </c>
    </row>
    <row r="975" spans="1:8" x14ac:dyDescent="0.25">
      <c r="A975">
        <v>974</v>
      </c>
      <c r="B975">
        <v>974</v>
      </c>
      <c r="C975" s="15">
        <v>3115335445</v>
      </c>
      <c r="D975" t="s">
        <v>3458</v>
      </c>
      <c r="F975" t="s">
        <v>3459</v>
      </c>
      <c r="G975" t="s">
        <v>3</v>
      </c>
      <c r="H975" t="str">
        <f>VLOOKUP(tblContactoCliente[[#This Row],[id_cliente]],tblClientes[[#All],[id]:[nombre_contacto]],4,0)</f>
        <v>JUAN GARZON</v>
      </c>
    </row>
    <row r="976" spans="1:8" x14ac:dyDescent="0.25">
      <c r="A976">
        <v>975</v>
      </c>
      <c r="B976">
        <v>975</v>
      </c>
      <c r="C976" s="15">
        <v>3105679876</v>
      </c>
      <c r="D976" t="s">
        <v>3462</v>
      </c>
      <c r="F976" t="s">
        <v>3463</v>
      </c>
      <c r="G976" t="s">
        <v>3</v>
      </c>
      <c r="H976" t="str">
        <f>VLOOKUP(tblContactoCliente[[#This Row],[id_cliente]],tblClientes[[#All],[id]:[nombre_contacto]],4,0)</f>
        <v>ALVARO GONZALEZ</v>
      </c>
    </row>
    <row r="977" spans="1:8" x14ac:dyDescent="0.25">
      <c r="A977">
        <v>976</v>
      </c>
      <c r="B977">
        <v>976</v>
      </c>
      <c r="C977" s="15">
        <v>3224729242</v>
      </c>
      <c r="D977" t="s">
        <v>3467</v>
      </c>
      <c r="F977" t="s">
        <v>1032</v>
      </c>
      <c r="G977" t="s">
        <v>3</v>
      </c>
      <c r="H977" t="str">
        <f>VLOOKUP(tblContactoCliente[[#This Row],[id_cliente]],tblClientes[[#All],[id]:[nombre_contacto]],4,0)</f>
        <v>LEIDI OVIEDO</v>
      </c>
    </row>
    <row r="978" spans="1:8" x14ac:dyDescent="0.25">
      <c r="A978">
        <v>977</v>
      </c>
      <c r="B978">
        <v>977</v>
      </c>
      <c r="C978" s="15">
        <v>3142954756</v>
      </c>
      <c r="D978" t="s">
        <v>3469</v>
      </c>
      <c r="F978" t="s">
        <v>334</v>
      </c>
      <c r="G978" t="s">
        <v>165</v>
      </c>
      <c r="H978" t="str">
        <f>VLOOKUP(tblContactoCliente[[#This Row],[id_cliente]],tblClientes[[#All],[id]:[nombre_contacto]],4,0)</f>
        <v>JHON FREDY SETINA</v>
      </c>
    </row>
    <row r="979" spans="1:8" x14ac:dyDescent="0.25">
      <c r="A979">
        <v>978</v>
      </c>
      <c r="B979">
        <v>978</v>
      </c>
      <c r="C979" s="15">
        <v>3006009099</v>
      </c>
      <c r="D979" t="s">
        <v>3472</v>
      </c>
      <c r="F979" t="s">
        <v>4172</v>
      </c>
      <c r="G979" t="s">
        <v>3</v>
      </c>
      <c r="H979" t="str">
        <f>VLOOKUP(tblContactoCliente[[#This Row],[id_cliente]],tblClientes[[#All],[id]:[nombre_contacto]],4,0)</f>
        <v>YEIMI CARDENAS</v>
      </c>
    </row>
    <row r="980" spans="1:8" x14ac:dyDescent="0.25">
      <c r="A980">
        <v>979</v>
      </c>
      <c r="B980">
        <v>979</v>
      </c>
      <c r="C980" s="15">
        <v>3155771264</v>
      </c>
      <c r="D980" t="s">
        <v>3474</v>
      </c>
      <c r="F980" t="s">
        <v>3475</v>
      </c>
      <c r="G980" t="s">
        <v>3</v>
      </c>
      <c r="H980" t="str">
        <f>VLOOKUP(tblContactoCliente[[#This Row],[id_cliente]],tblClientes[[#All],[id]:[nombre_contacto]],4,0)</f>
        <v>WILSON MONOGA</v>
      </c>
    </row>
    <row r="981" spans="1:8" x14ac:dyDescent="0.25">
      <c r="A981">
        <v>980</v>
      </c>
      <c r="B981">
        <v>980</v>
      </c>
      <c r="C981" s="15">
        <v>3114326041</v>
      </c>
      <c r="D981" t="s">
        <v>4172</v>
      </c>
      <c r="F981" t="s">
        <v>2708</v>
      </c>
      <c r="G981" t="s">
        <v>3</v>
      </c>
      <c r="H981" t="str">
        <f>VLOOKUP(tblContactoCliente[[#This Row],[id_cliente]],tblClientes[[#All],[id]:[nombre_contacto]],4,0)</f>
        <v>CLEMENTE GUTIERREZ</v>
      </c>
    </row>
    <row r="982" spans="1:8" x14ac:dyDescent="0.25">
      <c r="A982">
        <v>981</v>
      </c>
      <c r="B982">
        <v>981</v>
      </c>
      <c r="C982" s="15">
        <v>3102906675</v>
      </c>
      <c r="D982" t="s">
        <v>3481</v>
      </c>
      <c r="F982" t="s">
        <v>4172</v>
      </c>
      <c r="G982" t="s">
        <v>3</v>
      </c>
      <c r="H982" t="str">
        <f>VLOOKUP(tblContactoCliente[[#This Row],[id_cliente]],tblClientes[[#All],[id]:[nombre_contacto]],4,0)</f>
        <v>INAMSILICO SAS</v>
      </c>
    </row>
    <row r="983" spans="1:8" x14ac:dyDescent="0.25">
      <c r="A983">
        <v>982</v>
      </c>
      <c r="B983">
        <v>982</v>
      </c>
      <c r="C983">
        <v>0</v>
      </c>
      <c r="D983">
        <v>0</v>
      </c>
      <c r="F983">
        <v>0</v>
      </c>
      <c r="G983" t="s">
        <v>3</v>
      </c>
      <c r="H983" t="str">
        <f>VLOOKUP(tblContactoCliente[[#This Row],[id_cliente]],tblClientes[[#All],[id]:[nombre_contacto]],4,0)</f>
        <v>ANDRES DEVIA</v>
      </c>
    </row>
    <row r="984" spans="1:8" x14ac:dyDescent="0.25">
      <c r="A984">
        <v>983</v>
      </c>
      <c r="B984">
        <v>983</v>
      </c>
      <c r="C984" s="15">
        <v>3125895433</v>
      </c>
      <c r="D984" t="s">
        <v>3485</v>
      </c>
      <c r="F984" t="s">
        <v>3486</v>
      </c>
      <c r="G984" t="s">
        <v>3</v>
      </c>
      <c r="H984" t="str">
        <f>VLOOKUP(tblContactoCliente[[#This Row],[id_cliente]],tblClientes[[#All],[id]:[nombre_contacto]],4,0)</f>
        <v>JUAN MORALES</v>
      </c>
    </row>
    <row r="985" spans="1:8" x14ac:dyDescent="0.25">
      <c r="A985">
        <v>984</v>
      </c>
      <c r="B985">
        <v>984</v>
      </c>
      <c r="C985">
        <v>3166966904</v>
      </c>
      <c r="D985" t="s">
        <v>3488</v>
      </c>
      <c r="F985" t="s">
        <v>3489</v>
      </c>
      <c r="G985" t="s">
        <v>7</v>
      </c>
      <c r="H985" t="str">
        <f>VLOOKUP(tblContactoCliente[[#This Row],[id_cliente]],tblClientes[[#All],[id]:[nombre_contacto]],4,0)</f>
        <v>JHON FREDY GUTIERREZ</v>
      </c>
    </row>
    <row r="986" spans="1:8" x14ac:dyDescent="0.25">
      <c r="A986">
        <v>985</v>
      </c>
      <c r="B986">
        <v>985</v>
      </c>
      <c r="C986" s="15">
        <v>3174309946</v>
      </c>
      <c r="D986" t="s">
        <v>3492</v>
      </c>
      <c r="F986" t="s">
        <v>3493</v>
      </c>
      <c r="G986" t="s">
        <v>3</v>
      </c>
      <c r="H986" t="str">
        <f>VLOOKUP(tblContactoCliente[[#This Row],[id_cliente]],tblClientes[[#All],[id]:[nombre_contacto]],4,0)</f>
        <v>ESPERANZA LUQUE FONSECA</v>
      </c>
    </row>
    <row r="987" spans="1:8" x14ac:dyDescent="0.25">
      <c r="A987">
        <v>986</v>
      </c>
      <c r="B987">
        <v>986</v>
      </c>
      <c r="C987" s="15">
        <v>3143085082</v>
      </c>
      <c r="D987" t="s">
        <v>3497</v>
      </c>
      <c r="F987" t="s">
        <v>3498</v>
      </c>
      <c r="G987" t="s">
        <v>3</v>
      </c>
      <c r="H987" t="str">
        <f>VLOOKUP(tblContactoCliente[[#This Row],[id_cliente]],tblClientes[[#All],[id]:[nombre_contacto]],4,0)</f>
        <v>JHON SUBA</v>
      </c>
    </row>
    <row r="988" spans="1:8" x14ac:dyDescent="0.25">
      <c r="A988">
        <v>987</v>
      </c>
      <c r="B988">
        <v>987</v>
      </c>
      <c r="C988" s="15">
        <v>3125702727</v>
      </c>
      <c r="D988" t="s">
        <v>4172</v>
      </c>
      <c r="F988" t="s">
        <v>4172</v>
      </c>
      <c r="G988" t="s">
        <v>3</v>
      </c>
      <c r="H988" t="str">
        <f>VLOOKUP(tblContactoCliente[[#This Row],[id_cliente]],tblClientes[[#All],[id]:[nombre_contacto]],4,0)</f>
        <v>MARIA RODRIGUEZ</v>
      </c>
    </row>
    <row r="989" spans="1:8" x14ac:dyDescent="0.25">
      <c r="A989">
        <v>988</v>
      </c>
      <c r="B989">
        <v>988</v>
      </c>
      <c r="C989" s="15">
        <v>3112855964</v>
      </c>
      <c r="D989" t="s">
        <v>3504</v>
      </c>
      <c r="F989" t="s">
        <v>3505</v>
      </c>
      <c r="G989" t="s">
        <v>3</v>
      </c>
      <c r="H989" t="str">
        <f>VLOOKUP(tblContactoCliente[[#This Row],[id_cliente]],tblClientes[[#All],[id]:[nombre_contacto]],4,0)</f>
        <v xml:space="preserve">VIVIANA CORREDOR </v>
      </c>
    </row>
    <row r="990" spans="1:8" x14ac:dyDescent="0.25">
      <c r="A990">
        <v>989</v>
      </c>
      <c r="B990">
        <v>989</v>
      </c>
      <c r="C990" s="15">
        <v>3194013661</v>
      </c>
      <c r="D990" t="s">
        <v>3508</v>
      </c>
      <c r="F990" t="s">
        <v>187</v>
      </c>
      <c r="G990" t="s">
        <v>3</v>
      </c>
      <c r="H990" t="str">
        <f>VLOOKUP(tblContactoCliente[[#This Row],[id_cliente]],tblClientes[[#All],[id]:[nombre_contacto]],4,0)</f>
        <v>RONALD DIAZ</v>
      </c>
    </row>
    <row r="991" spans="1:8" x14ac:dyDescent="0.25">
      <c r="A991">
        <v>990</v>
      </c>
      <c r="B991">
        <v>990</v>
      </c>
      <c r="C991">
        <v>3202961857</v>
      </c>
      <c r="D991" t="s">
        <v>3513</v>
      </c>
      <c r="F991" t="s">
        <v>187</v>
      </c>
      <c r="G991" t="s">
        <v>3</v>
      </c>
      <c r="H991" t="str">
        <f>VLOOKUP(tblContactoCliente[[#This Row],[id_cliente]],tblClientes[[#All],[id]:[nombre_contacto]],4,0)</f>
        <v>BELLANID MENDEZ</v>
      </c>
    </row>
    <row r="992" spans="1:8" x14ac:dyDescent="0.25">
      <c r="A992">
        <v>991</v>
      </c>
      <c r="B992">
        <v>991</v>
      </c>
      <c r="C992">
        <v>3112364785</v>
      </c>
      <c r="D992" t="s">
        <v>3515</v>
      </c>
      <c r="F992" t="s">
        <v>217</v>
      </c>
      <c r="G992" t="s">
        <v>3</v>
      </c>
      <c r="H992" t="str">
        <f>VLOOKUP(tblContactoCliente[[#This Row],[id_cliente]],tblClientes[[#All],[id]:[nombre_contacto]],4,0)</f>
        <v>ROSALBA RIVERA</v>
      </c>
    </row>
    <row r="993" spans="1:8" x14ac:dyDescent="0.25">
      <c r="A993">
        <v>992</v>
      </c>
      <c r="B993">
        <v>992</v>
      </c>
      <c r="C993">
        <v>3158574134</v>
      </c>
      <c r="D993" t="s">
        <v>3518</v>
      </c>
      <c r="F993" t="s">
        <v>3519</v>
      </c>
      <c r="G993" t="s">
        <v>3</v>
      </c>
      <c r="H993" t="str">
        <f>VLOOKUP(tblContactoCliente[[#This Row],[id_cliente]],tblClientes[[#All],[id]:[nombre_contacto]],4,0)</f>
        <v>JOSE SABA</v>
      </c>
    </row>
    <row r="994" spans="1:8" x14ac:dyDescent="0.25">
      <c r="A994">
        <v>993</v>
      </c>
      <c r="B994">
        <v>993</v>
      </c>
      <c r="C994">
        <v>3118105044</v>
      </c>
      <c r="D994" t="s">
        <v>3522</v>
      </c>
      <c r="F994" t="s">
        <v>1024</v>
      </c>
      <c r="G994" t="s">
        <v>3</v>
      </c>
      <c r="H994" t="str">
        <f>VLOOKUP(tblContactoCliente[[#This Row],[id_cliente]],tblClientes[[#All],[id]:[nombre_contacto]],4,0)</f>
        <v>JENIFER PEDROZA</v>
      </c>
    </row>
    <row r="995" spans="1:8" x14ac:dyDescent="0.25">
      <c r="A995">
        <v>994</v>
      </c>
      <c r="B995">
        <v>994</v>
      </c>
      <c r="C995">
        <v>3228345691</v>
      </c>
      <c r="D995" t="s">
        <v>3524</v>
      </c>
      <c r="F995" t="s">
        <v>3525</v>
      </c>
      <c r="G995" t="s">
        <v>3</v>
      </c>
      <c r="H995" t="str">
        <f>VLOOKUP(tblContactoCliente[[#This Row],[id_cliente]],tblClientes[[#All],[id]:[nombre_contacto]],4,0)</f>
        <v>ROBEIRO HURTADO</v>
      </c>
    </row>
    <row r="996" spans="1:8" x14ac:dyDescent="0.25">
      <c r="A996">
        <v>995</v>
      </c>
      <c r="B996">
        <v>995</v>
      </c>
      <c r="C996">
        <v>4140569</v>
      </c>
      <c r="D996" t="s">
        <v>3527</v>
      </c>
      <c r="F996" t="s">
        <v>3528</v>
      </c>
      <c r="G996" t="s">
        <v>3</v>
      </c>
      <c r="H996" t="str">
        <f>VLOOKUP(tblContactoCliente[[#This Row],[id_cliente]],tblClientes[[#All],[id]:[nombre_contacto]],4,0)</f>
        <v>JUAN CASTRO</v>
      </c>
    </row>
    <row r="997" spans="1:8" x14ac:dyDescent="0.25">
      <c r="A997">
        <v>996</v>
      </c>
      <c r="B997">
        <v>996</v>
      </c>
      <c r="C997">
        <v>3114738730</v>
      </c>
      <c r="D997" t="s">
        <v>3530</v>
      </c>
      <c r="F997" t="s">
        <v>187</v>
      </c>
      <c r="G997" t="s">
        <v>2870</v>
      </c>
      <c r="H997" t="str">
        <f>VLOOKUP(tblContactoCliente[[#This Row],[id_cliente]],tblClientes[[#All],[id]:[nombre_contacto]],4,0)</f>
        <v>JORGE GOMEZ</v>
      </c>
    </row>
    <row r="998" spans="1:8" x14ac:dyDescent="0.25">
      <c r="A998">
        <v>997</v>
      </c>
      <c r="B998">
        <v>997</v>
      </c>
      <c r="C998">
        <v>3104850640</v>
      </c>
      <c r="D998" t="s">
        <v>3534</v>
      </c>
      <c r="F998" t="s">
        <v>3535</v>
      </c>
      <c r="G998" t="s">
        <v>743</v>
      </c>
      <c r="H998" t="str">
        <f>VLOOKUP(tblContactoCliente[[#This Row],[id_cliente]],tblClientes[[#All],[id]:[nombre_contacto]],4,0)</f>
        <v>JACKSON ARLEY MISE RODRIGUEZ</v>
      </c>
    </row>
    <row r="999" spans="1:8" x14ac:dyDescent="0.25">
      <c r="A999">
        <v>998</v>
      </c>
      <c r="B999">
        <v>998</v>
      </c>
      <c r="C999">
        <v>3115186069</v>
      </c>
      <c r="D999" t="s">
        <v>3538</v>
      </c>
      <c r="F999" t="s">
        <v>217</v>
      </c>
      <c r="G999" t="s">
        <v>3539</v>
      </c>
      <c r="H999" t="str">
        <f>VLOOKUP(tblContactoCliente[[#This Row],[id_cliente]],tblClientes[[#All],[id]:[nombre_contacto]],4,0)</f>
        <v>GLORIA YEPEZ</v>
      </c>
    </row>
    <row r="1000" spans="1:8" x14ac:dyDescent="0.25">
      <c r="A1000">
        <v>999</v>
      </c>
      <c r="B1000">
        <v>999</v>
      </c>
      <c r="C1000">
        <v>3123949572</v>
      </c>
      <c r="D1000" t="s">
        <v>3542</v>
      </c>
      <c r="F1000" t="s">
        <v>146</v>
      </c>
      <c r="G1000" t="s">
        <v>3</v>
      </c>
      <c r="H1000" t="str">
        <f>VLOOKUP(tblContactoCliente[[#This Row],[id_cliente]],tblClientes[[#All],[id]:[nombre_contacto]],4,0)</f>
        <v>LUIS HENRIQUE OROZCO</v>
      </c>
    </row>
    <row r="1001" spans="1:8" x14ac:dyDescent="0.25">
      <c r="A1001">
        <v>1000</v>
      </c>
      <c r="B1001">
        <v>1000</v>
      </c>
      <c r="C1001" s="15">
        <v>3112646069</v>
      </c>
      <c r="D1001" t="s">
        <v>187</v>
      </c>
      <c r="F1001" t="s">
        <v>187</v>
      </c>
      <c r="G1001" t="s">
        <v>3</v>
      </c>
      <c r="H1001" t="str">
        <f>VLOOKUP(tblContactoCliente[[#This Row],[id_cliente]],tblClientes[[#All],[id]:[nombre_contacto]],4,0)</f>
        <v>MARCELA BOLAÑOS</v>
      </c>
    </row>
    <row r="1002" spans="1:8" x14ac:dyDescent="0.25">
      <c r="A1002">
        <v>1001</v>
      </c>
      <c r="B1002">
        <v>1001</v>
      </c>
      <c r="C1002">
        <v>3138455428</v>
      </c>
      <c r="D1002" t="s">
        <v>3545</v>
      </c>
      <c r="F1002" t="s">
        <v>501</v>
      </c>
      <c r="G1002" t="s">
        <v>3</v>
      </c>
      <c r="H1002" t="str">
        <f>VLOOKUP(tblContactoCliente[[#This Row],[id_cliente]],tblClientes[[#All],[id]:[nombre_contacto]],4,0)</f>
        <v>FAUSTINO NOVOA</v>
      </c>
    </row>
    <row r="1003" spans="1:8" x14ac:dyDescent="0.25">
      <c r="A1003">
        <v>1002</v>
      </c>
      <c r="B1003">
        <v>1002</v>
      </c>
      <c r="C1003" s="15">
        <v>3146026629</v>
      </c>
      <c r="D1003" t="s">
        <v>3547</v>
      </c>
      <c r="F1003" t="s">
        <v>217</v>
      </c>
      <c r="G1003" t="s">
        <v>3</v>
      </c>
      <c r="H1003" t="str">
        <f>VLOOKUP(tblContactoCliente[[#This Row],[id_cliente]],tblClientes[[#All],[id]:[nombre_contacto]],4,0)</f>
        <v>LORENA LUIS GIRON</v>
      </c>
    </row>
    <row r="1004" spans="1:8" x14ac:dyDescent="0.25">
      <c r="A1004">
        <v>1003</v>
      </c>
      <c r="B1004">
        <v>1003</v>
      </c>
      <c r="C1004">
        <v>3057312042</v>
      </c>
      <c r="D1004" t="s">
        <v>3551</v>
      </c>
      <c r="F1004" t="s">
        <v>3552</v>
      </c>
      <c r="G1004" t="s">
        <v>1365</v>
      </c>
      <c r="H1004" t="str">
        <f>VLOOKUP(tblContactoCliente[[#This Row],[id_cliente]],tblClientes[[#All],[id]:[nombre_contacto]],4,0)</f>
        <v>OSCAR ESCOBAR</v>
      </c>
    </row>
    <row r="1005" spans="1:8" x14ac:dyDescent="0.25">
      <c r="A1005">
        <v>1004</v>
      </c>
      <c r="B1005">
        <v>1004</v>
      </c>
      <c r="C1005">
        <v>3112925068</v>
      </c>
      <c r="D1005" t="s">
        <v>3555</v>
      </c>
      <c r="F1005" t="s">
        <v>3556</v>
      </c>
      <c r="G1005" t="s">
        <v>3</v>
      </c>
      <c r="H1005" t="str">
        <f>VLOOKUP(tblContactoCliente[[#This Row],[id_cliente]],tblClientes[[#All],[id]:[nombre_contacto]],4,0)</f>
        <v>HUMBERTO SACHEZ</v>
      </c>
    </row>
    <row r="1006" spans="1:8" x14ac:dyDescent="0.25">
      <c r="A1006">
        <v>1005</v>
      </c>
      <c r="B1006">
        <v>1005</v>
      </c>
      <c r="C1006">
        <v>31558092203</v>
      </c>
      <c r="D1006" t="s">
        <v>3558</v>
      </c>
      <c r="F1006" t="s">
        <v>224</v>
      </c>
      <c r="G1006" t="s">
        <v>224</v>
      </c>
      <c r="H1006" t="str">
        <f>VLOOKUP(tblContactoCliente[[#This Row],[id_cliente]],tblClientes[[#All],[id]:[nombre_contacto]],4,0)</f>
        <v>JAVIER SANTOS</v>
      </c>
    </row>
    <row r="1007" spans="1:8" x14ac:dyDescent="0.25">
      <c r="A1007">
        <v>1006</v>
      </c>
      <c r="B1007">
        <v>1006</v>
      </c>
      <c r="C1007">
        <v>3115257932</v>
      </c>
      <c r="D1007" t="s">
        <v>3560</v>
      </c>
      <c r="F1007" t="s">
        <v>3561</v>
      </c>
      <c r="G1007" t="s">
        <v>3</v>
      </c>
      <c r="H1007" t="str">
        <f>VLOOKUP(tblContactoCliente[[#This Row],[id_cliente]],tblClientes[[#All],[id]:[nombre_contacto]],4,0)</f>
        <v>ISRAEL LINARES</v>
      </c>
    </row>
    <row r="1008" spans="1:8" x14ac:dyDescent="0.25">
      <c r="A1008">
        <v>1007</v>
      </c>
      <c r="B1008">
        <v>1007</v>
      </c>
      <c r="C1008" s="15">
        <v>3144082080</v>
      </c>
      <c r="D1008" t="s">
        <v>3563</v>
      </c>
      <c r="F1008" t="s">
        <v>410</v>
      </c>
      <c r="G1008" t="s">
        <v>3</v>
      </c>
      <c r="H1008" t="str">
        <f>VLOOKUP(tblContactoCliente[[#This Row],[id_cliente]],tblClientes[[#All],[id]:[nombre_contacto]],4,0)</f>
        <v>JOSE EMILIO DELGADO</v>
      </c>
    </row>
    <row r="1009" spans="1:8" x14ac:dyDescent="0.25">
      <c r="A1009">
        <v>1008</v>
      </c>
      <c r="B1009">
        <v>1008</v>
      </c>
      <c r="C1009">
        <v>3118256473</v>
      </c>
      <c r="D1009" t="s">
        <v>3565</v>
      </c>
      <c r="F1009" t="s">
        <v>3463</v>
      </c>
      <c r="G1009" t="s">
        <v>3</v>
      </c>
      <c r="H1009" t="str">
        <f>VLOOKUP(tblContactoCliente[[#This Row],[id_cliente]],tblClientes[[#All],[id]:[nombre_contacto]],4,0)</f>
        <v>MARLON TUNJANO</v>
      </c>
    </row>
    <row r="1010" spans="1:8" x14ac:dyDescent="0.25">
      <c r="A1010">
        <v>1009</v>
      </c>
      <c r="B1010">
        <v>1009</v>
      </c>
      <c r="C1010">
        <v>3123506414</v>
      </c>
      <c r="D1010" t="s">
        <v>3567</v>
      </c>
      <c r="F1010" t="s">
        <v>2604</v>
      </c>
      <c r="G1010" t="s">
        <v>3</v>
      </c>
      <c r="H1010" t="str">
        <f>VLOOKUP(tblContactoCliente[[#This Row],[id_cliente]],tblClientes[[#All],[id]:[nombre_contacto]],4,0)</f>
        <v>OSCAR MENDIENTA</v>
      </c>
    </row>
    <row r="1011" spans="1:8" x14ac:dyDescent="0.25">
      <c r="A1011">
        <v>1010</v>
      </c>
      <c r="B1011">
        <v>1010</v>
      </c>
      <c r="C1011">
        <v>3118761815</v>
      </c>
      <c r="D1011" t="s">
        <v>3569</v>
      </c>
      <c r="F1011" t="s">
        <v>1964</v>
      </c>
      <c r="G1011" t="s">
        <v>3</v>
      </c>
      <c r="H1011" t="str">
        <f>VLOOKUP(tblContactoCliente[[#This Row],[id_cliente]],tblClientes[[#All],[id]:[nombre_contacto]],4,0)</f>
        <v>LUZ MARINA SEGURA</v>
      </c>
    </row>
    <row r="1012" spans="1:8" x14ac:dyDescent="0.25">
      <c r="A1012">
        <v>1011</v>
      </c>
      <c r="B1012">
        <v>1011</v>
      </c>
      <c r="C1012">
        <v>3104192485</v>
      </c>
      <c r="D1012" t="s">
        <v>3573</v>
      </c>
      <c r="F1012" t="s">
        <v>1351</v>
      </c>
      <c r="G1012" t="s">
        <v>2248</v>
      </c>
      <c r="H1012" t="str">
        <f>VLOOKUP(tblContactoCliente[[#This Row],[id_cliente]],tblClientes[[#All],[id]:[nombre_contacto]],4,0)</f>
        <v>JESUS YOVANY ORDOÑES</v>
      </c>
    </row>
    <row r="1013" spans="1:8" x14ac:dyDescent="0.25">
      <c r="A1013">
        <v>1012</v>
      </c>
      <c r="B1013">
        <v>1012</v>
      </c>
      <c r="C1013">
        <v>3123887285</v>
      </c>
      <c r="D1013" t="s">
        <v>3575</v>
      </c>
      <c r="F1013" t="s">
        <v>2965</v>
      </c>
      <c r="G1013" t="s">
        <v>3576</v>
      </c>
      <c r="H1013" t="str">
        <f>VLOOKUP(tblContactoCliente[[#This Row],[id_cliente]],tblClientes[[#All],[id]:[nombre_contacto]],4,0)</f>
        <v>JESUS SAMUDIO</v>
      </c>
    </row>
    <row r="1014" spans="1:8" x14ac:dyDescent="0.25">
      <c r="A1014">
        <v>1013</v>
      </c>
      <c r="B1014">
        <v>1013</v>
      </c>
      <c r="C1014">
        <v>3107589653</v>
      </c>
      <c r="D1014" t="s">
        <v>3579</v>
      </c>
      <c r="F1014" t="s">
        <v>2674</v>
      </c>
      <c r="G1014" t="s">
        <v>2870</v>
      </c>
      <c r="H1014" t="str">
        <f>VLOOKUP(tblContactoCliente[[#This Row],[id_cliente]],tblClientes[[#All],[id]:[nombre_contacto]],4,0)</f>
        <v>BLANCA FLOR DIAS</v>
      </c>
    </row>
    <row r="1015" spans="1:8" x14ac:dyDescent="0.25">
      <c r="A1015">
        <v>1014</v>
      </c>
      <c r="B1015">
        <v>1014</v>
      </c>
      <c r="C1015">
        <v>3007588291</v>
      </c>
      <c r="D1015" t="s">
        <v>3582</v>
      </c>
      <c r="F1015" t="s">
        <v>2979</v>
      </c>
      <c r="G1015" t="s">
        <v>2870</v>
      </c>
      <c r="H1015" t="str">
        <f>VLOOKUP(tblContactoCliente[[#This Row],[id_cliente]],tblClientes[[#All],[id]:[nombre_contacto]],4,0)</f>
        <v>TATIANA CARTAGENA</v>
      </c>
    </row>
    <row r="1016" spans="1:8" x14ac:dyDescent="0.25">
      <c r="A1016">
        <v>1015</v>
      </c>
      <c r="B1016">
        <v>1015</v>
      </c>
      <c r="C1016">
        <v>3112716227</v>
      </c>
      <c r="D1016" t="s">
        <v>3584</v>
      </c>
      <c r="F1016" t="s">
        <v>2494</v>
      </c>
      <c r="G1016" t="s">
        <v>3</v>
      </c>
      <c r="H1016" t="str">
        <f>VLOOKUP(tblContactoCliente[[#This Row],[id_cliente]],tblClientes[[#All],[id]:[nombre_contacto]],4,0)</f>
        <v>BERNARDO SIMBAQUEBA</v>
      </c>
    </row>
    <row r="1017" spans="1:8" x14ac:dyDescent="0.25">
      <c r="A1017">
        <v>1016</v>
      </c>
      <c r="B1017">
        <v>1016</v>
      </c>
      <c r="C1017">
        <v>3142922208</v>
      </c>
      <c r="D1017" t="s">
        <v>3586</v>
      </c>
      <c r="F1017" t="s">
        <v>2101</v>
      </c>
      <c r="G1017" t="s">
        <v>3</v>
      </c>
      <c r="H1017" t="str">
        <f>VLOOKUP(tblContactoCliente[[#This Row],[id_cliente]],tblClientes[[#All],[id]:[nombre_contacto]],4,0)</f>
        <v>JAIME GOMEZ</v>
      </c>
    </row>
    <row r="1018" spans="1:8" x14ac:dyDescent="0.25">
      <c r="A1018">
        <v>1017</v>
      </c>
      <c r="B1018">
        <v>1017</v>
      </c>
      <c r="C1018">
        <v>3123350188</v>
      </c>
      <c r="D1018" t="s">
        <v>3588</v>
      </c>
      <c r="F1018" t="s">
        <v>1915</v>
      </c>
      <c r="G1018" t="s">
        <v>801</v>
      </c>
      <c r="H1018" t="str">
        <f>VLOOKUP(tblContactoCliente[[#This Row],[id_cliente]],tblClientes[[#All],[id]:[nombre_contacto]],4,0)</f>
        <v>JIOVANNY VEGA</v>
      </c>
    </row>
    <row r="1019" spans="1:8" x14ac:dyDescent="0.25">
      <c r="A1019">
        <v>1018</v>
      </c>
      <c r="B1019">
        <v>1018</v>
      </c>
      <c r="H1019" t="str">
        <f>VLOOKUP(tblContactoCliente[[#This Row],[id_cliente]],tblClientes[[#All],[id]:[nombre_contacto]],4,0)</f>
        <v>JAIME MORALES</v>
      </c>
    </row>
    <row r="1020" spans="1:8" x14ac:dyDescent="0.25">
      <c r="A1020">
        <v>1019</v>
      </c>
      <c r="B1020">
        <v>1019</v>
      </c>
      <c r="C1020">
        <v>3212727739</v>
      </c>
      <c r="D1020" t="s">
        <v>3592</v>
      </c>
      <c r="F1020" t="s">
        <v>1707</v>
      </c>
      <c r="G1020" t="s">
        <v>3</v>
      </c>
      <c r="H1020" t="str">
        <f>VLOOKUP(tblContactoCliente[[#This Row],[id_cliente]],tblClientes[[#All],[id]:[nombre_contacto]],4,0)</f>
        <v>ALEXARDER HURTADO</v>
      </c>
    </row>
    <row r="1021" spans="1:8" x14ac:dyDescent="0.25">
      <c r="A1021">
        <v>1020</v>
      </c>
      <c r="B1021">
        <v>1020</v>
      </c>
      <c r="C1021">
        <v>3158522816</v>
      </c>
      <c r="D1021" t="s">
        <v>3596</v>
      </c>
      <c r="G1021" t="s">
        <v>3</v>
      </c>
      <c r="H1021" t="str">
        <f>VLOOKUP(tblContactoCliente[[#This Row],[id_cliente]],tblClientes[[#All],[id]:[nombre_contacto]],4,0)</f>
        <v>PANITEX SAS</v>
      </c>
    </row>
    <row r="1022" spans="1:8" x14ac:dyDescent="0.25">
      <c r="A1022">
        <v>1021</v>
      </c>
      <c r="B1022">
        <v>1021</v>
      </c>
      <c r="C1022">
        <v>3108057960</v>
      </c>
      <c r="D1022" t="s">
        <v>3598</v>
      </c>
      <c r="F1022" t="s">
        <v>2494</v>
      </c>
      <c r="G1022" t="s">
        <v>3</v>
      </c>
      <c r="H1022" t="str">
        <f>VLOOKUP(tblContactoCliente[[#This Row],[id_cliente]],tblClientes[[#All],[id]:[nombre_contacto]],4,0)</f>
        <v>LEOVIGILDO ORTIZ</v>
      </c>
    </row>
    <row r="1023" spans="1:8" x14ac:dyDescent="0.25">
      <c r="A1023">
        <v>1022</v>
      </c>
      <c r="B1023">
        <v>1022</v>
      </c>
      <c r="C1023">
        <v>2906631</v>
      </c>
      <c r="D1023" t="s">
        <v>3600</v>
      </c>
      <c r="F1023" t="s">
        <v>3601</v>
      </c>
      <c r="G1023" t="s">
        <v>3</v>
      </c>
      <c r="H1023" t="str">
        <f>VLOOKUP(tblContactoCliente[[#This Row],[id_cliente]],tblClientes[[#All],[id]:[nombre_contacto]],4,0)</f>
        <v>JUAN CARLOS HERRERA</v>
      </c>
    </row>
    <row r="1024" spans="1:8" x14ac:dyDescent="0.25">
      <c r="A1024">
        <v>1023</v>
      </c>
      <c r="B1024">
        <v>1023</v>
      </c>
      <c r="C1024">
        <v>7481874</v>
      </c>
      <c r="D1024" t="s">
        <v>3414</v>
      </c>
      <c r="F1024" t="s">
        <v>3605</v>
      </c>
      <c r="G1024" t="s">
        <v>2626</v>
      </c>
      <c r="H1024" t="str">
        <f>VLOOKUP(tblContactoCliente[[#This Row],[id_cliente]],tblClientes[[#All],[id]:[nombre_contacto]],4,0)</f>
        <v>LEIDY MARTINEZ</v>
      </c>
    </row>
    <row r="1025" spans="1:8" x14ac:dyDescent="0.25">
      <c r="A1025">
        <v>1024</v>
      </c>
      <c r="B1025">
        <v>1024</v>
      </c>
      <c r="C1025">
        <v>3204923939</v>
      </c>
      <c r="D1025" t="s">
        <v>3607</v>
      </c>
      <c r="F1025" t="s">
        <v>2965</v>
      </c>
      <c r="G1025" t="s">
        <v>3</v>
      </c>
      <c r="H1025" t="str">
        <f>VLOOKUP(tblContactoCliente[[#This Row],[id_cliente]],tblClientes[[#All],[id]:[nombre_contacto]],4,0)</f>
        <v>ANCIZAR MENESES</v>
      </c>
    </row>
    <row r="1026" spans="1:8" x14ac:dyDescent="0.25">
      <c r="A1026">
        <v>1025</v>
      </c>
      <c r="B1026">
        <v>1025</v>
      </c>
      <c r="C1026">
        <v>3114835106</v>
      </c>
      <c r="D1026" t="s">
        <v>3609</v>
      </c>
      <c r="F1026" t="s">
        <v>3610</v>
      </c>
      <c r="G1026" t="s">
        <v>3</v>
      </c>
      <c r="H1026" t="str">
        <f>VLOOKUP(tblContactoCliente[[#This Row],[id_cliente]],tblClientes[[#All],[id]:[nombre_contacto]],4,0)</f>
        <v>VICENTE AREVALO</v>
      </c>
    </row>
    <row r="1027" spans="1:8" x14ac:dyDescent="0.25">
      <c r="A1027">
        <v>1026</v>
      </c>
      <c r="B1027">
        <v>1026</v>
      </c>
      <c r="C1027">
        <v>3115227375</v>
      </c>
      <c r="D1027" t="s">
        <v>3612</v>
      </c>
      <c r="F1027" t="s">
        <v>2310</v>
      </c>
      <c r="G1027" t="s">
        <v>3</v>
      </c>
      <c r="H1027" t="str">
        <f>VLOOKUP(tblContactoCliente[[#This Row],[id_cliente]],tblClientes[[#All],[id]:[nombre_contacto]],4,0)</f>
        <v>LAURENTINO ORTIZ</v>
      </c>
    </row>
    <row r="1028" spans="1:8" x14ac:dyDescent="0.25">
      <c r="A1028">
        <v>1027</v>
      </c>
      <c r="B1028">
        <v>1027</v>
      </c>
      <c r="G1028" t="s">
        <v>3</v>
      </c>
      <c r="H1028" t="str">
        <f>VLOOKUP(tblContactoCliente[[#This Row],[id_cliente]],tblClientes[[#All],[id]:[nombre_contacto]],4,0)</f>
        <v>MARINA CABALLERO</v>
      </c>
    </row>
    <row r="1029" spans="1:8" x14ac:dyDescent="0.25">
      <c r="A1029">
        <v>1028</v>
      </c>
      <c r="B1029">
        <v>1028</v>
      </c>
      <c r="C1029">
        <v>3112341223</v>
      </c>
      <c r="D1029" t="s">
        <v>3615</v>
      </c>
      <c r="F1029" t="s">
        <v>3616</v>
      </c>
      <c r="G1029" t="s">
        <v>3</v>
      </c>
      <c r="H1029" t="str">
        <f>VLOOKUP(tblContactoCliente[[#This Row],[id_cliente]],tblClientes[[#All],[id]:[nombre_contacto]],4,0)</f>
        <v>YEIMI RAMOS</v>
      </c>
    </row>
    <row r="1030" spans="1:8" x14ac:dyDescent="0.25">
      <c r="A1030">
        <v>1029</v>
      </c>
      <c r="B1030">
        <v>1029</v>
      </c>
      <c r="C1030">
        <v>3005977423</v>
      </c>
      <c r="D1030" t="s">
        <v>3618</v>
      </c>
      <c r="F1030" t="s">
        <v>3619</v>
      </c>
      <c r="G1030" t="s">
        <v>467</v>
      </c>
      <c r="H1030" t="str">
        <f>VLOOKUP(tblContactoCliente[[#This Row],[id_cliente]],tblClientes[[#All],[id]:[nombre_contacto]],4,0)</f>
        <v>RAMON ARIAS</v>
      </c>
    </row>
    <row r="1031" spans="1:8" x14ac:dyDescent="0.25">
      <c r="A1031">
        <v>1030</v>
      </c>
      <c r="B1031">
        <v>1030</v>
      </c>
      <c r="C1031">
        <v>313311815</v>
      </c>
      <c r="D1031" t="s">
        <v>3622</v>
      </c>
      <c r="F1031" t="s">
        <v>217</v>
      </c>
      <c r="G1031" t="s">
        <v>3</v>
      </c>
      <c r="H1031" t="str">
        <f>VLOOKUP(tblContactoCliente[[#This Row],[id_cliente]],tblClientes[[#All],[id]:[nombre_contacto]],4,0)</f>
        <v>JAIRO PULIDO</v>
      </c>
    </row>
    <row r="1032" spans="1:8" x14ac:dyDescent="0.25">
      <c r="A1032">
        <v>1031</v>
      </c>
      <c r="B1032">
        <v>1031</v>
      </c>
      <c r="C1032">
        <v>3108649773</v>
      </c>
      <c r="D1032" t="s">
        <v>2399</v>
      </c>
      <c r="G1032" t="s">
        <v>3</v>
      </c>
      <c r="H1032" t="str">
        <f>VLOOKUP(tblContactoCliente[[#This Row],[id_cliente]],tblClientes[[#All],[id]:[nombre_contacto]],4,0)</f>
        <v>CARLOS HERNADEZ</v>
      </c>
    </row>
    <row r="1033" spans="1:8" x14ac:dyDescent="0.25">
      <c r="A1033">
        <v>1032</v>
      </c>
      <c r="B1033">
        <v>1032</v>
      </c>
      <c r="C1033">
        <v>3134791301</v>
      </c>
      <c r="D1033" t="s">
        <v>3625</v>
      </c>
      <c r="F1033" t="s">
        <v>2696</v>
      </c>
      <c r="G1033" t="s">
        <v>3</v>
      </c>
      <c r="H1033" t="str">
        <f>VLOOKUP(tblContactoCliente[[#This Row],[id_cliente]],tblClientes[[#All],[id]:[nombre_contacto]],4,0)</f>
        <v>OMAR GUTIERREZ</v>
      </c>
    </row>
    <row r="1034" spans="1:8" x14ac:dyDescent="0.25">
      <c r="A1034">
        <v>1033</v>
      </c>
      <c r="B1034">
        <v>1033</v>
      </c>
      <c r="C1034">
        <v>312788479</v>
      </c>
      <c r="D1034" t="s">
        <v>3628</v>
      </c>
      <c r="F1034" t="s">
        <v>187</v>
      </c>
      <c r="G1034" t="s">
        <v>3</v>
      </c>
      <c r="H1034" t="str">
        <f>VLOOKUP(tblContactoCliente[[#This Row],[id_cliente]],tblClientes[[#All],[id]:[nombre_contacto]],4,0)</f>
        <v xml:space="preserve">MARTHA CONTRERAS </v>
      </c>
    </row>
    <row r="1035" spans="1:8" x14ac:dyDescent="0.25">
      <c r="A1035">
        <v>1034</v>
      </c>
      <c r="B1035">
        <v>1034</v>
      </c>
      <c r="G1035" t="s">
        <v>3</v>
      </c>
      <c r="H1035" t="str">
        <f>VLOOKUP(tblContactoCliente[[#This Row],[id_cliente]],tblClientes[[#All],[id]:[nombre_contacto]],4,0)</f>
        <v xml:space="preserve">DANIEL RIOS </v>
      </c>
    </row>
    <row r="1036" spans="1:8" x14ac:dyDescent="0.25">
      <c r="A1036">
        <v>1035</v>
      </c>
      <c r="B1036">
        <v>1035</v>
      </c>
      <c r="C1036" s="15">
        <v>3113910043</v>
      </c>
      <c r="D1036" t="s">
        <v>3299</v>
      </c>
      <c r="F1036" t="s">
        <v>3300</v>
      </c>
      <c r="G1036" t="s">
        <v>3301</v>
      </c>
      <c r="H1036" t="str">
        <f>VLOOKUP(tblContactoCliente[[#This Row],[id_cliente]],tblClientes[[#All],[id]:[nombre_contacto]],4,0)</f>
        <v>LEIDY JOHANA PALACIO</v>
      </c>
    </row>
    <row r="1037" spans="1:8" x14ac:dyDescent="0.25">
      <c r="A1037">
        <v>1036</v>
      </c>
      <c r="B1037">
        <v>1036</v>
      </c>
      <c r="C1037">
        <v>5410669</v>
      </c>
      <c r="D1037" t="s">
        <v>3634</v>
      </c>
      <c r="F1037" t="s">
        <v>3635</v>
      </c>
      <c r="G1037" t="s">
        <v>3</v>
      </c>
      <c r="H1037" t="str">
        <f>VLOOKUP(tblContactoCliente[[#This Row],[id_cliente]],tblClientes[[#All],[id]:[nombre_contacto]],4,0)</f>
        <v>AGENDARTE SAS</v>
      </c>
    </row>
    <row r="1038" spans="1:8" x14ac:dyDescent="0.25">
      <c r="A1038">
        <v>1037</v>
      </c>
      <c r="B1038">
        <v>1037</v>
      </c>
      <c r="C1038">
        <v>3196444804</v>
      </c>
      <c r="D1038" t="s">
        <v>3639</v>
      </c>
      <c r="F1038" t="s">
        <v>3640</v>
      </c>
      <c r="G1038" t="s">
        <v>3</v>
      </c>
      <c r="H1038" t="str">
        <f>VLOOKUP(tblContactoCliente[[#This Row],[id_cliente]],tblClientes[[#All],[id]:[nombre_contacto]],4,0)</f>
        <v>GILBERTO URREGO</v>
      </c>
    </row>
    <row r="1039" spans="1:8" x14ac:dyDescent="0.25">
      <c r="A1039">
        <v>1038</v>
      </c>
      <c r="B1039">
        <v>1038</v>
      </c>
      <c r="C1039">
        <v>3203832351</v>
      </c>
      <c r="D1039" t="s">
        <v>2399</v>
      </c>
      <c r="F1039" t="s">
        <v>2399</v>
      </c>
      <c r="G1039" t="s">
        <v>3</v>
      </c>
      <c r="H1039" t="str">
        <f>VLOOKUP(tblContactoCliente[[#This Row],[id_cliente]],tblClientes[[#All],[id]:[nombre_contacto]],4,0)</f>
        <v>CAMILO ROJAS</v>
      </c>
    </row>
    <row r="1040" spans="1:8" x14ac:dyDescent="0.25">
      <c r="A1040">
        <v>1039</v>
      </c>
      <c r="B1040">
        <v>1039</v>
      </c>
      <c r="C1040">
        <v>3124362715</v>
      </c>
      <c r="D1040" t="s">
        <v>3646</v>
      </c>
      <c r="F1040" t="s">
        <v>1351</v>
      </c>
      <c r="G1040" t="s">
        <v>3</v>
      </c>
      <c r="H1040" t="str">
        <f>VLOOKUP(tblContactoCliente[[#This Row],[id_cliente]],tblClientes[[#All],[id]:[nombre_contacto]],4,0)</f>
        <v>CRISTINA BOLAÑOS</v>
      </c>
    </row>
    <row r="1041" spans="1:8" x14ac:dyDescent="0.25">
      <c r="A1041">
        <v>1040</v>
      </c>
      <c r="B1041">
        <v>1040</v>
      </c>
      <c r="C1041">
        <v>3173153575</v>
      </c>
      <c r="D1041" t="s">
        <v>3648</v>
      </c>
      <c r="F1041" t="s">
        <v>2315</v>
      </c>
      <c r="G1041" t="s">
        <v>3649</v>
      </c>
      <c r="H1041" t="str">
        <f>VLOOKUP(tblContactoCliente[[#This Row],[id_cliente]],tblClientes[[#All],[id]:[nombre_contacto]],4,0)</f>
        <v>KEVIN SALGADO</v>
      </c>
    </row>
    <row r="1042" spans="1:8" x14ac:dyDescent="0.25">
      <c r="A1042">
        <v>1041</v>
      </c>
      <c r="B1042">
        <v>1041</v>
      </c>
      <c r="C1042" s="15">
        <v>3175966106</v>
      </c>
      <c r="D1042" t="s">
        <v>3653</v>
      </c>
      <c r="F1042" t="s">
        <v>1087</v>
      </c>
      <c r="G1042" t="s">
        <v>3</v>
      </c>
      <c r="H1042" t="str">
        <f>VLOOKUP(tblContactoCliente[[#This Row],[id_cliente]],tblClientes[[#All],[id]:[nombre_contacto]],4,0)</f>
        <v>ALEJANDRO RAMIREZ</v>
      </c>
    </row>
    <row r="1043" spans="1:8" x14ac:dyDescent="0.25">
      <c r="A1043">
        <v>1042</v>
      </c>
      <c r="B1043">
        <v>1042</v>
      </c>
      <c r="C1043">
        <v>3104844520</v>
      </c>
      <c r="G1043" t="s">
        <v>3656</v>
      </c>
      <c r="H1043" t="str">
        <f>VLOOKUP(tblContactoCliente[[#This Row],[id_cliente]],tblClientes[[#All],[id]:[nombre_contacto]],4,0)</f>
        <v>JOGER LEONARDO GAITAN</v>
      </c>
    </row>
    <row r="1044" spans="1:8" x14ac:dyDescent="0.25">
      <c r="A1044">
        <v>1043</v>
      </c>
      <c r="B1044">
        <v>1043</v>
      </c>
      <c r="C1044">
        <v>3223006013</v>
      </c>
      <c r="D1044" t="s">
        <v>3658</v>
      </c>
      <c r="F1044" t="s">
        <v>880</v>
      </c>
      <c r="G1044" t="s">
        <v>3</v>
      </c>
      <c r="H1044" t="str">
        <f>VLOOKUP(tblContactoCliente[[#This Row],[id_cliente]],tblClientes[[#All],[id]:[nombre_contacto]],4,0)</f>
        <v>BRAYAN RIAÑO</v>
      </c>
    </row>
    <row r="1045" spans="1:8" x14ac:dyDescent="0.25">
      <c r="A1045">
        <v>1044</v>
      </c>
      <c r="B1045">
        <v>1044</v>
      </c>
      <c r="C1045">
        <v>3193729138</v>
      </c>
      <c r="D1045" t="s">
        <v>3660</v>
      </c>
      <c r="F1045" t="s">
        <v>3661</v>
      </c>
      <c r="G1045" t="s">
        <v>3</v>
      </c>
      <c r="H1045" t="str">
        <f>VLOOKUP(tblContactoCliente[[#This Row],[id_cliente]],tblClientes[[#All],[id]:[nombre_contacto]],4,0)</f>
        <v>ANDREA ARCINIEGAS</v>
      </c>
    </row>
    <row r="1046" spans="1:8" x14ac:dyDescent="0.25">
      <c r="A1046">
        <v>1045</v>
      </c>
      <c r="B1046">
        <v>1045</v>
      </c>
      <c r="C1046">
        <v>33178430037</v>
      </c>
      <c r="G1046" t="s">
        <v>668</v>
      </c>
      <c r="H1046" t="str">
        <f>VLOOKUP(tblContactoCliente[[#This Row],[id_cliente]],tblClientes[[#All],[id]:[nombre_contacto]],4,0)</f>
        <v>OLMED MENDEZ</v>
      </c>
    </row>
    <row r="1047" spans="1:8" x14ac:dyDescent="0.25">
      <c r="A1047">
        <v>1046</v>
      </c>
      <c r="B1047">
        <v>1046</v>
      </c>
      <c r="C1047">
        <v>3123270501</v>
      </c>
      <c r="D1047" t="s">
        <v>3665</v>
      </c>
      <c r="F1047" t="s">
        <v>187</v>
      </c>
      <c r="G1047" t="s">
        <v>3666</v>
      </c>
      <c r="H1047" t="str">
        <f>VLOOKUP(tblContactoCliente[[#This Row],[id_cliente]],tblClientes[[#All],[id]:[nombre_contacto]],4,0)</f>
        <v>EDUIN LUNA</v>
      </c>
    </row>
    <row r="1048" spans="1:8" x14ac:dyDescent="0.25">
      <c r="A1048">
        <v>1047</v>
      </c>
      <c r="B1048">
        <v>1047</v>
      </c>
      <c r="H1048" t="str">
        <f>VLOOKUP(tblContactoCliente[[#This Row],[id_cliente]],tblClientes[[#All],[id]:[nombre_contacto]],4,0)</f>
        <v>JUAN SANTANA</v>
      </c>
    </row>
    <row r="1049" spans="1:8" x14ac:dyDescent="0.25">
      <c r="A1049">
        <v>1048</v>
      </c>
      <c r="B1049">
        <v>1048</v>
      </c>
      <c r="C1049">
        <v>3003531158</v>
      </c>
      <c r="D1049" t="s">
        <v>3669</v>
      </c>
      <c r="F1049" t="s">
        <v>3670</v>
      </c>
      <c r="G1049" t="s">
        <v>3671</v>
      </c>
      <c r="H1049" t="str">
        <f>VLOOKUP(tblContactoCliente[[#This Row],[id_cliente]],tblClientes[[#All],[id]:[nombre_contacto]],4,0)</f>
        <v xml:space="preserve">AURA MARIA SANTOS </v>
      </c>
    </row>
    <row r="1050" spans="1:8" x14ac:dyDescent="0.25">
      <c r="A1050">
        <v>1049</v>
      </c>
      <c r="B1050">
        <v>1049</v>
      </c>
      <c r="C1050">
        <v>3212129620</v>
      </c>
      <c r="D1050" t="s">
        <v>3673</v>
      </c>
      <c r="F1050" t="s">
        <v>274</v>
      </c>
      <c r="G1050" t="s">
        <v>3671</v>
      </c>
      <c r="H1050" t="str">
        <f>VLOOKUP(tblContactoCliente[[#This Row],[id_cliente]],tblClientes[[#All],[id]:[nombre_contacto]],4,0)</f>
        <v>MAGNOLIA SILVA</v>
      </c>
    </row>
    <row r="1051" spans="1:8" x14ac:dyDescent="0.25">
      <c r="A1051">
        <v>1050</v>
      </c>
      <c r="B1051">
        <v>1050</v>
      </c>
      <c r="C1051">
        <v>3134171546</v>
      </c>
      <c r="D1051" t="s">
        <v>3676</v>
      </c>
      <c r="F1051" t="s">
        <v>187</v>
      </c>
      <c r="G1051" t="s">
        <v>3</v>
      </c>
      <c r="H1051" t="str">
        <f>VLOOKUP(tblContactoCliente[[#This Row],[id_cliente]],tblClientes[[#All],[id]:[nombre_contacto]],4,0)</f>
        <v>FREDY ALVAREZ PARRAGA</v>
      </c>
    </row>
    <row r="1052" spans="1:8" x14ac:dyDescent="0.25">
      <c r="A1052">
        <v>1051</v>
      </c>
      <c r="B1052">
        <v>1051</v>
      </c>
      <c r="C1052">
        <v>3152930146</v>
      </c>
      <c r="D1052" t="s">
        <v>3680</v>
      </c>
      <c r="F1052" t="s">
        <v>187</v>
      </c>
      <c r="G1052" t="s">
        <v>3681</v>
      </c>
      <c r="H1052" t="str">
        <f>VLOOKUP(tblContactoCliente[[#This Row],[id_cliente]],tblClientes[[#All],[id]:[nombre_contacto]],4,0)</f>
        <v>GRACIELA OSPINA</v>
      </c>
    </row>
    <row r="1053" spans="1:8" x14ac:dyDescent="0.25">
      <c r="A1053">
        <v>1052</v>
      </c>
      <c r="B1053">
        <v>1052</v>
      </c>
      <c r="C1053" s="15">
        <v>3045341275</v>
      </c>
      <c r="D1053" t="s">
        <v>4172</v>
      </c>
      <c r="F1053" t="s">
        <v>4172</v>
      </c>
      <c r="G1053" t="s">
        <v>2089</v>
      </c>
      <c r="H1053" t="str">
        <f>VLOOKUP(tblContactoCliente[[#This Row],[id_cliente]],tblClientes[[#All],[id]:[nombre_contacto]],4,0)</f>
        <v>JULIAN CARVAJAL</v>
      </c>
    </row>
    <row r="1054" spans="1:8" x14ac:dyDescent="0.25">
      <c r="A1054">
        <v>1053</v>
      </c>
      <c r="B1054">
        <v>1053</v>
      </c>
      <c r="C1054">
        <v>3125708983</v>
      </c>
      <c r="D1054" t="s">
        <v>3686</v>
      </c>
      <c r="G1054" t="s">
        <v>3671</v>
      </c>
      <c r="H1054" t="str">
        <f>VLOOKUP(tblContactoCliente[[#This Row],[id_cliente]],tblClientes[[#All],[id]:[nombre_contacto]],4,0)</f>
        <v>UNION TEMPORAL MOVILIDAD CALI2018</v>
      </c>
    </row>
    <row r="1055" spans="1:8" x14ac:dyDescent="0.25">
      <c r="A1055">
        <v>1054</v>
      </c>
      <c r="B1055">
        <v>1054</v>
      </c>
      <c r="C1055">
        <v>3005656350</v>
      </c>
      <c r="D1055" t="s">
        <v>3688</v>
      </c>
      <c r="F1055" t="s">
        <v>3689</v>
      </c>
      <c r="G1055" t="s">
        <v>3671</v>
      </c>
      <c r="H1055" t="str">
        <f>VLOOKUP(tblContactoCliente[[#This Row],[id_cliente]],tblClientes[[#All],[id]:[nombre_contacto]],4,0)</f>
        <v>EMILIO  ARDILA</v>
      </c>
    </row>
    <row r="1056" spans="1:8" x14ac:dyDescent="0.25">
      <c r="A1056">
        <v>1055</v>
      </c>
      <c r="B1056">
        <v>1055</v>
      </c>
      <c r="C1056" s="15">
        <v>3138163261</v>
      </c>
      <c r="D1056" t="s">
        <v>3692</v>
      </c>
      <c r="F1056" t="s">
        <v>4172</v>
      </c>
      <c r="G1056" t="s">
        <v>3693</v>
      </c>
      <c r="H1056" t="str">
        <f>VLOOKUP(tblContactoCliente[[#This Row],[id_cliente]],tblClientes[[#All],[id]:[nombre_contacto]],4,0)</f>
        <v>ASDRUBAL ORTIZ</v>
      </c>
    </row>
    <row r="1057" spans="1:8" x14ac:dyDescent="0.25">
      <c r="A1057">
        <v>1056</v>
      </c>
      <c r="B1057">
        <v>1056</v>
      </c>
      <c r="C1057" s="15">
        <v>3182120281</v>
      </c>
      <c r="D1057" t="s">
        <v>3697</v>
      </c>
      <c r="F1057" t="s">
        <v>187</v>
      </c>
      <c r="G1057" t="s">
        <v>3</v>
      </c>
      <c r="H1057" t="str">
        <f>VLOOKUP(tblContactoCliente[[#This Row],[id_cliente]],tblClientes[[#All],[id]:[nombre_contacto]],4,0)</f>
        <v>FREDY HURTADO</v>
      </c>
    </row>
    <row r="1058" spans="1:8" x14ac:dyDescent="0.25">
      <c r="A1058">
        <v>1057</v>
      </c>
      <c r="B1058">
        <v>1057</v>
      </c>
      <c r="C1058" s="15">
        <v>3172826701</v>
      </c>
      <c r="D1058" t="s">
        <v>3701</v>
      </c>
      <c r="F1058" t="s">
        <v>482</v>
      </c>
      <c r="G1058" t="s">
        <v>3</v>
      </c>
      <c r="H1058" t="str">
        <f>VLOOKUP(tblContactoCliente[[#This Row],[id_cliente]],tblClientes[[#All],[id]:[nombre_contacto]],4,0)</f>
        <v>LAURA CARDENAS</v>
      </c>
    </row>
    <row r="1059" spans="1:8" x14ac:dyDescent="0.25">
      <c r="A1059">
        <v>1058</v>
      </c>
      <c r="B1059">
        <v>1058</v>
      </c>
      <c r="C1059">
        <v>3202760220</v>
      </c>
      <c r="H1059" t="str">
        <f>VLOOKUP(tblContactoCliente[[#This Row],[id_cliente]],tblClientes[[#All],[id]:[nombre_contacto]],4,0)</f>
        <v>JHON SALDOBAL</v>
      </c>
    </row>
    <row r="1060" spans="1:8" x14ac:dyDescent="0.25">
      <c r="A1060">
        <v>1059</v>
      </c>
      <c r="B1060">
        <v>1059</v>
      </c>
      <c r="C1060" t="s">
        <v>4172</v>
      </c>
      <c r="D1060" t="s">
        <v>4172</v>
      </c>
      <c r="F1060" t="s">
        <v>4172</v>
      </c>
      <c r="G1060" t="s">
        <v>467</v>
      </c>
      <c r="H1060" t="str">
        <f>VLOOKUP(tblContactoCliente[[#This Row],[id_cliente]],tblClientes[[#All],[id]:[nombre_contacto]],4,0)</f>
        <v>YEFFERSON ORLANDO TAPIERO CAPERA</v>
      </c>
    </row>
    <row r="1061" spans="1:8" x14ac:dyDescent="0.25">
      <c r="A1061">
        <v>1060</v>
      </c>
      <c r="B1061">
        <v>1060</v>
      </c>
      <c r="C1061" s="15">
        <v>3115412022</v>
      </c>
      <c r="D1061" t="s">
        <v>3706</v>
      </c>
      <c r="F1061" t="s">
        <v>3707</v>
      </c>
      <c r="G1061" t="s">
        <v>3</v>
      </c>
      <c r="H1061" t="str">
        <f>VLOOKUP(tblContactoCliente[[#This Row],[id_cliente]],tblClientes[[#All],[id]:[nombre_contacto]],4,0)</f>
        <v>FELIPE LEONARDO BARGAS</v>
      </c>
    </row>
    <row r="1062" spans="1:8" x14ac:dyDescent="0.25">
      <c r="A1062">
        <v>1061</v>
      </c>
      <c r="B1062">
        <v>1061</v>
      </c>
      <c r="C1062" s="15">
        <v>3138020956</v>
      </c>
      <c r="D1062" t="s">
        <v>3709</v>
      </c>
      <c r="F1062" t="s">
        <v>3710</v>
      </c>
      <c r="G1062" t="s">
        <v>3</v>
      </c>
      <c r="H1062" t="str">
        <f>VLOOKUP(tblContactoCliente[[#This Row],[id_cliente]],tblClientes[[#All],[id]:[nombre_contacto]],4,0)</f>
        <v>CAMILO VANEGAS</v>
      </c>
    </row>
    <row r="1063" spans="1:8" x14ac:dyDescent="0.25">
      <c r="A1063">
        <v>1062</v>
      </c>
      <c r="B1063">
        <v>1062</v>
      </c>
      <c r="C1063" s="15">
        <v>3143135311</v>
      </c>
      <c r="D1063" t="s">
        <v>3712</v>
      </c>
      <c r="F1063" t="s">
        <v>4172</v>
      </c>
      <c r="G1063" t="s">
        <v>3</v>
      </c>
      <c r="H1063" t="str">
        <f>VLOOKUP(tblContactoCliente[[#This Row],[id_cliente]],tblClientes[[#All],[id]:[nombre_contacto]],4,0)</f>
        <v>OSCAR ZAMUDIO</v>
      </c>
    </row>
    <row r="1064" spans="1:8" x14ac:dyDescent="0.25">
      <c r="A1064">
        <v>1063</v>
      </c>
      <c r="B1064">
        <v>1063</v>
      </c>
      <c r="C1064" s="15">
        <v>3204596781</v>
      </c>
      <c r="D1064" t="s">
        <v>3714</v>
      </c>
      <c r="F1064" t="s">
        <v>4172</v>
      </c>
      <c r="G1064" t="s">
        <v>3</v>
      </c>
      <c r="H1064" t="str">
        <f>VLOOKUP(tblContactoCliente[[#This Row],[id_cliente]],tblClientes[[#All],[id]:[nombre_contacto]],4,0)</f>
        <v>EDIXON VENAVIES</v>
      </c>
    </row>
    <row r="1065" spans="1:8" x14ac:dyDescent="0.25">
      <c r="A1065">
        <v>1064</v>
      </c>
      <c r="B1065">
        <v>1064</v>
      </c>
      <c r="C1065" s="15">
        <v>3213808897</v>
      </c>
      <c r="D1065" t="s">
        <v>3716</v>
      </c>
      <c r="F1065" t="s">
        <v>3716</v>
      </c>
      <c r="G1065" t="s">
        <v>3</v>
      </c>
      <c r="H1065" t="str">
        <f>VLOOKUP(tblContactoCliente[[#This Row],[id_cliente]],tblClientes[[#All],[id]:[nombre_contacto]],4,0)</f>
        <v xml:space="preserve">NANCY ROJAS </v>
      </c>
    </row>
    <row r="1066" spans="1:8" x14ac:dyDescent="0.25">
      <c r="A1066">
        <v>1065</v>
      </c>
      <c r="B1066">
        <v>1065</v>
      </c>
      <c r="C1066" s="15">
        <v>3007405592</v>
      </c>
      <c r="D1066" t="s">
        <v>4172</v>
      </c>
      <c r="F1066" t="s">
        <v>2328</v>
      </c>
      <c r="G1066" t="s">
        <v>3718</v>
      </c>
      <c r="H1066" t="str">
        <f>VLOOKUP(tblContactoCliente[[#This Row],[id_cliente]],tblClientes[[#All],[id]:[nombre_contacto]],4,0)</f>
        <v>ANDRES SARMENTO</v>
      </c>
    </row>
    <row r="1067" spans="1:8" x14ac:dyDescent="0.25">
      <c r="A1067">
        <v>1066</v>
      </c>
      <c r="B1067">
        <v>1066</v>
      </c>
      <c r="C1067" s="15">
        <v>3205211283</v>
      </c>
      <c r="D1067" t="s">
        <v>3720</v>
      </c>
      <c r="F1067" t="s">
        <v>3721</v>
      </c>
      <c r="G1067" t="s">
        <v>3722</v>
      </c>
      <c r="H1067" t="str">
        <f>VLOOKUP(tblContactoCliente[[#This Row],[id_cliente]],tblClientes[[#All],[id]:[nombre_contacto]],4,0)</f>
        <v>JANETH ROJAS PINZON</v>
      </c>
    </row>
    <row r="1068" spans="1:8" x14ac:dyDescent="0.25">
      <c r="A1068">
        <v>1067</v>
      </c>
      <c r="B1068">
        <v>1067</v>
      </c>
      <c r="C1068" s="15">
        <v>3155793358</v>
      </c>
      <c r="D1068" t="s">
        <v>3729</v>
      </c>
      <c r="F1068" t="s">
        <v>3730</v>
      </c>
      <c r="G1068" t="s">
        <v>3</v>
      </c>
      <c r="H1068" t="str">
        <f>VLOOKUP(tblContactoCliente[[#This Row],[id_cliente]],tblClientes[[#All],[id]:[nombre_contacto]],4,0)</f>
        <v xml:space="preserve">NORBERTO YELA </v>
      </c>
    </row>
    <row r="1069" spans="1:8" x14ac:dyDescent="0.25">
      <c r="A1069">
        <v>1068</v>
      </c>
      <c r="B1069">
        <v>1068</v>
      </c>
      <c r="C1069">
        <v>314343872</v>
      </c>
      <c r="D1069" t="s">
        <v>3732</v>
      </c>
      <c r="F1069" t="s">
        <v>3733</v>
      </c>
      <c r="G1069" t="s">
        <v>3</v>
      </c>
      <c r="H1069" t="str">
        <f>VLOOKUP(tblContactoCliente[[#This Row],[id_cliente]],tblClientes[[#All],[id]:[nombre_contacto]],4,0)</f>
        <v>CESAR VECERA</v>
      </c>
    </row>
    <row r="1070" spans="1:8" x14ac:dyDescent="0.25">
      <c r="A1070">
        <v>1069</v>
      </c>
      <c r="B1070">
        <v>1069</v>
      </c>
      <c r="C1070" s="15">
        <v>3144270391</v>
      </c>
      <c r="D1070" t="s">
        <v>3735</v>
      </c>
      <c r="F1070" t="s">
        <v>2696</v>
      </c>
      <c r="G1070" t="s">
        <v>3</v>
      </c>
      <c r="H1070" t="str">
        <f>VLOOKUP(tblContactoCliente[[#This Row],[id_cliente]],tblClientes[[#All],[id]:[nombre_contacto]],4,0)</f>
        <v xml:space="preserve">MARTHA LILIANA BUALVAS </v>
      </c>
    </row>
    <row r="1071" spans="1:8" x14ac:dyDescent="0.25">
      <c r="A1071">
        <v>1070</v>
      </c>
      <c r="B1071">
        <v>1070</v>
      </c>
      <c r="C1071" s="15">
        <v>3125400175</v>
      </c>
      <c r="D1071" t="s">
        <v>3737</v>
      </c>
      <c r="F1071" t="s">
        <v>3738</v>
      </c>
      <c r="G1071" t="s">
        <v>3</v>
      </c>
      <c r="H1071" t="str">
        <f>VLOOKUP(tblContactoCliente[[#This Row],[id_cliente]],tblClientes[[#All],[id]:[nombre_contacto]],4,0)</f>
        <v>ORLANDO DELGADO</v>
      </c>
    </row>
    <row r="1072" spans="1:8" x14ac:dyDescent="0.25">
      <c r="A1072">
        <v>1071</v>
      </c>
      <c r="B1072">
        <v>1071</v>
      </c>
      <c r="C1072" s="15">
        <v>3506136390</v>
      </c>
      <c r="D1072" t="s">
        <v>3740</v>
      </c>
      <c r="F1072" t="s">
        <v>3741</v>
      </c>
      <c r="G1072" t="s">
        <v>224</v>
      </c>
      <c r="H1072" t="str">
        <f>VLOOKUP(tblContactoCliente[[#This Row],[id_cliente]],tblClientes[[#All],[id]:[nombre_contacto]],4,0)</f>
        <v xml:space="preserve">NESTOR CARDOZO TORRA </v>
      </c>
    </row>
    <row r="1073" spans="1:8" x14ac:dyDescent="0.25">
      <c r="A1073">
        <v>1072</v>
      </c>
      <c r="B1073">
        <v>1072</v>
      </c>
      <c r="C1073" s="15">
        <v>3016830360</v>
      </c>
      <c r="D1073" t="s">
        <v>3745</v>
      </c>
      <c r="F1073" t="s">
        <v>2328</v>
      </c>
      <c r="G1073" t="s">
        <v>3</v>
      </c>
      <c r="H1073" t="str">
        <f>VLOOKUP(tblContactoCliente[[#This Row],[id_cliente]],tblClientes[[#All],[id]:[nombre_contacto]],4,0)</f>
        <v>ANULFO TRUJILLOO</v>
      </c>
    </row>
    <row r="1074" spans="1:8" x14ac:dyDescent="0.25">
      <c r="A1074">
        <v>1073</v>
      </c>
      <c r="B1074">
        <v>1073</v>
      </c>
      <c r="C1074" s="15">
        <v>3116934128</v>
      </c>
      <c r="D1074" t="s">
        <v>4172</v>
      </c>
      <c r="F1074" t="s">
        <v>2708</v>
      </c>
      <c r="G1074" t="s">
        <v>3</v>
      </c>
      <c r="H1074" t="str">
        <f>VLOOKUP(tblContactoCliente[[#This Row],[id_cliente]],tblClientes[[#All],[id]:[nombre_contacto]],4,0)</f>
        <v>LORENA FRANCO</v>
      </c>
    </row>
    <row r="1075" spans="1:8" x14ac:dyDescent="0.25">
      <c r="A1075">
        <v>1074</v>
      </c>
      <c r="B1075">
        <v>1074</v>
      </c>
      <c r="C1075" s="15">
        <v>3015987017</v>
      </c>
      <c r="D1075" t="s">
        <v>3748</v>
      </c>
      <c r="F1075" t="s">
        <v>3223</v>
      </c>
      <c r="G1075" t="s">
        <v>3</v>
      </c>
      <c r="H1075" t="str">
        <f>VLOOKUP(tblContactoCliente[[#This Row],[id_cliente]],tblClientes[[#All],[id]:[nombre_contacto]],4,0)</f>
        <v>JHON JAIRO PINEDA</v>
      </c>
    </row>
    <row r="1076" spans="1:8" x14ac:dyDescent="0.25">
      <c r="A1076">
        <v>1075</v>
      </c>
      <c r="B1076">
        <v>1075</v>
      </c>
      <c r="C1076" s="15">
        <v>3108598044</v>
      </c>
      <c r="D1076" t="s">
        <v>3750</v>
      </c>
      <c r="F1076" t="s">
        <v>3751</v>
      </c>
      <c r="G1076" t="s">
        <v>3</v>
      </c>
      <c r="H1076" t="str">
        <f>VLOOKUP(tblContactoCliente[[#This Row],[id_cliente]],tblClientes[[#All],[id]:[nombre_contacto]],4,0)</f>
        <v>HECTOR MUÑOS</v>
      </c>
    </row>
    <row r="1077" spans="1:8" x14ac:dyDescent="0.25">
      <c r="A1077">
        <v>1076</v>
      </c>
      <c r="B1077">
        <v>1076</v>
      </c>
      <c r="C1077" s="15">
        <v>3167161390</v>
      </c>
      <c r="D1077" t="s">
        <v>3753</v>
      </c>
      <c r="F1077" t="s">
        <v>2674</v>
      </c>
      <c r="G1077" t="s">
        <v>467</v>
      </c>
      <c r="H1077" t="str">
        <f>VLOOKUP(tblContactoCliente[[#This Row],[id_cliente]],tblClientes[[#All],[id]:[nombre_contacto]],4,0)</f>
        <v>WILLIAM QUIMBAYA</v>
      </c>
    </row>
    <row r="1078" spans="1:8" x14ac:dyDescent="0.25">
      <c r="A1078">
        <v>1077</v>
      </c>
      <c r="B1078">
        <v>1077</v>
      </c>
      <c r="C1078" s="15">
        <v>3115494865</v>
      </c>
      <c r="D1078" t="s">
        <v>3757</v>
      </c>
      <c r="F1078" t="s">
        <v>187</v>
      </c>
      <c r="G1078" t="s">
        <v>3</v>
      </c>
      <c r="H1078" t="str">
        <f>VLOOKUP(tblContactoCliente[[#This Row],[id_cliente]],tblClientes[[#All],[id]:[nombre_contacto]],4,0)</f>
        <v>JHONATAN FONTEKA</v>
      </c>
    </row>
    <row r="1079" spans="1:8" x14ac:dyDescent="0.25">
      <c r="A1079">
        <v>1078</v>
      </c>
      <c r="B1079">
        <v>1078</v>
      </c>
      <c r="C1079">
        <v>3134724479</v>
      </c>
      <c r="D1079" t="s">
        <v>3759</v>
      </c>
      <c r="F1079" t="s">
        <v>3760</v>
      </c>
      <c r="G1079" t="s">
        <v>3</v>
      </c>
      <c r="H1079" t="str">
        <f>VLOOKUP(tblContactoCliente[[#This Row],[id_cliente]],tblClientes[[#All],[id]:[nombre_contacto]],4,0)</f>
        <v>CAMILO GAONA</v>
      </c>
    </row>
    <row r="1080" spans="1:8" x14ac:dyDescent="0.25">
      <c r="A1080">
        <v>1079</v>
      </c>
      <c r="B1080">
        <v>1079</v>
      </c>
      <c r="C1080" s="15">
        <v>3202635442</v>
      </c>
      <c r="D1080" t="s">
        <v>3762</v>
      </c>
      <c r="F1080" t="s">
        <v>2011</v>
      </c>
      <c r="G1080" t="s">
        <v>3</v>
      </c>
      <c r="H1080" t="str">
        <f>VLOOKUP(tblContactoCliente[[#This Row],[id_cliente]],tblClientes[[#All],[id]:[nombre_contacto]],4,0)</f>
        <v>WILSON BERMUDEZ</v>
      </c>
    </row>
    <row r="1081" spans="1:8" x14ac:dyDescent="0.25">
      <c r="A1081">
        <v>1080</v>
      </c>
      <c r="B1081">
        <v>1080</v>
      </c>
      <c r="C1081" s="15">
        <v>3112421359</v>
      </c>
      <c r="D1081" t="s">
        <v>3764</v>
      </c>
      <c r="F1081" t="s">
        <v>3765</v>
      </c>
      <c r="G1081" t="s">
        <v>3</v>
      </c>
      <c r="H1081" t="str">
        <f>VLOOKUP(tblContactoCliente[[#This Row],[id_cliente]],tblClientes[[#All],[id]:[nombre_contacto]],4,0)</f>
        <v>PEDRO GOMEZ V.</v>
      </c>
    </row>
    <row r="1082" spans="1:8" x14ac:dyDescent="0.25">
      <c r="A1082">
        <v>1081</v>
      </c>
      <c r="B1082">
        <v>1081</v>
      </c>
      <c r="C1082" s="15">
        <v>3138551558</v>
      </c>
      <c r="D1082" t="s">
        <v>3770</v>
      </c>
      <c r="F1082" t="s">
        <v>2011</v>
      </c>
      <c r="G1082" t="s">
        <v>3</v>
      </c>
      <c r="H1082" t="str">
        <f>VLOOKUP(tblContactoCliente[[#This Row],[id_cliente]],tblClientes[[#All],[id]:[nombre_contacto]],4,0)</f>
        <v>DIEGO GUTIERREZ</v>
      </c>
    </row>
    <row r="1083" spans="1:8" x14ac:dyDescent="0.25">
      <c r="A1083">
        <v>1082</v>
      </c>
      <c r="B1083">
        <v>1082</v>
      </c>
      <c r="C1083" s="15">
        <v>3108590540</v>
      </c>
      <c r="D1083" t="s">
        <v>3772</v>
      </c>
      <c r="F1083" t="s">
        <v>3136</v>
      </c>
      <c r="G1083" t="s">
        <v>3</v>
      </c>
      <c r="H1083" t="str">
        <f>VLOOKUP(tblContactoCliente[[#This Row],[id_cliente]],tblClientes[[#All],[id]:[nombre_contacto]],4,0)</f>
        <v>MANUEL GOMEZ</v>
      </c>
    </row>
    <row r="1084" spans="1:8" x14ac:dyDescent="0.25">
      <c r="A1084">
        <v>1083</v>
      </c>
      <c r="B1084">
        <v>1083</v>
      </c>
      <c r="C1084" s="15">
        <v>3212152188</v>
      </c>
      <c r="D1084" t="s">
        <v>3774</v>
      </c>
      <c r="F1084" t="s">
        <v>448</v>
      </c>
      <c r="G1084" t="s">
        <v>3</v>
      </c>
      <c r="H1084" t="str">
        <f>VLOOKUP(tblContactoCliente[[#This Row],[id_cliente]],tblClientes[[#All],[id]:[nombre_contacto]],4,0)</f>
        <v>ANGUIE DIAZ</v>
      </c>
    </row>
    <row r="1085" spans="1:8" x14ac:dyDescent="0.25">
      <c r="A1085">
        <v>1084</v>
      </c>
      <c r="B1085">
        <v>1084</v>
      </c>
      <c r="C1085" s="15">
        <v>3208713538</v>
      </c>
      <c r="D1085" t="s">
        <v>3776</v>
      </c>
      <c r="F1085" t="s">
        <v>187</v>
      </c>
      <c r="G1085" t="s">
        <v>3</v>
      </c>
      <c r="H1085" t="str">
        <f>VLOOKUP(tblContactoCliente[[#This Row],[id_cliente]],tblClientes[[#All],[id]:[nombre_contacto]],4,0)</f>
        <v>SANDRA GARZON</v>
      </c>
    </row>
    <row r="1086" spans="1:8" x14ac:dyDescent="0.25">
      <c r="A1086">
        <v>1085</v>
      </c>
      <c r="B1086">
        <v>1085</v>
      </c>
      <c r="C1086" s="15">
        <v>3003767221</v>
      </c>
      <c r="D1086" t="s">
        <v>3779</v>
      </c>
      <c r="F1086" t="s">
        <v>3780</v>
      </c>
      <c r="G1086" t="s">
        <v>3</v>
      </c>
      <c r="H1086" t="str">
        <f>VLOOKUP(tblContactoCliente[[#This Row],[id_cliente]],tblClientes[[#All],[id]:[nombre_contacto]],4,0)</f>
        <v>DIANA MARCELA VERGARA</v>
      </c>
    </row>
    <row r="1087" spans="1:8" x14ac:dyDescent="0.25">
      <c r="A1087">
        <v>1086</v>
      </c>
      <c r="B1087">
        <v>1086</v>
      </c>
      <c r="C1087" s="15">
        <v>3108591429</v>
      </c>
      <c r="D1087" t="s">
        <v>3782</v>
      </c>
      <c r="F1087" t="s">
        <v>3783</v>
      </c>
      <c r="G1087" t="s">
        <v>3</v>
      </c>
      <c r="H1087" t="str">
        <f>VLOOKUP(tblContactoCliente[[#This Row],[id_cliente]],tblClientes[[#All],[id]:[nombre_contacto]],4,0)</f>
        <v>YUDELY CASTRO</v>
      </c>
    </row>
    <row r="1088" spans="1:8" x14ac:dyDescent="0.25">
      <c r="A1088">
        <v>1087</v>
      </c>
      <c r="B1088">
        <v>1087</v>
      </c>
      <c r="C1088" s="15">
        <v>3114979951</v>
      </c>
      <c r="D1088" t="s">
        <v>3787</v>
      </c>
      <c r="F1088" t="s">
        <v>3788</v>
      </c>
      <c r="G1088" t="s">
        <v>3</v>
      </c>
      <c r="H1088" t="str">
        <f>VLOOKUP(tblContactoCliente[[#This Row],[id_cliente]],tblClientes[[#All],[id]:[nombre_contacto]],4,0)</f>
        <v>JACOB PARAMO</v>
      </c>
    </row>
    <row r="1089" spans="1:8" x14ac:dyDescent="0.25">
      <c r="A1089">
        <v>1088</v>
      </c>
      <c r="B1089">
        <v>1088</v>
      </c>
      <c r="C1089" s="15">
        <v>3008095764</v>
      </c>
      <c r="D1089" t="s">
        <v>3790</v>
      </c>
      <c r="F1089" t="s">
        <v>4172</v>
      </c>
      <c r="G1089" t="s">
        <v>139</v>
      </c>
      <c r="H1089" t="str">
        <f>VLOOKUP(tblContactoCliente[[#This Row],[id_cliente]],tblClientes[[#All],[id]:[nombre_contacto]],4,0)</f>
        <v>MOISES SANTRICH</v>
      </c>
    </row>
    <row r="1090" spans="1:8" x14ac:dyDescent="0.25">
      <c r="A1090">
        <v>1089</v>
      </c>
      <c r="B1090">
        <v>1089</v>
      </c>
      <c r="C1090" s="15">
        <v>3106663063</v>
      </c>
      <c r="D1090" t="s">
        <v>3792</v>
      </c>
      <c r="F1090" t="s">
        <v>825</v>
      </c>
      <c r="G1090" t="s">
        <v>3</v>
      </c>
      <c r="H1090" t="str">
        <f>VLOOKUP(tblContactoCliente[[#This Row],[id_cliente]],tblClientes[[#All],[id]:[nombre_contacto]],4,0)</f>
        <v>JOSE CORREA RUIZ</v>
      </c>
    </row>
    <row r="1091" spans="1:8" x14ac:dyDescent="0.25">
      <c r="A1091">
        <v>1090</v>
      </c>
      <c r="B1091">
        <v>1090</v>
      </c>
      <c r="C1091" s="15">
        <v>3132878683</v>
      </c>
      <c r="D1091" t="s">
        <v>3794</v>
      </c>
      <c r="F1091" t="s">
        <v>4172</v>
      </c>
      <c r="G1091" t="s">
        <v>3</v>
      </c>
      <c r="H1091" t="str">
        <f>VLOOKUP(tblContactoCliente[[#This Row],[id_cliente]],tblClientes[[#All],[id]:[nombre_contacto]],4,0)</f>
        <v>ALFONSO MAHECHA</v>
      </c>
    </row>
    <row r="1092" spans="1:8" x14ac:dyDescent="0.25">
      <c r="A1092">
        <v>1091</v>
      </c>
      <c r="B1092">
        <v>1091</v>
      </c>
      <c r="C1092" s="15">
        <v>3203446963</v>
      </c>
      <c r="D1092" t="s">
        <v>4172</v>
      </c>
      <c r="F1092" t="s">
        <v>3796</v>
      </c>
      <c r="G1092" t="s">
        <v>3797</v>
      </c>
      <c r="H1092" t="str">
        <f>VLOOKUP(tblContactoCliente[[#This Row],[id_cliente]],tblClientes[[#All],[id]:[nombre_contacto]],4,0)</f>
        <v xml:space="preserve">VICTOR INSUASTI </v>
      </c>
    </row>
    <row r="1093" spans="1:8" x14ac:dyDescent="0.25">
      <c r="A1093">
        <v>1092</v>
      </c>
      <c r="B1093">
        <v>1092</v>
      </c>
      <c r="C1093" s="15">
        <v>3134865127</v>
      </c>
      <c r="D1093" t="s">
        <v>3799</v>
      </c>
      <c r="F1093" t="s">
        <v>4172</v>
      </c>
      <c r="G1093" t="s">
        <v>467</v>
      </c>
      <c r="H1093" t="str">
        <f>VLOOKUP(tblContactoCliente[[#This Row],[id_cliente]],tblClientes[[#All],[id]:[nombre_contacto]],4,0)</f>
        <v xml:space="preserve">DANIEL RICO </v>
      </c>
    </row>
    <row r="1094" spans="1:8" x14ac:dyDescent="0.25">
      <c r="A1094">
        <v>1093</v>
      </c>
      <c r="B1094">
        <v>1093</v>
      </c>
      <c r="C1094" s="15">
        <v>3138098365</v>
      </c>
      <c r="D1094" t="s">
        <v>3801</v>
      </c>
      <c r="F1094" t="s">
        <v>4172</v>
      </c>
      <c r="G1094" t="s">
        <v>3</v>
      </c>
      <c r="H1094" t="str">
        <f>VLOOKUP(tblContactoCliente[[#This Row],[id_cliente]],tblClientes[[#All],[id]:[nombre_contacto]],4,0)</f>
        <v>JHON CRUZ</v>
      </c>
    </row>
    <row r="1095" spans="1:8" x14ac:dyDescent="0.25">
      <c r="A1095">
        <v>1094</v>
      </c>
      <c r="B1095">
        <v>1094</v>
      </c>
      <c r="C1095" s="15">
        <v>3118823400</v>
      </c>
      <c r="D1095" t="s">
        <v>3803</v>
      </c>
      <c r="F1095" t="s">
        <v>4172</v>
      </c>
      <c r="G1095" t="s">
        <v>3</v>
      </c>
      <c r="H1095" t="str">
        <f>VLOOKUP(tblContactoCliente[[#This Row],[id_cliente]],tblClientes[[#All],[id]:[nombre_contacto]],4,0)</f>
        <v>JOHN JAIRO RODRIGUEZ</v>
      </c>
    </row>
    <row r="1096" spans="1:8" x14ac:dyDescent="0.25">
      <c r="A1096">
        <v>1095</v>
      </c>
      <c r="B1096">
        <v>1095</v>
      </c>
      <c r="C1096" s="15">
        <v>3168263073</v>
      </c>
      <c r="D1096" t="s">
        <v>3805</v>
      </c>
      <c r="F1096" t="s">
        <v>3806</v>
      </c>
      <c r="G1096" t="s">
        <v>3807</v>
      </c>
      <c r="H1096" t="str">
        <f>VLOOKUP(tblContactoCliente[[#This Row],[id_cliente]],tblClientes[[#All],[id]:[nombre_contacto]],4,0)</f>
        <v>HECTOR ORTIZ</v>
      </c>
    </row>
    <row r="1097" spans="1:8" x14ac:dyDescent="0.25">
      <c r="A1097">
        <v>1096</v>
      </c>
      <c r="B1097">
        <v>1096</v>
      </c>
      <c r="C1097" s="15">
        <v>3208593892</v>
      </c>
      <c r="D1097" t="s">
        <v>4172</v>
      </c>
      <c r="F1097" t="s">
        <v>4172</v>
      </c>
      <c r="G1097" t="s">
        <v>3</v>
      </c>
      <c r="H1097" t="str">
        <f>VLOOKUP(tblContactoCliente[[#This Row],[id_cliente]],tblClientes[[#All],[id]:[nombre_contacto]],4,0)</f>
        <v>ANDRES MORENO</v>
      </c>
    </row>
    <row r="1098" spans="1:8" x14ac:dyDescent="0.25">
      <c r="A1098">
        <v>1097</v>
      </c>
      <c r="B1098">
        <v>1097</v>
      </c>
      <c r="C1098" s="15">
        <v>3112406850</v>
      </c>
      <c r="D1098" t="s">
        <v>3811</v>
      </c>
      <c r="F1098" t="s">
        <v>3812</v>
      </c>
      <c r="G1098" t="s">
        <v>3</v>
      </c>
      <c r="H1098" t="str">
        <f>VLOOKUP(tblContactoCliente[[#This Row],[id_cliente]],tblClientes[[#All],[id]:[nombre_contacto]],4,0)</f>
        <v>FERNEY PATIÑO</v>
      </c>
    </row>
    <row r="1099" spans="1:8" x14ac:dyDescent="0.25">
      <c r="A1099">
        <v>1098</v>
      </c>
      <c r="B1099">
        <v>1098</v>
      </c>
      <c r="C1099" s="15">
        <v>3016045841</v>
      </c>
      <c r="D1099" t="s">
        <v>4172</v>
      </c>
      <c r="F1099" t="s">
        <v>3814</v>
      </c>
      <c r="G1099" t="s">
        <v>3</v>
      </c>
      <c r="H1099" t="str">
        <f>VLOOKUP(tblContactoCliente[[#This Row],[id_cliente]],tblClientes[[#All],[id]:[nombre_contacto]],4,0)</f>
        <v xml:space="preserve">HERMINDO ALBIS </v>
      </c>
    </row>
    <row r="1100" spans="1:8" x14ac:dyDescent="0.25">
      <c r="A1100">
        <v>1099</v>
      </c>
      <c r="B1100">
        <v>1099</v>
      </c>
      <c r="C1100" s="15">
        <v>3006381146</v>
      </c>
      <c r="D1100" t="s">
        <v>4172</v>
      </c>
      <c r="F1100" t="s">
        <v>4172</v>
      </c>
      <c r="G1100" t="s">
        <v>3</v>
      </c>
      <c r="H1100" t="str">
        <f>VLOOKUP(tblContactoCliente[[#This Row],[id_cliente]],tblClientes[[#All],[id]:[nombre_contacto]],4,0)</f>
        <v>CARLOS AUGUSTO MONTOYA</v>
      </c>
    </row>
    <row r="1101" spans="1:8" x14ac:dyDescent="0.25">
      <c r="A1101">
        <v>1100</v>
      </c>
      <c r="B1101">
        <v>1100</v>
      </c>
      <c r="C1101">
        <v>3107883566</v>
      </c>
      <c r="D1101" t="s">
        <v>3817</v>
      </c>
      <c r="F1101" t="s">
        <v>2497</v>
      </c>
      <c r="G1101" t="s">
        <v>3</v>
      </c>
      <c r="H1101" t="str">
        <f>VLOOKUP(tblContactoCliente[[#This Row],[id_cliente]],tblClientes[[#All],[id]:[nombre_contacto]],4,0)</f>
        <v>ELIAS CAISA</v>
      </c>
    </row>
    <row r="1102" spans="1:8" x14ac:dyDescent="0.25">
      <c r="A1102">
        <v>1101</v>
      </c>
      <c r="B1102">
        <v>1101</v>
      </c>
      <c r="C1102" s="15">
        <v>3156704840</v>
      </c>
      <c r="D1102" t="s">
        <v>3819</v>
      </c>
      <c r="F1102" t="s">
        <v>3820</v>
      </c>
      <c r="G1102" t="s">
        <v>139</v>
      </c>
      <c r="H1102" t="str">
        <f>VLOOKUP(tblContactoCliente[[#This Row],[id_cliente]],tblClientes[[#All],[id]:[nombre_contacto]],4,0)</f>
        <v>EDWARD SANCHEZ</v>
      </c>
    </row>
    <row r="1103" spans="1:8" x14ac:dyDescent="0.25">
      <c r="A1103">
        <v>1102</v>
      </c>
      <c r="B1103">
        <v>1102</v>
      </c>
      <c r="C1103" s="15">
        <v>3108544559</v>
      </c>
      <c r="D1103" t="s">
        <v>3822</v>
      </c>
      <c r="F1103" t="s">
        <v>3823</v>
      </c>
      <c r="G1103" t="s">
        <v>3</v>
      </c>
      <c r="H1103" t="str">
        <f>VLOOKUP(tblContactoCliente[[#This Row],[id_cliente]],tblClientes[[#All],[id]:[nombre_contacto]],4,0)</f>
        <v>ENRIQUE SOLER</v>
      </c>
    </row>
    <row r="1104" spans="1:8" x14ac:dyDescent="0.25">
      <c r="A1104">
        <v>1103</v>
      </c>
      <c r="B1104">
        <v>1103</v>
      </c>
      <c r="C1104">
        <v>3124809428</v>
      </c>
      <c r="D1104" t="s">
        <v>3825</v>
      </c>
      <c r="F1104" t="s">
        <v>3826</v>
      </c>
      <c r="G1104" t="s">
        <v>3</v>
      </c>
      <c r="H1104" t="str">
        <f>VLOOKUP(tblContactoCliente[[#This Row],[id_cliente]],tblClientes[[#All],[id]:[nombre_contacto]],4,0)</f>
        <v>JEINER RODRIGUEZ</v>
      </c>
    </row>
    <row r="1105" spans="1:8" x14ac:dyDescent="0.25">
      <c r="A1105">
        <v>1104</v>
      </c>
      <c r="B1105">
        <v>1104</v>
      </c>
      <c r="C1105" s="15">
        <v>3102464606</v>
      </c>
      <c r="D1105" t="s">
        <v>3828</v>
      </c>
      <c r="F1105" t="s">
        <v>3829</v>
      </c>
      <c r="G1105" t="s">
        <v>467</v>
      </c>
      <c r="H1105" t="str">
        <f>VLOOKUP(tblContactoCliente[[#This Row],[id_cliente]],tblClientes[[#All],[id]:[nombre_contacto]],4,0)</f>
        <v>CARLOS SANCHEZ</v>
      </c>
    </row>
    <row r="1106" spans="1:8" x14ac:dyDescent="0.25">
      <c r="A1106">
        <v>1105</v>
      </c>
      <c r="B1106">
        <v>1105</v>
      </c>
      <c r="C1106" s="15">
        <v>3228383911</v>
      </c>
      <c r="D1106" t="s">
        <v>3831</v>
      </c>
      <c r="F1106" t="s">
        <v>3832</v>
      </c>
      <c r="G1106" t="s">
        <v>3</v>
      </c>
      <c r="H1106" t="str">
        <f>VLOOKUP(tblContactoCliente[[#This Row],[id_cliente]],tblClientes[[#All],[id]:[nombre_contacto]],4,0)</f>
        <v>EDGAR MARINO</v>
      </c>
    </row>
    <row r="1107" spans="1:8" x14ac:dyDescent="0.25">
      <c r="A1107">
        <v>1106</v>
      </c>
      <c r="B1107">
        <v>1106</v>
      </c>
      <c r="C1107" s="15">
        <v>3214886563</v>
      </c>
      <c r="D1107" t="s">
        <v>3834</v>
      </c>
      <c r="F1107" t="s">
        <v>1408</v>
      </c>
      <c r="G1107" t="s">
        <v>3</v>
      </c>
      <c r="H1107" t="str">
        <f>VLOOKUP(tblContactoCliente[[#This Row],[id_cliente]],tblClientes[[#All],[id]:[nombre_contacto]],4,0)</f>
        <v>JULIETH TATIANA PINZON RAMIREZ</v>
      </c>
    </row>
    <row r="1108" spans="1:8" x14ac:dyDescent="0.25">
      <c r="A1108">
        <v>1107</v>
      </c>
      <c r="B1108">
        <v>1107</v>
      </c>
      <c r="C1108" s="15">
        <v>3166108400</v>
      </c>
      <c r="D1108" t="s">
        <v>3836</v>
      </c>
      <c r="F1108" t="s">
        <v>4172</v>
      </c>
      <c r="G1108" t="s">
        <v>1324</v>
      </c>
      <c r="H1108" t="str">
        <f>VLOOKUP(tblContactoCliente[[#This Row],[id_cliente]],tblClientes[[#All],[id]:[nombre_contacto]],4,0)</f>
        <v>JOHN ARIAS ZULUAGA</v>
      </c>
    </row>
  </sheetData>
  <conditionalFormatting sqref="B2:B1108">
    <cfRule type="duplicateValues" dxfId="30" priority="1"/>
    <cfRule type="duplicateValues" dxfId="29" priority="2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59"/>
  <sheetViews>
    <sheetView showGridLines="0" zoomScale="75" zoomScaleNormal="75" workbookViewId="0">
      <pane ySplit="1" topLeftCell="A23" activePane="bottomLeft" state="frozen"/>
      <selection pane="bottomLeft" activeCell="L59" sqref="L59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4173</v>
      </c>
      <c r="B1" t="s">
        <v>4159</v>
      </c>
      <c r="C1" t="s">
        <v>4311</v>
      </c>
      <c r="D1" t="s">
        <v>4174</v>
      </c>
      <c r="E1" t="s">
        <v>4177</v>
      </c>
      <c r="F1" t="s">
        <v>4178</v>
      </c>
      <c r="G1" t="s">
        <v>4182</v>
      </c>
    </row>
    <row r="2" spans="1:7" x14ac:dyDescent="0.25">
      <c r="A2">
        <v>1</v>
      </c>
      <c r="B2" t="s">
        <v>0</v>
      </c>
      <c r="E2" t="s">
        <v>4</v>
      </c>
      <c r="G2" t="s">
        <v>5</v>
      </c>
    </row>
    <row r="3" spans="1:7" x14ac:dyDescent="0.25">
      <c r="A3">
        <v>2</v>
      </c>
      <c r="B3" t="s">
        <v>6</v>
      </c>
      <c r="E3" t="s">
        <v>8</v>
      </c>
      <c r="F3" t="s">
        <v>4238</v>
      </c>
      <c r="G3" t="s">
        <v>5</v>
      </c>
    </row>
    <row r="4" spans="1:7" x14ac:dyDescent="0.25">
      <c r="A4">
        <v>3</v>
      </c>
      <c r="B4" t="s">
        <v>3177</v>
      </c>
      <c r="G4" t="s">
        <v>82</v>
      </c>
    </row>
    <row r="5" spans="1:7" x14ac:dyDescent="0.25">
      <c r="A5">
        <v>4</v>
      </c>
      <c r="B5" t="s">
        <v>9</v>
      </c>
      <c r="E5" t="s">
        <v>10</v>
      </c>
      <c r="F5" t="s">
        <v>11</v>
      </c>
      <c r="G5" t="s">
        <v>5</v>
      </c>
    </row>
    <row r="6" spans="1:7" x14ac:dyDescent="0.25">
      <c r="A6">
        <v>5</v>
      </c>
      <c r="B6" t="s">
        <v>12</v>
      </c>
      <c r="E6" t="s">
        <v>13</v>
      </c>
      <c r="F6" t="s">
        <v>14</v>
      </c>
      <c r="G6" t="s">
        <v>5</v>
      </c>
    </row>
    <row r="7" spans="1:7" x14ac:dyDescent="0.25">
      <c r="A7">
        <v>6</v>
      </c>
      <c r="B7" t="s">
        <v>15</v>
      </c>
      <c r="E7" t="s">
        <v>17</v>
      </c>
      <c r="F7" t="s">
        <v>18</v>
      </c>
      <c r="G7" t="s">
        <v>5</v>
      </c>
    </row>
    <row r="8" spans="1:7" x14ac:dyDescent="0.25">
      <c r="A8">
        <v>7</v>
      </c>
      <c r="B8" t="s">
        <v>2087</v>
      </c>
      <c r="G8" t="s">
        <v>5</v>
      </c>
    </row>
    <row r="9" spans="1:7" x14ac:dyDescent="0.25">
      <c r="A9">
        <v>8</v>
      </c>
      <c r="B9" t="s">
        <v>19</v>
      </c>
      <c r="G9" t="s">
        <v>5</v>
      </c>
    </row>
    <row r="10" spans="1:7" x14ac:dyDescent="0.25">
      <c r="A10">
        <v>13</v>
      </c>
      <c r="B10" t="s">
        <v>37</v>
      </c>
      <c r="E10" t="s">
        <v>4239</v>
      </c>
      <c r="F10" t="s">
        <v>38</v>
      </c>
      <c r="G10" t="s">
        <v>5</v>
      </c>
    </row>
    <row r="11" spans="1:7" x14ac:dyDescent="0.25">
      <c r="A11">
        <v>9</v>
      </c>
      <c r="B11" t="s">
        <v>20</v>
      </c>
      <c r="E11" t="s">
        <v>21</v>
      </c>
      <c r="F11" t="s">
        <v>22</v>
      </c>
      <c r="G11" t="s">
        <v>5</v>
      </c>
    </row>
    <row r="12" spans="1:7" x14ac:dyDescent="0.25">
      <c r="A12">
        <v>10</v>
      </c>
      <c r="B12" t="s">
        <v>23</v>
      </c>
      <c r="E12" t="s">
        <v>24</v>
      </c>
      <c r="F12" t="s">
        <v>25</v>
      </c>
      <c r="G12" t="s">
        <v>5</v>
      </c>
    </row>
    <row r="13" spans="1:7" x14ac:dyDescent="0.25">
      <c r="A13">
        <v>11</v>
      </c>
      <c r="B13" t="s">
        <v>26</v>
      </c>
      <c r="E13" t="s">
        <v>4240</v>
      </c>
      <c r="F13" t="s">
        <v>27</v>
      </c>
      <c r="G13" t="s">
        <v>5</v>
      </c>
    </row>
    <row r="14" spans="1:7" x14ac:dyDescent="0.25">
      <c r="A14">
        <v>12</v>
      </c>
      <c r="B14" t="s">
        <v>28</v>
      </c>
      <c r="E14" t="s">
        <v>29</v>
      </c>
      <c r="F14" t="s">
        <v>30</v>
      </c>
      <c r="G14" t="s">
        <v>5</v>
      </c>
    </row>
    <row r="15" spans="1:7" x14ac:dyDescent="0.25">
      <c r="A15">
        <v>14</v>
      </c>
      <c r="B15" t="s">
        <v>31</v>
      </c>
      <c r="F15">
        <v>5174317</v>
      </c>
      <c r="G15" t="s">
        <v>5</v>
      </c>
    </row>
    <row r="16" spans="1:7" x14ac:dyDescent="0.25">
      <c r="A16">
        <v>15</v>
      </c>
      <c r="B16" t="s">
        <v>2035</v>
      </c>
      <c r="E16" t="s">
        <v>2035</v>
      </c>
      <c r="G16" t="s">
        <v>5</v>
      </c>
    </row>
    <row r="17" spans="1:7" x14ac:dyDescent="0.25">
      <c r="A17">
        <v>16</v>
      </c>
      <c r="B17" t="s">
        <v>34</v>
      </c>
      <c r="E17" t="s">
        <v>35</v>
      </c>
      <c r="F17" t="s">
        <v>36</v>
      </c>
      <c r="G17" t="s">
        <v>5</v>
      </c>
    </row>
    <row r="18" spans="1:7" x14ac:dyDescent="0.25">
      <c r="A18">
        <v>17</v>
      </c>
      <c r="B18" t="s">
        <v>39</v>
      </c>
      <c r="E18" t="s">
        <v>40</v>
      </c>
      <c r="F18" t="s">
        <v>41</v>
      </c>
      <c r="G18" t="s">
        <v>5</v>
      </c>
    </row>
    <row r="19" spans="1:7" x14ac:dyDescent="0.25">
      <c r="A19">
        <v>18</v>
      </c>
      <c r="B19" t="s">
        <v>42</v>
      </c>
      <c r="E19" t="s">
        <v>43</v>
      </c>
      <c r="F19" t="s">
        <v>44</v>
      </c>
      <c r="G19" t="s">
        <v>5</v>
      </c>
    </row>
    <row r="20" spans="1:7" x14ac:dyDescent="0.25">
      <c r="A20">
        <v>19</v>
      </c>
      <c r="B20" t="s">
        <v>45</v>
      </c>
      <c r="E20" t="s">
        <v>47</v>
      </c>
      <c r="F20" t="s">
        <v>48</v>
      </c>
      <c r="G20" t="s">
        <v>5</v>
      </c>
    </row>
    <row r="21" spans="1:7" x14ac:dyDescent="0.25">
      <c r="A21">
        <v>20</v>
      </c>
      <c r="B21" t="s">
        <v>71</v>
      </c>
      <c r="E21" t="s">
        <v>72</v>
      </c>
      <c r="F21" t="s">
        <v>73</v>
      </c>
      <c r="G21" t="s">
        <v>5</v>
      </c>
    </row>
    <row r="22" spans="1:7" x14ac:dyDescent="0.25">
      <c r="A22">
        <v>21</v>
      </c>
      <c r="B22" t="s">
        <v>51</v>
      </c>
      <c r="E22" t="s">
        <v>52</v>
      </c>
      <c r="F22" t="s">
        <v>53</v>
      </c>
      <c r="G22" t="s">
        <v>5</v>
      </c>
    </row>
    <row r="23" spans="1:7" x14ac:dyDescent="0.25">
      <c r="A23">
        <v>22</v>
      </c>
      <c r="B23" t="s">
        <v>54</v>
      </c>
      <c r="E23" t="s">
        <v>55</v>
      </c>
      <c r="F23" t="s">
        <v>56</v>
      </c>
      <c r="G23" t="s">
        <v>5</v>
      </c>
    </row>
    <row r="24" spans="1:7" x14ac:dyDescent="0.25">
      <c r="A24">
        <v>24</v>
      </c>
      <c r="B24" t="s">
        <v>57</v>
      </c>
      <c r="E24" t="s">
        <v>58</v>
      </c>
      <c r="F24" t="s">
        <v>59</v>
      </c>
      <c r="G24" t="s">
        <v>5</v>
      </c>
    </row>
    <row r="25" spans="1:7" x14ac:dyDescent="0.25">
      <c r="A25">
        <v>25</v>
      </c>
      <c r="B25" t="s">
        <v>60</v>
      </c>
      <c r="E25" t="s">
        <v>61</v>
      </c>
      <c r="F25" t="s">
        <v>62</v>
      </c>
      <c r="G25" t="s">
        <v>5</v>
      </c>
    </row>
    <row r="26" spans="1:7" x14ac:dyDescent="0.25">
      <c r="A26">
        <v>26</v>
      </c>
      <c r="B26" t="s">
        <v>63</v>
      </c>
      <c r="E26" t="s">
        <v>64</v>
      </c>
      <c r="F26" t="s">
        <v>65</v>
      </c>
      <c r="G26" t="s">
        <v>5</v>
      </c>
    </row>
    <row r="27" spans="1:7" x14ac:dyDescent="0.25">
      <c r="A27">
        <v>27</v>
      </c>
      <c r="B27" t="s">
        <v>66</v>
      </c>
      <c r="E27" t="s">
        <v>67</v>
      </c>
      <c r="F27" t="s">
        <v>68</v>
      </c>
      <c r="G27" t="s">
        <v>5</v>
      </c>
    </row>
    <row r="28" spans="1:7" x14ac:dyDescent="0.25">
      <c r="A28">
        <v>28</v>
      </c>
      <c r="B28" t="s">
        <v>2827</v>
      </c>
      <c r="F28" t="s">
        <v>4241</v>
      </c>
      <c r="G28" t="s">
        <v>5</v>
      </c>
    </row>
    <row r="29" spans="1:7" x14ac:dyDescent="0.25">
      <c r="A29">
        <v>29</v>
      </c>
      <c r="B29" t="s">
        <v>69</v>
      </c>
      <c r="E29" t="s">
        <v>70</v>
      </c>
      <c r="F29" t="s">
        <v>4242</v>
      </c>
      <c r="G29" t="s">
        <v>5</v>
      </c>
    </row>
    <row r="30" spans="1:7" x14ac:dyDescent="0.25">
      <c r="A30">
        <v>30</v>
      </c>
      <c r="B30" t="s">
        <v>49</v>
      </c>
      <c r="E30" t="s">
        <v>4243</v>
      </c>
      <c r="F30" t="s">
        <v>50</v>
      </c>
      <c r="G30" t="s">
        <v>5</v>
      </c>
    </row>
    <row r="31" spans="1:7" x14ac:dyDescent="0.25">
      <c r="A31">
        <v>31</v>
      </c>
      <c r="B31" t="s">
        <v>74</v>
      </c>
      <c r="E31" t="s">
        <v>75</v>
      </c>
      <c r="F31" t="s">
        <v>76</v>
      </c>
      <c r="G31" t="s">
        <v>5</v>
      </c>
    </row>
    <row r="32" spans="1:7" x14ac:dyDescent="0.25">
      <c r="A32">
        <v>32</v>
      </c>
      <c r="B32" t="s">
        <v>77</v>
      </c>
      <c r="E32" t="s">
        <v>78</v>
      </c>
      <c r="G32" t="s">
        <v>5</v>
      </c>
    </row>
    <row r="33" spans="1:7" x14ac:dyDescent="0.25">
      <c r="A33">
        <v>33</v>
      </c>
      <c r="B33" t="s">
        <v>79</v>
      </c>
      <c r="E33" t="s">
        <v>80</v>
      </c>
      <c r="F33" t="s">
        <v>81</v>
      </c>
      <c r="G33" t="s">
        <v>82</v>
      </c>
    </row>
    <row r="34" spans="1:7" x14ac:dyDescent="0.25">
      <c r="A34">
        <v>34</v>
      </c>
      <c r="B34" t="s">
        <v>83</v>
      </c>
      <c r="E34" t="s">
        <v>84</v>
      </c>
      <c r="F34" t="s">
        <v>85</v>
      </c>
      <c r="G34" t="s">
        <v>5</v>
      </c>
    </row>
    <row r="35" spans="1:7" x14ac:dyDescent="0.25">
      <c r="A35">
        <v>35</v>
      </c>
      <c r="B35" t="s">
        <v>86</v>
      </c>
      <c r="E35" t="s">
        <v>87</v>
      </c>
      <c r="F35" t="s">
        <v>88</v>
      </c>
      <c r="G35" t="s">
        <v>5</v>
      </c>
    </row>
    <row r="36" spans="1:7" x14ac:dyDescent="0.25">
      <c r="A36">
        <v>36</v>
      </c>
      <c r="B36" t="s">
        <v>90</v>
      </c>
      <c r="E36" t="s">
        <v>91</v>
      </c>
      <c r="F36" t="s">
        <v>4244</v>
      </c>
      <c r="G36" t="s">
        <v>5</v>
      </c>
    </row>
    <row r="37" spans="1:7" x14ac:dyDescent="0.25">
      <c r="A37">
        <v>37</v>
      </c>
      <c r="B37" t="s">
        <v>92</v>
      </c>
      <c r="E37" t="s">
        <v>93</v>
      </c>
      <c r="F37" t="s">
        <v>94</v>
      </c>
      <c r="G37" t="s">
        <v>5</v>
      </c>
    </row>
    <row r="38" spans="1:7" x14ac:dyDescent="0.25">
      <c r="A38">
        <v>38</v>
      </c>
      <c r="B38" t="s">
        <v>95</v>
      </c>
      <c r="E38" t="s">
        <v>4245</v>
      </c>
      <c r="F38" t="s">
        <v>96</v>
      </c>
      <c r="G38" t="s">
        <v>5</v>
      </c>
    </row>
    <row r="39" spans="1:7" x14ac:dyDescent="0.25">
      <c r="A39">
        <v>39</v>
      </c>
      <c r="B39" t="s">
        <v>97</v>
      </c>
      <c r="E39" t="s">
        <v>98</v>
      </c>
      <c r="G39" t="s">
        <v>5</v>
      </c>
    </row>
    <row r="40" spans="1:7" x14ac:dyDescent="0.25">
      <c r="A40">
        <v>40</v>
      </c>
      <c r="B40" t="s">
        <v>99</v>
      </c>
      <c r="E40" t="s">
        <v>100</v>
      </c>
      <c r="F40" t="s">
        <v>101</v>
      </c>
      <c r="G40" t="s">
        <v>5</v>
      </c>
    </row>
    <row r="41" spans="1:7" x14ac:dyDescent="0.25">
      <c r="A41">
        <v>41</v>
      </c>
      <c r="B41" t="s">
        <v>2388</v>
      </c>
      <c r="F41" t="s">
        <v>2389</v>
      </c>
      <c r="G41" t="s">
        <v>5</v>
      </c>
    </row>
    <row r="42" spans="1:7" x14ac:dyDescent="0.25">
      <c r="A42">
        <v>43</v>
      </c>
      <c r="B42" t="s">
        <v>102</v>
      </c>
      <c r="E42" t="s">
        <v>103</v>
      </c>
      <c r="F42" t="s">
        <v>104</v>
      </c>
      <c r="G42" t="s">
        <v>5</v>
      </c>
    </row>
    <row r="43" spans="1:7" x14ac:dyDescent="0.25">
      <c r="A43">
        <v>42</v>
      </c>
      <c r="B43" t="s">
        <v>2433</v>
      </c>
      <c r="G43" t="s">
        <v>5</v>
      </c>
    </row>
    <row r="44" spans="1:7" x14ac:dyDescent="0.25">
      <c r="A44">
        <v>44</v>
      </c>
      <c r="B44" t="s">
        <v>105</v>
      </c>
      <c r="E44" t="s">
        <v>106</v>
      </c>
      <c r="F44" t="s">
        <v>107</v>
      </c>
      <c r="G44" t="s">
        <v>5</v>
      </c>
    </row>
    <row r="45" spans="1:7" x14ac:dyDescent="0.25">
      <c r="A45">
        <v>45</v>
      </c>
      <c r="B45" t="s">
        <v>108</v>
      </c>
      <c r="E45" t="s">
        <v>109</v>
      </c>
      <c r="F45" t="s">
        <v>110</v>
      </c>
      <c r="G45" t="s">
        <v>5</v>
      </c>
    </row>
    <row r="46" spans="1:7" x14ac:dyDescent="0.25">
      <c r="A46">
        <v>46</v>
      </c>
      <c r="B46" t="s">
        <v>111</v>
      </c>
      <c r="E46" t="s">
        <v>112</v>
      </c>
      <c r="F46" t="s">
        <v>113</v>
      </c>
      <c r="G46" t="s">
        <v>5</v>
      </c>
    </row>
    <row r="47" spans="1:7" x14ac:dyDescent="0.25">
      <c r="A47">
        <v>47</v>
      </c>
      <c r="B47" t="s">
        <v>114</v>
      </c>
      <c r="E47" t="s">
        <v>115</v>
      </c>
      <c r="F47" t="s">
        <v>116</v>
      </c>
      <c r="G47" t="s">
        <v>5</v>
      </c>
    </row>
    <row r="48" spans="1:7" x14ac:dyDescent="0.25">
      <c r="A48">
        <v>48</v>
      </c>
      <c r="B48" t="s">
        <v>117</v>
      </c>
      <c r="E48" t="s">
        <v>118</v>
      </c>
      <c r="F48" t="s">
        <v>119</v>
      </c>
      <c r="G48" t="s">
        <v>5</v>
      </c>
    </row>
    <row r="49" spans="1:7" x14ac:dyDescent="0.25">
      <c r="A49">
        <v>49</v>
      </c>
      <c r="B49" t="s">
        <v>120</v>
      </c>
      <c r="E49" t="s">
        <v>121</v>
      </c>
      <c r="F49" t="s">
        <v>122</v>
      </c>
      <c r="G49" t="s">
        <v>5</v>
      </c>
    </row>
    <row r="50" spans="1:7" x14ac:dyDescent="0.25">
      <c r="A50">
        <v>50</v>
      </c>
      <c r="B50" t="s">
        <v>123</v>
      </c>
      <c r="E50" t="s">
        <v>124</v>
      </c>
      <c r="F50" t="s">
        <v>125</v>
      </c>
      <c r="G50" t="s">
        <v>5</v>
      </c>
    </row>
    <row r="51" spans="1:7" x14ac:dyDescent="0.25">
      <c r="A51">
        <v>51</v>
      </c>
      <c r="B51" t="s">
        <v>1699</v>
      </c>
      <c r="G51" t="s">
        <v>5</v>
      </c>
    </row>
    <row r="52" spans="1:7" x14ac:dyDescent="0.25">
      <c r="A52">
        <v>52</v>
      </c>
      <c r="B52" t="s">
        <v>126</v>
      </c>
      <c r="E52" t="s">
        <v>127</v>
      </c>
      <c r="F52" t="s">
        <v>128</v>
      </c>
      <c r="G52" t="s">
        <v>5</v>
      </c>
    </row>
    <row r="53" spans="1:7" x14ac:dyDescent="0.25">
      <c r="A53">
        <v>53</v>
      </c>
      <c r="B53" t="s">
        <v>129</v>
      </c>
      <c r="E53" t="s">
        <v>130</v>
      </c>
      <c r="F53" t="s">
        <v>131</v>
      </c>
      <c r="G53" t="s">
        <v>5</v>
      </c>
    </row>
    <row r="54" spans="1:7" x14ac:dyDescent="0.25">
      <c r="A54">
        <v>23</v>
      </c>
      <c r="B54" t="s">
        <v>132</v>
      </c>
      <c r="E54" t="s">
        <v>132</v>
      </c>
      <c r="F54" t="s">
        <v>4246</v>
      </c>
      <c r="G54" t="s">
        <v>5</v>
      </c>
    </row>
    <row r="55" spans="1:7" x14ac:dyDescent="0.25">
      <c r="A55">
        <v>54</v>
      </c>
      <c r="B55" t="s">
        <v>133</v>
      </c>
      <c r="E55" t="s">
        <v>134</v>
      </c>
      <c r="F55" t="s">
        <v>135</v>
      </c>
      <c r="G55" t="s">
        <v>5</v>
      </c>
    </row>
    <row r="56" spans="1:7" x14ac:dyDescent="0.25">
      <c r="A56">
        <v>55</v>
      </c>
      <c r="B56" t="s">
        <v>2641</v>
      </c>
      <c r="G56" t="s">
        <v>5</v>
      </c>
    </row>
    <row r="57" spans="1:7" x14ac:dyDescent="0.25">
      <c r="A57">
        <v>56</v>
      </c>
      <c r="B57" t="s">
        <v>136</v>
      </c>
      <c r="E57" t="s">
        <v>137</v>
      </c>
      <c r="G57" t="s">
        <v>5</v>
      </c>
    </row>
    <row r="58" spans="1:7" x14ac:dyDescent="0.25">
      <c r="A58">
        <v>58</v>
      </c>
      <c r="B58" t="s">
        <v>138</v>
      </c>
      <c r="E58" t="s">
        <v>140</v>
      </c>
      <c r="F58" t="s">
        <v>141</v>
      </c>
      <c r="G58" t="s">
        <v>5</v>
      </c>
    </row>
    <row r="59" spans="1:7" x14ac:dyDescent="0.25">
      <c r="A59">
        <v>59</v>
      </c>
      <c r="B59" t="s">
        <v>3726</v>
      </c>
      <c r="G59" t="s">
        <v>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59"/>
  <sheetViews>
    <sheetView showGridLines="0" zoomScale="75" zoomScaleNormal="75" workbookViewId="0">
      <pane ySplit="1" topLeftCell="A2" activePane="bottomLeft" state="frozen"/>
      <selection pane="bottomLeft" activeCell="E24" sqref="E24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4173</v>
      </c>
      <c r="B1" t="s">
        <v>4183</v>
      </c>
      <c r="C1" t="s">
        <v>4175</v>
      </c>
      <c r="D1" t="s">
        <v>4176</v>
      </c>
      <c r="E1" t="s">
        <v>4297</v>
      </c>
      <c r="F1" t="s">
        <v>4161</v>
      </c>
      <c r="G1" t="s">
        <v>4160</v>
      </c>
    </row>
    <row r="2" spans="1:7" x14ac:dyDescent="0.25">
      <c r="A2" s="12">
        <v>1</v>
      </c>
      <c r="B2" s="12">
        <v>1</v>
      </c>
      <c r="C2" s="12">
        <v>3103247673</v>
      </c>
      <c r="D2" s="12"/>
      <c r="E2" s="12"/>
      <c r="F2" s="12"/>
      <c r="G2" s="12" t="s">
        <v>3</v>
      </c>
    </row>
    <row r="3" spans="1:7" x14ac:dyDescent="0.25">
      <c r="A3" s="12">
        <v>2</v>
      </c>
      <c r="B3" s="12">
        <v>2</v>
      </c>
      <c r="C3" s="12">
        <v>3174027735</v>
      </c>
      <c r="D3" s="12" t="s">
        <v>4189</v>
      </c>
      <c r="E3" s="12"/>
      <c r="F3" s="12"/>
      <c r="G3" s="12" t="s">
        <v>7</v>
      </c>
    </row>
    <row r="4" spans="1:7" x14ac:dyDescent="0.25">
      <c r="A4" s="12">
        <v>3</v>
      </c>
      <c r="B4" s="13">
        <v>3</v>
      </c>
      <c r="C4" s="13">
        <v>3164951746</v>
      </c>
      <c r="D4" s="13"/>
      <c r="E4" s="13"/>
      <c r="F4" s="13"/>
      <c r="G4" s="13" t="s">
        <v>3</v>
      </c>
    </row>
    <row r="5" spans="1:7" x14ac:dyDescent="0.25">
      <c r="A5" s="12">
        <v>4</v>
      </c>
      <c r="B5" s="13">
        <v>4</v>
      </c>
      <c r="C5" s="13">
        <v>3106950522</v>
      </c>
      <c r="D5" s="13" t="s">
        <v>4190</v>
      </c>
      <c r="E5" s="13"/>
      <c r="F5" s="13"/>
      <c r="G5" s="13" t="s">
        <v>3</v>
      </c>
    </row>
    <row r="6" spans="1:7" x14ac:dyDescent="0.25">
      <c r="A6" s="12">
        <v>5</v>
      </c>
      <c r="B6" s="13">
        <v>5</v>
      </c>
      <c r="C6" s="13">
        <v>3117273405</v>
      </c>
      <c r="D6" s="13" t="s">
        <v>4191</v>
      </c>
      <c r="E6" s="13"/>
      <c r="F6" s="13"/>
      <c r="G6" s="13" t="s">
        <v>3</v>
      </c>
    </row>
    <row r="7" spans="1:7" x14ac:dyDescent="0.25">
      <c r="A7" s="12">
        <v>6</v>
      </c>
      <c r="B7" s="13">
        <v>6</v>
      </c>
      <c r="C7" s="13">
        <v>3116936286</v>
      </c>
      <c r="D7" s="13" t="s">
        <v>4192</v>
      </c>
      <c r="E7" s="13"/>
      <c r="F7" s="13"/>
      <c r="G7" s="13" t="s">
        <v>16</v>
      </c>
    </row>
    <row r="8" spans="1:7" x14ac:dyDescent="0.25">
      <c r="A8" s="12">
        <v>7</v>
      </c>
      <c r="B8" s="13">
        <v>7</v>
      </c>
      <c r="C8" s="13">
        <v>3155434849</v>
      </c>
      <c r="D8" s="13" t="s">
        <v>2088</v>
      </c>
      <c r="E8" s="13"/>
      <c r="F8" s="13"/>
      <c r="G8" s="13" t="s">
        <v>2089</v>
      </c>
    </row>
    <row r="9" spans="1:7" x14ac:dyDescent="0.25">
      <c r="A9" s="12">
        <v>8</v>
      </c>
      <c r="B9" s="13">
        <v>8</v>
      </c>
      <c r="C9" s="13"/>
      <c r="D9" s="13"/>
      <c r="E9" s="13"/>
      <c r="F9" s="13"/>
      <c r="G9" s="13"/>
    </row>
    <row r="10" spans="1:7" x14ac:dyDescent="0.25">
      <c r="A10" s="12">
        <v>9</v>
      </c>
      <c r="B10" s="13">
        <v>13</v>
      </c>
      <c r="C10" s="13">
        <v>3024622909</v>
      </c>
      <c r="D10" s="13" t="s">
        <v>4193</v>
      </c>
      <c r="E10" s="13"/>
      <c r="F10" s="13"/>
      <c r="G10" s="13" t="s">
        <v>3</v>
      </c>
    </row>
    <row r="11" spans="1:7" x14ac:dyDescent="0.25">
      <c r="A11" s="12">
        <v>10</v>
      </c>
      <c r="B11" s="13">
        <v>9</v>
      </c>
      <c r="C11" s="13">
        <v>3124511374</v>
      </c>
      <c r="D11" s="13" t="s">
        <v>4194</v>
      </c>
      <c r="E11" s="13"/>
      <c r="F11" s="13"/>
      <c r="G11" s="13" t="s">
        <v>3</v>
      </c>
    </row>
    <row r="12" spans="1:7" x14ac:dyDescent="0.25">
      <c r="A12" s="12">
        <v>11</v>
      </c>
      <c r="B12" s="13">
        <v>10</v>
      </c>
      <c r="C12" s="13">
        <v>3157937223</v>
      </c>
      <c r="D12" s="13" t="s">
        <v>4195</v>
      </c>
      <c r="E12" s="13"/>
      <c r="F12" s="13"/>
      <c r="G12" s="13" t="s">
        <v>3</v>
      </c>
    </row>
    <row r="13" spans="1:7" x14ac:dyDescent="0.25">
      <c r="A13" s="12">
        <v>12</v>
      </c>
      <c r="B13" s="13">
        <v>11</v>
      </c>
      <c r="C13" s="13">
        <v>3214743346</v>
      </c>
      <c r="D13" s="13" t="s">
        <v>4196</v>
      </c>
      <c r="E13" s="13"/>
      <c r="F13" s="13"/>
      <c r="G13" s="13" t="s">
        <v>3</v>
      </c>
    </row>
    <row r="14" spans="1:7" x14ac:dyDescent="0.25">
      <c r="A14" s="12">
        <v>13</v>
      </c>
      <c r="B14" s="13">
        <v>12</v>
      </c>
      <c r="C14" s="13">
        <v>3114773442</v>
      </c>
      <c r="D14" s="13" t="s">
        <v>4197</v>
      </c>
      <c r="E14" s="13"/>
      <c r="F14" s="13"/>
      <c r="G14" s="13" t="s">
        <v>3</v>
      </c>
    </row>
    <row r="15" spans="1:7" x14ac:dyDescent="0.25">
      <c r="A15" s="12">
        <v>14</v>
      </c>
      <c r="B15" s="13">
        <v>14</v>
      </c>
      <c r="C15" s="13">
        <v>3108460997</v>
      </c>
      <c r="D15" s="13"/>
      <c r="E15" s="13"/>
      <c r="F15" s="13" t="s">
        <v>32</v>
      </c>
      <c r="G15" s="13" t="s">
        <v>33</v>
      </c>
    </row>
    <row r="16" spans="1:7" x14ac:dyDescent="0.25">
      <c r="A16" s="12">
        <v>15</v>
      </c>
      <c r="B16" s="13">
        <v>15</v>
      </c>
      <c r="C16" s="13">
        <v>3124235091</v>
      </c>
      <c r="D16" s="13" t="s">
        <v>4198</v>
      </c>
      <c r="E16" s="13"/>
      <c r="F16" s="13"/>
      <c r="G16" s="13" t="s">
        <v>3</v>
      </c>
    </row>
    <row r="17" spans="1:7" x14ac:dyDescent="0.25">
      <c r="A17" s="12">
        <v>16</v>
      </c>
      <c r="B17" s="13">
        <v>16</v>
      </c>
      <c r="C17" s="13">
        <v>3157059692</v>
      </c>
      <c r="D17" s="13" t="s">
        <v>4199</v>
      </c>
      <c r="E17" s="13"/>
      <c r="F17" s="13"/>
      <c r="G17" s="13" t="s">
        <v>3</v>
      </c>
    </row>
    <row r="18" spans="1:7" x14ac:dyDescent="0.25">
      <c r="A18" s="12">
        <v>17</v>
      </c>
      <c r="B18" s="13">
        <v>17</v>
      </c>
      <c r="C18" s="13">
        <v>3177009693</v>
      </c>
      <c r="D18" s="13" t="s">
        <v>4200</v>
      </c>
      <c r="E18" s="13"/>
      <c r="F18" s="13"/>
      <c r="G18" s="13" t="s">
        <v>3</v>
      </c>
    </row>
    <row r="19" spans="1:7" x14ac:dyDescent="0.25">
      <c r="A19" s="12">
        <v>18</v>
      </c>
      <c r="B19" s="13">
        <v>18</v>
      </c>
      <c r="C19" s="13">
        <v>3206967081</v>
      </c>
      <c r="D19" s="13" t="s">
        <v>4201</v>
      </c>
      <c r="E19" s="13"/>
      <c r="F19" s="13" t="s">
        <v>1024</v>
      </c>
      <c r="G19" s="13" t="s">
        <v>16</v>
      </c>
    </row>
    <row r="20" spans="1:7" x14ac:dyDescent="0.25">
      <c r="A20" s="12">
        <v>19</v>
      </c>
      <c r="B20" s="13">
        <v>19</v>
      </c>
      <c r="C20" s="13">
        <v>3144705392</v>
      </c>
      <c r="D20" s="13" t="s">
        <v>46</v>
      </c>
      <c r="E20" s="13"/>
      <c r="F20" s="13"/>
      <c r="G20" s="13" t="s">
        <v>3</v>
      </c>
    </row>
    <row r="21" spans="1:7" x14ac:dyDescent="0.25">
      <c r="A21" s="12">
        <v>20</v>
      </c>
      <c r="B21" s="13">
        <v>20</v>
      </c>
      <c r="C21" s="13">
        <v>3152736839</v>
      </c>
      <c r="D21" s="13" t="s">
        <v>4202</v>
      </c>
      <c r="E21" s="13"/>
      <c r="F21" s="13"/>
      <c r="G21" s="13" t="s">
        <v>3</v>
      </c>
    </row>
    <row r="22" spans="1:7" x14ac:dyDescent="0.25">
      <c r="A22" s="12">
        <v>21</v>
      </c>
      <c r="B22" s="13">
        <v>21</v>
      </c>
      <c r="C22" s="13">
        <v>3114436994</v>
      </c>
      <c r="D22" s="13" t="s">
        <v>4203</v>
      </c>
      <c r="E22" s="13"/>
      <c r="F22" s="13"/>
      <c r="G22" s="13" t="s">
        <v>3</v>
      </c>
    </row>
    <row r="23" spans="1:7" x14ac:dyDescent="0.25">
      <c r="A23" s="12">
        <v>22</v>
      </c>
      <c r="B23" s="13">
        <v>22</v>
      </c>
      <c r="C23" s="13">
        <v>3166908651</v>
      </c>
      <c r="D23" s="13" t="s">
        <v>4204</v>
      </c>
      <c r="E23" s="13"/>
      <c r="F23" s="13"/>
      <c r="G23" s="13" t="s">
        <v>3</v>
      </c>
    </row>
    <row r="24" spans="1:7" x14ac:dyDescent="0.25">
      <c r="A24" s="12">
        <v>23</v>
      </c>
      <c r="B24" s="13">
        <v>24</v>
      </c>
      <c r="C24" s="13">
        <v>3158832399</v>
      </c>
      <c r="D24" s="13" t="s">
        <v>4205</v>
      </c>
      <c r="E24" s="13"/>
      <c r="F24" s="13"/>
      <c r="G24" s="13" t="s">
        <v>3</v>
      </c>
    </row>
    <row r="25" spans="1:7" x14ac:dyDescent="0.25">
      <c r="A25" s="12">
        <v>24</v>
      </c>
      <c r="B25" s="13">
        <v>25</v>
      </c>
      <c r="C25" s="13">
        <v>3103193116</v>
      </c>
      <c r="D25" s="13" t="s">
        <v>4206</v>
      </c>
      <c r="E25" s="13"/>
      <c r="F25" s="13"/>
      <c r="G25" s="13" t="s">
        <v>3</v>
      </c>
    </row>
    <row r="26" spans="1:7" x14ac:dyDescent="0.25">
      <c r="A26" s="12">
        <v>25</v>
      </c>
      <c r="B26" s="13">
        <v>26</v>
      </c>
      <c r="C26" s="13">
        <v>3124315733</v>
      </c>
      <c r="D26" s="13" t="s">
        <v>4207</v>
      </c>
      <c r="E26" s="13"/>
      <c r="F26" s="13"/>
      <c r="G26" s="13" t="s">
        <v>3</v>
      </c>
    </row>
    <row r="27" spans="1:7" x14ac:dyDescent="0.25">
      <c r="A27" s="12">
        <v>26</v>
      </c>
      <c r="B27" s="13">
        <v>27</v>
      </c>
      <c r="C27" s="13">
        <v>3176810606</v>
      </c>
      <c r="D27" s="13" t="s">
        <v>4208</v>
      </c>
      <c r="E27" s="13"/>
      <c r="F27" s="13"/>
      <c r="G27" s="13" t="s">
        <v>3</v>
      </c>
    </row>
    <row r="28" spans="1:7" x14ac:dyDescent="0.25">
      <c r="A28" s="12">
        <v>27</v>
      </c>
      <c r="B28" s="13">
        <v>28</v>
      </c>
      <c r="C28" s="13">
        <v>3138302697</v>
      </c>
      <c r="D28" s="13" t="s">
        <v>4209</v>
      </c>
      <c r="E28" s="13"/>
      <c r="F28" s="13" t="s">
        <v>187</v>
      </c>
      <c r="G28" s="13" t="s">
        <v>3</v>
      </c>
    </row>
    <row r="29" spans="1:7" x14ac:dyDescent="0.25">
      <c r="A29" s="12">
        <v>28</v>
      </c>
      <c r="B29" s="13">
        <v>29</v>
      </c>
      <c r="C29" s="13">
        <v>3134513380</v>
      </c>
      <c r="D29" s="13" t="s">
        <v>4210</v>
      </c>
      <c r="E29" s="13"/>
      <c r="F29" s="13"/>
      <c r="G29" s="13" t="s">
        <v>3</v>
      </c>
    </row>
    <row r="30" spans="1:7" x14ac:dyDescent="0.25">
      <c r="A30" s="12">
        <v>29</v>
      </c>
      <c r="B30" s="13">
        <v>30</v>
      </c>
      <c r="C30" s="13">
        <v>3187344844</v>
      </c>
      <c r="D30" s="13" t="s">
        <v>4211</v>
      </c>
      <c r="E30" s="13"/>
      <c r="F30" s="13"/>
      <c r="G30" s="13" t="s">
        <v>3</v>
      </c>
    </row>
    <row r="31" spans="1:7" x14ac:dyDescent="0.25">
      <c r="A31" s="12">
        <v>30</v>
      </c>
      <c r="B31" s="13">
        <v>31</v>
      </c>
      <c r="C31" s="13">
        <v>3164450577</v>
      </c>
      <c r="D31" s="13" t="s">
        <v>4212</v>
      </c>
      <c r="E31" s="13"/>
      <c r="F31" s="13"/>
      <c r="G31" s="13" t="s">
        <v>3</v>
      </c>
    </row>
    <row r="32" spans="1:7" x14ac:dyDescent="0.25">
      <c r="A32" s="12">
        <v>31</v>
      </c>
      <c r="B32" s="13">
        <v>32</v>
      </c>
      <c r="C32" s="13">
        <v>3118368378</v>
      </c>
      <c r="D32" s="13" t="s">
        <v>4213</v>
      </c>
      <c r="E32" s="13"/>
      <c r="F32" s="13"/>
      <c r="G32" s="13" t="s">
        <v>3</v>
      </c>
    </row>
    <row r="33" spans="1:7" x14ac:dyDescent="0.25">
      <c r="A33" s="12">
        <v>32</v>
      </c>
      <c r="B33" s="13">
        <v>33</v>
      </c>
      <c r="C33" s="13">
        <v>3143253201</v>
      </c>
      <c r="D33" s="13" t="s">
        <v>4214</v>
      </c>
      <c r="E33" s="13"/>
      <c r="F33" s="13"/>
      <c r="G33" s="13" t="s">
        <v>3</v>
      </c>
    </row>
    <row r="34" spans="1:7" x14ac:dyDescent="0.25">
      <c r="A34" s="12">
        <v>33</v>
      </c>
      <c r="B34" s="13">
        <v>34</v>
      </c>
      <c r="C34" s="13">
        <v>3143183390</v>
      </c>
      <c r="D34" s="13" t="s">
        <v>4215</v>
      </c>
      <c r="E34" s="13"/>
      <c r="F34" s="13"/>
      <c r="G34" s="13" t="s">
        <v>3</v>
      </c>
    </row>
    <row r="35" spans="1:7" x14ac:dyDescent="0.25">
      <c r="A35" s="12">
        <v>34</v>
      </c>
      <c r="B35" s="13">
        <v>35</v>
      </c>
      <c r="C35" s="13">
        <v>3102432163</v>
      </c>
      <c r="D35" s="13" t="s">
        <v>4216</v>
      </c>
      <c r="E35" s="13"/>
      <c r="F35" s="13"/>
      <c r="G35" s="13" t="s">
        <v>3</v>
      </c>
    </row>
    <row r="36" spans="1:7" x14ac:dyDescent="0.25">
      <c r="A36" s="12">
        <v>35</v>
      </c>
      <c r="B36" s="13">
        <v>36</v>
      </c>
      <c r="C36" s="13">
        <v>3112636887</v>
      </c>
      <c r="D36" s="13" t="s">
        <v>4217</v>
      </c>
      <c r="E36" s="13"/>
      <c r="F36" s="13"/>
      <c r="G36" s="13" t="s">
        <v>3</v>
      </c>
    </row>
    <row r="37" spans="1:7" x14ac:dyDescent="0.25">
      <c r="A37" s="12">
        <v>36</v>
      </c>
      <c r="B37" s="13">
        <v>37</v>
      </c>
      <c r="C37" s="13">
        <v>3023895441</v>
      </c>
      <c r="D37" s="13" t="s">
        <v>4218</v>
      </c>
      <c r="E37" s="13"/>
      <c r="F37" s="13"/>
      <c r="G37" s="13" t="s">
        <v>3</v>
      </c>
    </row>
    <row r="38" spans="1:7" x14ac:dyDescent="0.25">
      <c r="A38" s="12">
        <v>37</v>
      </c>
      <c r="B38" s="13">
        <v>38</v>
      </c>
      <c r="C38" s="13">
        <v>3158009505</v>
      </c>
      <c r="D38" s="13" t="s">
        <v>4219</v>
      </c>
      <c r="E38" s="13"/>
      <c r="F38" s="13"/>
      <c r="G38" s="13" t="s">
        <v>3</v>
      </c>
    </row>
    <row r="39" spans="1:7" x14ac:dyDescent="0.25">
      <c r="A39" s="12">
        <v>38</v>
      </c>
      <c r="B39" s="13">
        <v>39</v>
      </c>
      <c r="C39" s="13">
        <v>3176416465</v>
      </c>
      <c r="D39" s="13"/>
      <c r="E39" s="13"/>
      <c r="F39" s="13"/>
      <c r="G39" s="13" t="s">
        <v>3</v>
      </c>
    </row>
    <row r="40" spans="1:7" x14ac:dyDescent="0.25">
      <c r="A40" s="12">
        <v>39</v>
      </c>
      <c r="B40" s="13">
        <v>40</v>
      </c>
      <c r="C40" s="13">
        <v>3204946646</v>
      </c>
      <c r="D40" s="13" t="s">
        <v>4220</v>
      </c>
      <c r="E40" s="13"/>
      <c r="F40" s="13"/>
      <c r="G40" s="13" t="s">
        <v>3</v>
      </c>
    </row>
    <row r="41" spans="1:7" x14ac:dyDescent="0.25">
      <c r="A41" s="12">
        <v>40</v>
      </c>
      <c r="B41" s="13">
        <v>41</v>
      </c>
      <c r="C41" s="13">
        <v>3124496480</v>
      </c>
      <c r="D41" s="13" t="s">
        <v>4221</v>
      </c>
      <c r="E41" s="13"/>
      <c r="F41" s="13"/>
      <c r="G41" s="13" t="s">
        <v>3</v>
      </c>
    </row>
    <row r="42" spans="1:7" x14ac:dyDescent="0.25">
      <c r="A42" s="12">
        <v>41</v>
      </c>
      <c r="B42" s="13">
        <v>43</v>
      </c>
      <c r="C42" s="13">
        <v>3112158712</v>
      </c>
      <c r="D42" s="13" t="s">
        <v>4222</v>
      </c>
      <c r="E42" s="13"/>
      <c r="F42" s="13"/>
      <c r="G42" s="13" t="s">
        <v>3</v>
      </c>
    </row>
    <row r="43" spans="1:7" x14ac:dyDescent="0.25">
      <c r="A43" s="12">
        <v>42</v>
      </c>
      <c r="B43" s="13">
        <v>42</v>
      </c>
      <c r="C43" s="13">
        <v>3112640874</v>
      </c>
      <c r="D43" s="13" t="s">
        <v>4223</v>
      </c>
      <c r="E43" s="13"/>
      <c r="F43" s="13" t="s">
        <v>217</v>
      </c>
      <c r="G43" s="13" t="s">
        <v>3</v>
      </c>
    </row>
    <row r="44" spans="1:7" x14ac:dyDescent="0.25">
      <c r="A44" s="12">
        <v>43</v>
      </c>
      <c r="B44" s="13">
        <v>44</v>
      </c>
      <c r="C44" s="13">
        <v>3123204339</v>
      </c>
      <c r="D44" s="13" t="s">
        <v>4224</v>
      </c>
      <c r="E44" s="13"/>
      <c r="F44" s="13"/>
      <c r="G44" s="13" t="s">
        <v>3</v>
      </c>
    </row>
    <row r="45" spans="1:7" x14ac:dyDescent="0.25">
      <c r="A45" s="12">
        <v>44</v>
      </c>
      <c r="B45" s="13">
        <v>45</v>
      </c>
      <c r="C45" s="13">
        <v>3164738503</v>
      </c>
      <c r="D45" s="13" t="s">
        <v>4225</v>
      </c>
      <c r="E45" s="13"/>
      <c r="F45" s="13"/>
      <c r="G45" s="13" t="s">
        <v>3</v>
      </c>
    </row>
    <row r="46" spans="1:7" x14ac:dyDescent="0.25">
      <c r="A46" s="12">
        <v>45</v>
      </c>
      <c r="B46" s="13">
        <v>46</v>
      </c>
      <c r="C46" s="13">
        <v>3165255901</v>
      </c>
      <c r="D46" s="13" t="s">
        <v>4226</v>
      </c>
      <c r="E46" s="13"/>
      <c r="F46" s="13"/>
      <c r="G46" s="13" t="s">
        <v>3</v>
      </c>
    </row>
    <row r="47" spans="1:7" x14ac:dyDescent="0.25">
      <c r="A47" s="12">
        <v>46</v>
      </c>
      <c r="B47" s="13">
        <v>47</v>
      </c>
      <c r="C47" s="13">
        <v>3112626925</v>
      </c>
      <c r="D47" s="13" t="s">
        <v>4227</v>
      </c>
      <c r="E47" s="13"/>
      <c r="F47" s="13"/>
      <c r="G47" s="13" t="s">
        <v>3</v>
      </c>
    </row>
    <row r="48" spans="1:7" x14ac:dyDescent="0.25">
      <c r="A48" s="12">
        <v>47</v>
      </c>
      <c r="B48" s="13">
        <v>48</v>
      </c>
      <c r="C48" s="13">
        <v>3115360036</v>
      </c>
      <c r="D48" s="13" t="s">
        <v>4228</v>
      </c>
      <c r="E48" s="13"/>
      <c r="F48" s="13"/>
      <c r="G48" s="13" t="s">
        <v>3</v>
      </c>
    </row>
    <row r="49" spans="1:7" x14ac:dyDescent="0.25">
      <c r="A49" s="12">
        <v>48</v>
      </c>
      <c r="B49" s="13">
        <v>49</v>
      </c>
      <c r="C49" s="13">
        <v>3134237436</v>
      </c>
      <c r="D49" s="13" t="s">
        <v>4229</v>
      </c>
      <c r="E49" s="13"/>
      <c r="F49" s="13"/>
      <c r="G49" s="13" t="s">
        <v>3</v>
      </c>
    </row>
    <row r="50" spans="1:7" x14ac:dyDescent="0.25">
      <c r="A50" s="12">
        <v>49</v>
      </c>
      <c r="B50" s="13">
        <v>50</v>
      </c>
      <c r="C50" s="13">
        <v>3015923644</v>
      </c>
      <c r="D50" s="13" t="s">
        <v>4230</v>
      </c>
      <c r="E50" s="13"/>
      <c r="F50" s="13"/>
      <c r="G50" s="13" t="s">
        <v>3</v>
      </c>
    </row>
    <row r="51" spans="1:7" x14ac:dyDescent="0.25">
      <c r="A51" s="12">
        <v>50</v>
      </c>
      <c r="B51" s="13">
        <v>51</v>
      </c>
      <c r="C51" s="13">
        <v>3022510136</v>
      </c>
      <c r="D51" s="13" t="s">
        <v>4231</v>
      </c>
      <c r="E51" s="13"/>
      <c r="F51" s="13" t="s">
        <v>187</v>
      </c>
      <c r="G51" s="13" t="s">
        <v>3</v>
      </c>
    </row>
    <row r="52" spans="1:7" x14ac:dyDescent="0.25">
      <c r="A52" s="12">
        <v>51</v>
      </c>
      <c r="B52" s="13">
        <v>52</v>
      </c>
      <c r="C52" s="13">
        <v>3117641401</v>
      </c>
      <c r="D52" s="13" t="s">
        <v>4232</v>
      </c>
      <c r="E52" s="13"/>
      <c r="F52" s="13"/>
      <c r="G52" s="13" t="s">
        <v>3</v>
      </c>
    </row>
    <row r="53" spans="1:7" x14ac:dyDescent="0.25">
      <c r="A53" s="12">
        <v>52</v>
      </c>
      <c r="B53" s="13">
        <v>53</v>
      </c>
      <c r="C53" s="13">
        <v>3206320494</v>
      </c>
      <c r="D53" s="13" t="s">
        <v>4233</v>
      </c>
      <c r="E53" s="13"/>
      <c r="F53" s="13"/>
      <c r="G53" s="13" t="s">
        <v>3</v>
      </c>
    </row>
    <row r="54" spans="1:7" x14ac:dyDescent="0.25">
      <c r="A54" s="12">
        <v>53</v>
      </c>
      <c r="B54" s="13">
        <v>23</v>
      </c>
      <c r="C54" s="13">
        <v>3173642713</v>
      </c>
      <c r="D54" s="13" t="s">
        <v>4234</v>
      </c>
      <c r="E54" s="13"/>
      <c r="F54" s="13"/>
      <c r="G54" s="13" t="s">
        <v>3</v>
      </c>
    </row>
    <row r="55" spans="1:7" x14ac:dyDescent="0.25">
      <c r="A55" s="12">
        <v>54</v>
      </c>
      <c r="B55" s="13">
        <v>54</v>
      </c>
      <c r="C55" s="13">
        <v>3115556214</v>
      </c>
      <c r="D55" s="13" t="s">
        <v>4235</v>
      </c>
      <c r="E55" s="13"/>
      <c r="F55" s="13"/>
      <c r="G55" s="13" t="s">
        <v>3</v>
      </c>
    </row>
    <row r="56" spans="1:7" x14ac:dyDescent="0.25">
      <c r="A56" s="12">
        <v>55</v>
      </c>
      <c r="B56" s="13">
        <v>55</v>
      </c>
      <c r="C56" s="13">
        <v>3506859312</v>
      </c>
      <c r="D56" s="13"/>
      <c r="E56" s="13"/>
      <c r="F56" s="13"/>
      <c r="G56" s="13" t="s">
        <v>3</v>
      </c>
    </row>
    <row r="57" spans="1:7" x14ac:dyDescent="0.25">
      <c r="A57" s="12">
        <v>56</v>
      </c>
      <c r="B57" s="13">
        <v>56</v>
      </c>
      <c r="C57" s="13">
        <v>3134440193</v>
      </c>
      <c r="D57" s="13" t="s">
        <v>4236</v>
      </c>
      <c r="E57" s="13"/>
      <c r="F57" s="13"/>
      <c r="G57" s="13" t="s">
        <v>3</v>
      </c>
    </row>
    <row r="58" spans="1:7" x14ac:dyDescent="0.25">
      <c r="A58" s="12">
        <v>57</v>
      </c>
      <c r="B58" s="13">
        <v>58</v>
      </c>
      <c r="C58" s="13">
        <v>3168781879</v>
      </c>
      <c r="D58" s="13" t="s">
        <v>4237</v>
      </c>
      <c r="E58" s="13"/>
      <c r="F58" s="13"/>
      <c r="G58" s="13" t="s">
        <v>139</v>
      </c>
    </row>
    <row r="59" spans="1:7" x14ac:dyDescent="0.25">
      <c r="A59" s="12">
        <v>58</v>
      </c>
      <c r="B59" s="13">
        <v>59</v>
      </c>
      <c r="C59" s="13">
        <v>3224526685</v>
      </c>
      <c r="D59" s="13" t="s">
        <v>3727</v>
      </c>
      <c r="E59" s="13"/>
      <c r="F59" s="13" t="s">
        <v>1087</v>
      </c>
      <c r="G59" s="13" t="s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B1" sqref="B1:P1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4173</v>
      </c>
      <c r="B1" t="s">
        <v>4183</v>
      </c>
      <c r="C1" t="s">
        <v>4166</v>
      </c>
      <c r="D1" t="s">
        <v>4167</v>
      </c>
      <c r="E1" t="s">
        <v>4168</v>
      </c>
      <c r="F1" t="s">
        <v>4169</v>
      </c>
      <c r="G1" t="s">
        <v>4184</v>
      </c>
      <c r="H1" t="s">
        <v>4185</v>
      </c>
      <c r="I1" t="s">
        <v>4186</v>
      </c>
      <c r="J1" t="s">
        <v>4187</v>
      </c>
      <c r="K1" t="s">
        <v>4164</v>
      </c>
      <c r="L1" t="s">
        <v>4188</v>
      </c>
      <c r="M1" t="s">
        <v>4163</v>
      </c>
      <c r="N1" t="s">
        <v>3838</v>
      </c>
      <c r="O1" t="s">
        <v>3839</v>
      </c>
      <c r="P1" t="s">
        <v>3840</v>
      </c>
      <c r="Q1" s="14" t="s">
        <v>4331</v>
      </c>
    </row>
    <row r="2" spans="1:17" x14ac:dyDescent="0.25">
      <c r="A2" s="1">
        <v>2</v>
      </c>
      <c r="B2" s="1">
        <v>29</v>
      </c>
      <c r="C2" s="2" t="s">
        <v>3150</v>
      </c>
      <c r="D2" s="2" t="s">
        <v>3841</v>
      </c>
      <c r="E2" s="2"/>
      <c r="F2" s="2">
        <v>50</v>
      </c>
      <c r="G2" s="2" t="s">
        <v>3842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3843</v>
      </c>
      <c r="N2" s="4"/>
      <c r="O2" s="5"/>
      <c r="P2" s="4"/>
      <c r="Q2" s="21" t="str">
        <f>VLOOKUP(tblProductos[[#This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3844</v>
      </c>
      <c r="D3" s="2" t="s">
        <v>3841</v>
      </c>
      <c r="E3" s="2"/>
      <c r="F3" s="2">
        <v>50</v>
      </c>
      <c r="G3" s="2" t="s">
        <v>3842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3843</v>
      </c>
      <c r="N3" s="4"/>
      <c r="O3" s="5"/>
      <c r="P3" s="4"/>
      <c r="Q3" s="21" t="str">
        <f>VLOOKUP(tblProductos[[#This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3845</v>
      </c>
      <c r="D4" s="2" t="s">
        <v>3841</v>
      </c>
      <c r="E4" s="2"/>
      <c r="F4" s="2">
        <v>50</v>
      </c>
      <c r="G4" s="2" t="s">
        <v>3842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3843</v>
      </c>
      <c r="N4" s="4"/>
      <c r="O4" s="5">
        <v>5</v>
      </c>
      <c r="P4" s="4"/>
      <c r="Q4" s="21" t="str">
        <f>VLOOKUP(tblProductos[[#This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3846</v>
      </c>
      <c r="D5" s="2" t="s">
        <v>3841</v>
      </c>
      <c r="E5" s="2"/>
      <c r="F5" s="2">
        <v>100</v>
      </c>
      <c r="G5" s="2" t="s">
        <v>3842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3843</v>
      </c>
      <c r="N5" s="4"/>
      <c r="O5" s="5"/>
      <c r="P5" s="4"/>
      <c r="Q5" s="21" t="str">
        <f>VLOOKUP(tblProductos[[#This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3847</v>
      </c>
      <c r="D6" s="2" t="s">
        <v>3841</v>
      </c>
      <c r="E6" s="2" t="s">
        <v>3848</v>
      </c>
      <c r="F6" s="2">
        <v>200</v>
      </c>
      <c r="G6" s="2" t="s">
        <v>3842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3843</v>
      </c>
      <c r="N6" s="4"/>
      <c r="O6" s="5"/>
      <c r="P6" s="4"/>
      <c r="Q6" s="21" t="str">
        <f>VLOOKUP(tblProductos[[#This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3849</v>
      </c>
      <c r="D7" s="2" t="s">
        <v>3841</v>
      </c>
      <c r="E7" s="2" t="s">
        <v>3850</v>
      </c>
      <c r="F7" s="2">
        <v>500</v>
      </c>
      <c r="G7" s="2" t="s">
        <v>3842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3843</v>
      </c>
      <c r="N7" s="4"/>
      <c r="O7" s="5"/>
      <c r="P7" s="4"/>
      <c r="Q7" s="21" t="str">
        <f>VLOOKUP(tblProductos[[#This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3851</v>
      </c>
      <c r="D8" s="2" t="s">
        <v>3841</v>
      </c>
      <c r="E8" s="2" t="s">
        <v>3852</v>
      </c>
      <c r="F8" s="2">
        <v>200</v>
      </c>
      <c r="G8" s="2" t="s">
        <v>3842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3843</v>
      </c>
      <c r="N8" s="4"/>
      <c r="O8" s="5"/>
      <c r="P8" s="4"/>
      <c r="Q8" s="21" t="str">
        <f>VLOOKUP(tblProductos[[#This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3847</v>
      </c>
      <c r="D9" s="2" t="s">
        <v>3841</v>
      </c>
      <c r="E9" s="2" t="s">
        <v>3848</v>
      </c>
      <c r="F9" s="2">
        <v>200</v>
      </c>
      <c r="G9" s="2" t="s">
        <v>3842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3843</v>
      </c>
      <c r="N9" s="4"/>
      <c r="O9" s="5">
        <v>15</v>
      </c>
      <c r="P9" s="4"/>
      <c r="Q9" s="21" t="str">
        <f>VLOOKUP(tblProductos[[#This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3853</v>
      </c>
      <c r="D10" s="2" t="s">
        <v>3841</v>
      </c>
      <c r="E10" s="2" t="s">
        <v>3854</v>
      </c>
      <c r="F10" s="2">
        <v>200</v>
      </c>
      <c r="G10" s="2" t="s">
        <v>3842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3843</v>
      </c>
      <c r="N10" s="4"/>
      <c r="O10" s="5">
        <v>15</v>
      </c>
      <c r="P10" s="4"/>
      <c r="Q10" s="21" t="str">
        <f>VLOOKUP(tblProductos[[#This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3855</v>
      </c>
      <c r="D11" s="2" t="s">
        <v>3841</v>
      </c>
      <c r="E11" s="2" t="s">
        <v>3856</v>
      </c>
      <c r="F11" s="2">
        <v>200</v>
      </c>
      <c r="G11" s="2" t="s">
        <v>3842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3843</v>
      </c>
      <c r="N11" s="4"/>
      <c r="O11" s="5"/>
      <c r="P11" s="4"/>
      <c r="Q11" s="21" t="str">
        <f>VLOOKUP(tblProductos[[#This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3857</v>
      </c>
      <c r="D12" s="2" t="s">
        <v>3841</v>
      </c>
      <c r="E12" s="2" t="s">
        <v>3858</v>
      </c>
      <c r="F12" s="2">
        <v>200</v>
      </c>
      <c r="G12" s="2" t="s">
        <v>3842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3843</v>
      </c>
      <c r="N12" s="4"/>
      <c r="O12" s="5">
        <v>30</v>
      </c>
      <c r="P12" s="4"/>
      <c r="Q12" s="21" t="str">
        <f>VLOOKUP(tblProductos[[#This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3859</v>
      </c>
      <c r="D13" s="2" t="s">
        <v>3841</v>
      </c>
      <c r="E13" s="2" t="s">
        <v>3860</v>
      </c>
      <c r="F13" s="2">
        <v>200</v>
      </c>
      <c r="G13" s="2" t="s">
        <v>3842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3843</v>
      </c>
      <c r="N13" s="4"/>
      <c r="O13" s="5"/>
      <c r="P13" s="4"/>
      <c r="Q13" s="21" t="str">
        <f>VLOOKUP(tblProductos[[#This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3861</v>
      </c>
      <c r="D14" s="2" t="s">
        <v>3841</v>
      </c>
      <c r="E14" s="2" t="s">
        <v>3862</v>
      </c>
      <c r="F14" s="2">
        <v>200</v>
      </c>
      <c r="G14" s="2" t="s">
        <v>3842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3843</v>
      </c>
      <c r="N14" s="4"/>
      <c r="O14" s="5"/>
      <c r="P14" s="4"/>
      <c r="Q14" s="21" t="str">
        <f>VLOOKUP(tblProductos[[#This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3863</v>
      </c>
      <c r="D15" s="2" t="s">
        <v>3841</v>
      </c>
      <c r="E15" s="2" t="s">
        <v>3864</v>
      </c>
      <c r="F15" s="2">
        <v>300</v>
      </c>
      <c r="G15" s="2" t="s">
        <v>3842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3843</v>
      </c>
      <c r="N15" s="4"/>
      <c r="O15" s="5"/>
      <c r="P15" s="4"/>
      <c r="Q15" s="21" t="str">
        <f>VLOOKUP(tblProductos[[#This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3851</v>
      </c>
      <c r="D16" s="2" t="s">
        <v>3841</v>
      </c>
      <c r="E16" s="2" t="s">
        <v>3848</v>
      </c>
      <c r="F16" s="2">
        <v>200</v>
      </c>
      <c r="G16" s="2" t="s">
        <v>3842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3843</v>
      </c>
      <c r="N16" s="4"/>
      <c r="O16" s="5"/>
      <c r="P16" s="4"/>
      <c r="Q16" s="21" t="str">
        <f>VLOOKUP(tblProductos[[#This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3847</v>
      </c>
      <c r="D17" s="2" t="s">
        <v>3841</v>
      </c>
      <c r="E17" s="2" t="s">
        <v>3854</v>
      </c>
      <c r="F17" s="2">
        <v>200</v>
      </c>
      <c r="G17" s="2" t="s">
        <v>3842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3843</v>
      </c>
      <c r="N17" s="4"/>
      <c r="O17" s="5"/>
      <c r="P17" s="4"/>
      <c r="Q17" s="21" t="str">
        <f>VLOOKUP(tblProductos[[#This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3857</v>
      </c>
      <c r="D18" s="2" t="s">
        <v>3841</v>
      </c>
      <c r="E18" s="2" t="s">
        <v>3858</v>
      </c>
      <c r="F18" s="2">
        <v>200</v>
      </c>
      <c r="G18" s="2" t="s">
        <v>3842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3843</v>
      </c>
      <c r="N18" s="4"/>
      <c r="O18" s="5"/>
      <c r="P18" s="4"/>
      <c r="Q18" s="21" t="str">
        <f>VLOOKUP(tblProductos[[#This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3859</v>
      </c>
      <c r="D19" s="2" t="s">
        <v>3841</v>
      </c>
      <c r="E19" s="2" t="s">
        <v>3860</v>
      </c>
      <c r="F19" s="2">
        <v>200</v>
      </c>
      <c r="G19" s="2" t="s">
        <v>3842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3843</v>
      </c>
      <c r="N19" s="4"/>
      <c r="O19" s="5"/>
      <c r="P19" s="4"/>
      <c r="Q19" s="21" t="str">
        <f>VLOOKUP(tblProductos[[#This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3861</v>
      </c>
      <c r="D20" s="2" t="s">
        <v>3841</v>
      </c>
      <c r="E20" s="2" t="s">
        <v>3862</v>
      </c>
      <c r="F20" s="2">
        <v>200</v>
      </c>
      <c r="G20" s="2" t="s">
        <v>3842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3843</v>
      </c>
      <c r="N20" s="4"/>
      <c r="O20" s="5"/>
      <c r="P20" s="4"/>
      <c r="Q20" s="21" t="str">
        <f>VLOOKUP(tblProductos[[#This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3853</v>
      </c>
      <c r="D21" s="2" t="s">
        <v>3841</v>
      </c>
      <c r="E21" s="2" t="s">
        <v>3856</v>
      </c>
      <c r="F21" s="2">
        <v>200</v>
      </c>
      <c r="G21" s="2" t="s">
        <v>3842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3843</v>
      </c>
      <c r="N21" s="4"/>
      <c r="O21" s="5"/>
      <c r="P21" s="4"/>
      <c r="Q21" s="21" t="str">
        <f>VLOOKUP(tblProductos[[#This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3855</v>
      </c>
      <c r="D22" s="2" t="s">
        <v>3841</v>
      </c>
      <c r="E22" s="2" t="s">
        <v>3858</v>
      </c>
      <c r="F22" s="2">
        <v>200</v>
      </c>
      <c r="G22" s="2" t="s">
        <v>3842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3843</v>
      </c>
      <c r="N22" s="4"/>
      <c r="O22" s="5"/>
      <c r="P22" s="4"/>
      <c r="Q22" s="21" t="str">
        <f>VLOOKUP(tblProductos[[#This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3865</v>
      </c>
      <c r="D23" s="2" t="s">
        <v>3841</v>
      </c>
      <c r="E23" s="2" t="s">
        <v>3866</v>
      </c>
      <c r="F23" s="2">
        <v>15</v>
      </c>
      <c r="G23" s="2" t="s">
        <v>3867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3868</v>
      </c>
      <c r="N23" s="4"/>
      <c r="O23" s="5"/>
      <c r="P23" s="4"/>
      <c r="Q23" s="21" t="str">
        <f>VLOOKUP(tblProductos[[#This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3869</v>
      </c>
      <c r="D24" s="2" t="s">
        <v>3841</v>
      </c>
      <c r="E24" s="2" t="s">
        <v>3870</v>
      </c>
      <c r="F24" s="2">
        <v>15</v>
      </c>
      <c r="G24" s="2" t="s">
        <v>3867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3868</v>
      </c>
      <c r="N24" s="4"/>
      <c r="O24" s="5"/>
      <c r="P24" s="4"/>
      <c r="Q24" s="21" t="str">
        <f>VLOOKUP(tblProductos[[#This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3871</v>
      </c>
      <c r="D25" s="2" t="s">
        <v>3841</v>
      </c>
      <c r="E25" s="2" t="s">
        <v>3872</v>
      </c>
      <c r="F25" s="2">
        <v>1000</v>
      </c>
      <c r="G25" s="2" t="s">
        <v>3873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3868</v>
      </c>
      <c r="N25" s="4"/>
      <c r="O25" s="5">
        <v>1</v>
      </c>
      <c r="P25" s="4"/>
      <c r="Q25" s="21" t="str">
        <f>VLOOKUP(tblProductos[[#This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3874</v>
      </c>
      <c r="D26" s="2" t="s">
        <v>3841</v>
      </c>
      <c r="E26" s="2" t="s">
        <v>3875</v>
      </c>
      <c r="F26" s="2">
        <v>3000</v>
      </c>
      <c r="G26" s="2" t="s">
        <v>3873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3868</v>
      </c>
      <c r="N26" s="4"/>
      <c r="O26" s="5">
        <v>3</v>
      </c>
      <c r="P26" s="4"/>
      <c r="Q26" s="21" t="str">
        <f>VLOOKUP(tblProductos[[#This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3876</v>
      </c>
      <c r="D27" s="2" t="s">
        <v>3841</v>
      </c>
      <c r="E27" s="2" t="s">
        <v>3877</v>
      </c>
      <c r="F27" s="2">
        <v>2000</v>
      </c>
      <c r="G27" s="2" t="s">
        <v>3873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3868</v>
      </c>
      <c r="N27" s="4"/>
      <c r="O27" s="5">
        <v>2</v>
      </c>
      <c r="P27" s="4"/>
      <c r="Q27" s="21" t="str">
        <f>VLOOKUP(tblProductos[[#This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3878</v>
      </c>
      <c r="D28" s="2" t="s">
        <v>3841</v>
      </c>
      <c r="E28" s="2" t="s">
        <v>3879</v>
      </c>
      <c r="F28" s="2">
        <v>1500</v>
      </c>
      <c r="G28" s="2" t="s">
        <v>3873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3868</v>
      </c>
      <c r="N28" s="4"/>
      <c r="O28" s="5">
        <v>3</v>
      </c>
      <c r="P28" s="4"/>
      <c r="Q28" s="21" t="str">
        <f>VLOOKUP(tblProductos[[#This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3880</v>
      </c>
      <c r="D29" s="2" t="s">
        <v>3841</v>
      </c>
      <c r="E29" s="2" t="s">
        <v>3875</v>
      </c>
      <c r="F29" s="2">
        <v>1000</v>
      </c>
      <c r="G29" s="2" t="s">
        <v>3873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3868</v>
      </c>
      <c r="N29" s="4"/>
      <c r="O29" s="5"/>
      <c r="P29" s="4"/>
      <c r="Q29" s="21" t="str">
        <f>VLOOKUP(tblProductos[[#This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3881</v>
      </c>
      <c r="D30" s="2" t="s">
        <v>3841</v>
      </c>
      <c r="E30" s="2" t="s">
        <v>3875</v>
      </c>
      <c r="F30" s="2">
        <v>100</v>
      </c>
      <c r="G30" s="2" t="s">
        <v>3842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3882</v>
      </c>
      <c r="N30" s="4"/>
      <c r="O30" s="5"/>
      <c r="P30" s="4"/>
      <c r="Q30" s="21" t="str">
        <f>VLOOKUP(tblProductos[[#This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3883</v>
      </c>
      <c r="D31" s="2" t="s">
        <v>3841</v>
      </c>
      <c r="E31" s="2" t="s">
        <v>3884</v>
      </c>
      <c r="F31" s="2">
        <v>500</v>
      </c>
      <c r="G31" s="2" t="s">
        <v>3842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3882</v>
      </c>
      <c r="N31" s="4"/>
      <c r="O31" s="5"/>
      <c r="P31" s="4"/>
      <c r="Q31" s="21" t="str">
        <f>VLOOKUP(tblProductos[[#This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3885</v>
      </c>
      <c r="D32" s="2" t="s">
        <v>3841</v>
      </c>
      <c r="E32" s="2" t="s">
        <v>3872</v>
      </c>
      <c r="F32" s="2">
        <v>500</v>
      </c>
      <c r="G32" s="2" t="s">
        <v>3886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3882</v>
      </c>
      <c r="N32" s="4"/>
      <c r="O32" s="5"/>
      <c r="P32" s="4"/>
      <c r="Q32" s="21" t="str">
        <f>VLOOKUP(tblProductos[[#This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3881</v>
      </c>
      <c r="D33" s="2" t="s">
        <v>3841</v>
      </c>
      <c r="E33" s="2" t="s">
        <v>3875</v>
      </c>
      <c r="F33" s="2">
        <v>500</v>
      </c>
      <c r="G33" s="2" t="s">
        <v>3886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3882</v>
      </c>
      <c r="N33" s="4"/>
      <c r="O33" s="5"/>
      <c r="P33" s="4"/>
      <c r="Q33" s="21" t="str">
        <f>VLOOKUP(tblProductos[[#This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3887</v>
      </c>
      <c r="D34" s="2" t="s">
        <v>3888</v>
      </c>
      <c r="E34" s="2" t="s">
        <v>3889</v>
      </c>
      <c r="F34" s="2">
        <v>1000</v>
      </c>
      <c r="G34" s="2" t="s">
        <v>3867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3882</v>
      </c>
      <c r="N34" s="4"/>
      <c r="O34" s="5"/>
      <c r="P34" s="4"/>
      <c r="Q34" s="21" t="str">
        <f>VLOOKUP(tblProductos[[#This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3890</v>
      </c>
      <c r="D35" s="2" t="s">
        <v>3888</v>
      </c>
      <c r="E35" s="2" t="s">
        <v>3889</v>
      </c>
      <c r="F35" s="2">
        <v>1000</v>
      </c>
      <c r="G35" s="2" t="s">
        <v>3867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3882</v>
      </c>
      <c r="N35" s="4"/>
      <c r="O35" s="5"/>
      <c r="P35" s="4"/>
      <c r="Q35" s="21" t="str">
        <f>VLOOKUP(tblProductos[[#This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3891</v>
      </c>
      <c r="D36" s="2" t="s">
        <v>3888</v>
      </c>
      <c r="E36" s="2" t="s">
        <v>3875</v>
      </c>
      <c r="F36" s="2">
        <v>1000</v>
      </c>
      <c r="G36" s="2" t="s">
        <v>3867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3882</v>
      </c>
      <c r="N36" s="4"/>
      <c r="O36" s="5"/>
      <c r="P36" s="4"/>
      <c r="Q36" s="21" t="str">
        <f>VLOOKUP(tblProductos[[#This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3892</v>
      </c>
      <c r="D37" s="2" t="s">
        <v>3888</v>
      </c>
      <c r="E37" s="2" t="s">
        <v>3875</v>
      </c>
      <c r="F37" s="2">
        <v>2000</v>
      </c>
      <c r="G37" s="2" t="s">
        <v>3867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3882</v>
      </c>
      <c r="N37" s="4"/>
      <c r="O37" s="5"/>
      <c r="P37" s="4"/>
      <c r="Q37" s="21" t="str">
        <f>VLOOKUP(tblProductos[[#This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3893</v>
      </c>
      <c r="D38" s="2" t="s">
        <v>3841</v>
      </c>
      <c r="E38" s="2" t="s">
        <v>3894</v>
      </c>
      <c r="F38" s="2">
        <v>500</v>
      </c>
      <c r="G38" s="2" t="s">
        <v>3842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3895</v>
      </c>
      <c r="N38" s="4"/>
      <c r="O38" s="5">
        <v>4</v>
      </c>
      <c r="P38" s="4"/>
      <c r="Q38" s="21" t="str">
        <f>VLOOKUP(tblProductos[[#This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3896</v>
      </c>
      <c r="D39" s="2" t="s">
        <v>3841</v>
      </c>
      <c r="E39" s="2" t="s">
        <v>3897</v>
      </c>
      <c r="F39" s="2">
        <v>500</v>
      </c>
      <c r="G39" s="2" t="s">
        <v>3842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3895</v>
      </c>
      <c r="N39" s="4"/>
      <c r="O39" s="5">
        <v>2</v>
      </c>
      <c r="P39" s="4"/>
      <c r="Q39" s="21" t="str">
        <f>VLOOKUP(tblProductos[[#This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3898</v>
      </c>
      <c r="D40" s="2" t="s">
        <v>3841</v>
      </c>
      <c r="E40" s="2" t="s">
        <v>3897</v>
      </c>
      <c r="F40" s="2">
        <v>1000</v>
      </c>
      <c r="G40" s="2" t="s">
        <v>3867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3895</v>
      </c>
      <c r="N40" s="4"/>
      <c r="O40" s="5"/>
      <c r="P40" s="4"/>
      <c r="Q40" s="21" t="str">
        <f>VLOOKUP(tblProductos[[#This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3899</v>
      </c>
      <c r="D41" s="2" t="s">
        <v>3841</v>
      </c>
      <c r="E41" s="2" t="s">
        <v>3897</v>
      </c>
      <c r="F41" s="2">
        <v>2000</v>
      </c>
      <c r="G41" s="2" t="s">
        <v>3873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3895</v>
      </c>
      <c r="N41" s="4"/>
      <c r="O41" s="5"/>
      <c r="P41" s="4"/>
      <c r="Q41" s="21" t="str">
        <f>VLOOKUP(tblProductos[[#This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3900</v>
      </c>
      <c r="D42" s="2" t="s">
        <v>3841</v>
      </c>
      <c r="E42" s="2" t="s">
        <v>3901</v>
      </c>
      <c r="F42" s="2">
        <v>1000</v>
      </c>
      <c r="G42" s="2" t="s">
        <v>3873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3895</v>
      </c>
      <c r="N42" s="4"/>
      <c r="O42" s="5">
        <v>30</v>
      </c>
      <c r="P42" s="4"/>
      <c r="Q42" s="21" t="str">
        <f>VLOOKUP(tblProductos[[#This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3902</v>
      </c>
      <c r="D43" s="2" t="s">
        <v>3841</v>
      </c>
      <c r="E43" s="2" t="s">
        <v>3897</v>
      </c>
      <c r="F43" s="2">
        <v>1600</v>
      </c>
      <c r="G43" s="2" t="s">
        <v>3867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3895</v>
      </c>
      <c r="N43" s="4"/>
      <c r="O43" s="5"/>
      <c r="P43" s="4"/>
      <c r="Q43" s="21" t="str">
        <f>VLOOKUP(tblProductos[[#This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3903</v>
      </c>
      <c r="D44" s="2" t="s">
        <v>3841</v>
      </c>
      <c r="E44" s="2" t="s">
        <v>3872</v>
      </c>
      <c r="F44" s="2">
        <v>3000</v>
      </c>
      <c r="G44" s="2" t="s">
        <v>3873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3868</v>
      </c>
      <c r="N44" s="4"/>
      <c r="O44" s="5"/>
      <c r="P44" s="4"/>
      <c r="Q44" s="21" t="str">
        <f>VLOOKUP(tblProductos[[#This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3904</v>
      </c>
      <c r="D45" s="2" t="s">
        <v>3841</v>
      </c>
      <c r="E45" s="2" t="s">
        <v>3875</v>
      </c>
      <c r="F45" s="2">
        <v>3000</v>
      </c>
      <c r="G45" s="2" t="s">
        <v>3873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3868</v>
      </c>
      <c r="N45" s="4"/>
      <c r="O45" s="5">
        <v>2</v>
      </c>
      <c r="P45" s="4"/>
      <c r="Q45" s="21" t="str">
        <f>VLOOKUP(tblProductos[[#This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3905</v>
      </c>
      <c r="D46" s="2" t="s">
        <v>3841</v>
      </c>
      <c r="E46" s="2" t="s">
        <v>3877</v>
      </c>
      <c r="F46" s="2">
        <v>3000</v>
      </c>
      <c r="G46" s="2" t="s">
        <v>3873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3868</v>
      </c>
      <c r="N46" s="4"/>
      <c r="O46" s="5">
        <v>1</v>
      </c>
      <c r="P46" s="4"/>
      <c r="Q46" s="21" t="str">
        <f>VLOOKUP(tblProductos[[#This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3906</v>
      </c>
      <c r="D47" s="2" t="s">
        <v>3841</v>
      </c>
      <c r="E47" s="2" t="s">
        <v>3879</v>
      </c>
      <c r="F47" s="2">
        <v>3000</v>
      </c>
      <c r="G47" s="2" t="s">
        <v>3873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3868</v>
      </c>
      <c r="N47" s="4"/>
      <c r="O47" s="5">
        <v>1</v>
      </c>
      <c r="P47" s="4"/>
      <c r="Q47" s="21" t="str">
        <f>VLOOKUP(tblProductos[[#This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3907</v>
      </c>
      <c r="D48" s="2" t="s">
        <v>3841</v>
      </c>
      <c r="E48" s="2" t="s">
        <v>3889</v>
      </c>
      <c r="F48" s="2">
        <v>3000</v>
      </c>
      <c r="G48" s="2" t="s">
        <v>3873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3868</v>
      </c>
      <c r="N48" s="4"/>
      <c r="O48" s="5"/>
      <c r="P48" s="4"/>
      <c r="Q48" s="21" t="str">
        <f>VLOOKUP(tblProductos[[#This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3908</v>
      </c>
      <c r="D49" s="2" t="s">
        <v>3841</v>
      </c>
      <c r="E49" s="2"/>
      <c r="F49" s="2">
        <v>1500</v>
      </c>
      <c r="G49" s="2" t="s">
        <v>3873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3868</v>
      </c>
      <c r="N49" s="4"/>
      <c r="O49" s="5"/>
      <c r="P49" s="4"/>
      <c r="Q49" s="21" t="str">
        <f>VLOOKUP(tblProductos[[#This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3909</v>
      </c>
      <c r="D50" s="2" t="s">
        <v>3841</v>
      </c>
      <c r="E50" s="2"/>
      <c r="F50" s="2">
        <v>1000</v>
      </c>
      <c r="G50" s="2" t="s">
        <v>3873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3868</v>
      </c>
      <c r="N50" s="4"/>
      <c r="O50" s="5">
        <v>5</v>
      </c>
      <c r="P50" s="4"/>
      <c r="Q50" s="21" t="str">
        <f>VLOOKUP(tblProductos[[#This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3910</v>
      </c>
      <c r="D51" s="2" t="s">
        <v>3841</v>
      </c>
      <c r="E51" s="2" t="s">
        <v>3875</v>
      </c>
      <c r="F51" s="2">
        <v>250</v>
      </c>
      <c r="G51" s="2" t="s">
        <v>3886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3895</v>
      </c>
      <c r="N51" s="4"/>
      <c r="O51" s="5">
        <v>40</v>
      </c>
      <c r="P51" s="4"/>
      <c r="Q51" s="21" t="str">
        <f>VLOOKUP(tblProductos[[#This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3911</v>
      </c>
      <c r="D52" s="2" t="s">
        <v>3841</v>
      </c>
      <c r="E52" s="2" t="s">
        <v>3912</v>
      </c>
      <c r="F52" s="2">
        <v>2500</v>
      </c>
      <c r="G52" s="2" t="s">
        <v>3873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3913</v>
      </c>
      <c r="N52" s="4"/>
      <c r="O52" s="5"/>
      <c r="P52" s="4"/>
      <c r="Q52" s="21" t="str">
        <f>VLOOKUP(tblProductos[[#This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3914</v>
      </c>
      <c r="D53" s="2" t="s">
        <v>3841</v>
      </c>
      <c r="E53" s="2" t="s">
        <v>3915</v>
      </c>
      <c r="F53" s="2">
        <v>2500</v>
      </c>
      <c r="G53" s="2" t="s">
        <v>3873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3913</v>
      </c>
      <c r="N53" s="4"/>
      <c r="O53" s="5"/>
      <c r="P53" s="4"/>
      <c r="Q53" s="21" t="str">
        <f>VLOOKUP(tblProductos[[#This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3916</v>
      </c>
      <c r="D54" s="2" t="s">
        <v>3841</v>
      </c>
      <c r="E54" s="2" t="s">
        <v>3917</v>
      </c>
      <c r="F54" s="2">
        <v>2500</v>
      </c>
      <c r="G54" s="2" t="s">
        <v>3873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3913</v>
      </c>
      <c r="N54" s="4"/>
      <c r="O54" s="5"/>
      <c r="P54" s="4"/>
      <c r="Q54" s="21" t="str">
        <f>VLOOKUP(tblProductos[[#This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3918</v>
      </c>
      <c r="D55" s="2" t="s">
        <v>3919</v>
      </c>
      <c r="E55" s="2"/>
      <c r="F55" s="2">
        <v>30</v>
      </c>
      <c r="G55" s="2" t="s">
        <v>3842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3843</v>
      </c>
      <c r="N55" s="4"/>
      <c r="O55" s="5"/>
      <c r="P55" s="4"/>
      <c r="Q55" s="21" t="str">
        <f>VLOOKUP(tblProductos[[#This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3920</v>
      </c>
      <c r="D56" s="2" t="s">
        <v>3841</v>
      </c>
      <c r="E56" s="2"/>
      <c r="F56" s="2">
        <v>50</v>
      </c>
      <c r="G56" s="2" t="s">
        <v>3842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3843</v>
      </c>
      <c r="N56" s="4"/>
      <c r="O56" s="5">
        <v>100</v>
      </c>
      <c r="P56" s="4"/>
      <c r="Q56" s="21" t="str">
        <f>VLOOKUP(tblProductos[[#This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3921</v>
      </c>
      <c r="D57" s="2" t="s">
        <v>3841</v>
      </c>
      <c r="E57" s="2"/>
      <c r="F57" s="2">
        <v>50</v>
      </c>
      <c r="G57" s="2" t="s">
        <v>3842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3843</v>
      </c>
      <c r="N57" s="4"/>
      <c r="O57" s="5">
        <v>15</v>
      </c>
      <c r="P57" s="4"/>
      <c r="Q57" s="21" t="str">
        <f>VLOOKUP(tblProductos[[#This Row],[id_proveedor]],tblProveedores[[#All],[id]:[nombre]],2,0)</f>
        <v>SHILOHTEX</v>
      </c>
    </row>
    <row r="58" spans="1:17" x14ac:dyDescent="0.25">
      <c r="A58" s="1">
        <v>100</v>
      </c>
      <c r="B58" s="1">
        <v>58</v>
      </c>
      <c r="C58" s="2" t="s">
        <v>3922</v>
      </c>
      <c r="D58" s="2" t="s">
        <v>3923</v>
      </c>
      <c r="E58" s="2" t="s">
        <v>3924</v>
      </c>
      <c r="F58" s="2">
        <v>25</v>
      </c>
      <c r="G58" s="2" t="s">
        <v>3842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3925</v>
      </c>
      <c r="N58" s="4"/>
      <c r="O58" s="5">
        <v>10</v>
      </c>
      <c r="P58" s="4"/>
      <c r="Q58" s="21" t="str">
        <f>VLOOKUP(tblProductos[[#This Row],[id_proveedor]],tblProveedores[[#All],[id]:[nombre]],2,0)</f>
        <v>WILSON ROJAS</v>
      </c>
    </row>
    <row r="59" spans="1:17" x14ac:dyDescent="0.25">
      <c r="A59" s="1">
        <v>101</v>
      </c>
      <c r="B59" s="1">
        <v>58</v>
      </c>
      <c r="C59" s="2" t="s">
        <v>3926</v>
      </c>
      <c r="D59" s="2" t="s">
        <v>3923</v>
      </c>
      <c r="E59" s="2" t="s">
        <v>3927</v>
      </c>
      <c r="F59" s="2">
        <v>150</v>
      </c>
      <c r="G59" s="2" t="s">
        <v>3842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3925</v>
      </c>
      <c r="N59" s="4"/>
      <c r="O59" s="5">
        <v>5</v>
      </c>
      <c r="P59" s="4"/>
      <c r="Q59" s="21" t="str">
        <f>VLOOKUP(tblProductos[[#This Row],[id_proveedor]],tblProveedores[[#All],[id]:[nombre]],2,0)</f>
        <v>WILSON ROJAS</v>
      </c>
    </row>
    <row r="60" spans="1:17" x14ac:dyDescent="0.25">
      <c r="A60" s="1">
        <v>102</v>
      </c>
      <c r="B60" s="1">
        <v>58</v>
      </c>
      <c r="C60" s="2" t="s">
        <v>3928</v>
      </c>
      <c r="D60" s="2" t="s">
        <v>3923</v>
      </c>
      <c r="E60" s="2" t="s">
        <v>3927</v>
      </c>
      <c r="F60" s="2">
        <v>300</v>
      </c>
      <c r="G60" s="2" t="s">
        <v>3842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3925</v>
      </c>
      <c r="N60" s="4"/>
      <c r="O60" s="5">
        <v>5</v>
      </c>
      <c r="P60" s="4"/>
      <c r="Q60" s="21" t="str">
        <f>VLOOKUP(tblProductos[[#This Row],[id_proveedor]],tblProveedores[[#All],[id]:[nombre]],2,0)</f>
        <v>WILSON ROJAS</v>
      </c>
    </row>
    <row r="61" spans="1:17" x14ac:dyDescent="0.25">
      <c r="A61" s="1">
        <v>103</v>
      </c>
      <c r="B61" s="1">
        <v>58</v>
      </c>
      <c r="C61" s="2" t="s">
        <v>3929</v>
      </c>
      <c r="D61" s="2" t="s">
        <v>3923</v>
      </c>
      <c r="E61" s="2" t="s">
        <v>3930</v>
      </c>
      <c r="F61" s="2">
        <v>150</v>
      </c>
      <c r="G61" s="2" t="s">
        <v>3842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3925</v>
      </c>
      <c r="N61" s="4"/>
      <c r="O61" s="5">
        <v>50</v>
      </c>
      <c r="P61" s="4"/>
      <c r="Q61" s="21" t="str">
        <f>VLOOKUP(tblProductos[[#This Row],[id_proveedor]],tblProveedores[[#All],[id]:[nombre]],2,0)</f>
        <v>WILSON ROJAS</v>
      </c>
    </row>
    <row r="62" spans="1:17" x14ac:dyDescent="0.25">
      <c r="A62" s="1">
        <v>104</v>
      </c>
      <c r="B62" s="1">
        <v>58</v>
      </c>
      <c r="C62" s="2" t="s">
        <v>3931</v>
      </c>
      <c r="D62" s="2" t="s">
        <v>3923</v>
      </c>
      <c r="E62" s="2" t="s">
        <v>3894</v>
      </c>
      <c r="F62" s="2">
        <v>100</v>
      </c>
      <c r="G62" s="2" t="s">
        <v>3842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3925</v>
      </c>
      <c r="N62" s="4"/>
      <c r="O62" s="5">
        <v>100</v>
      </c>
      <c r="P62" s="4"/>
      <c r="Q62" s="21" t="str">
        <f>VLOOKUP(tblProductos[[#This Row],[id_proveedor]],tblProveedores[[#All],[id]:[nombre]],2,0)</f>
        <v>WILSON ROJAS</v>
      </c>
    </row>
    <row r="63" spans="1:17" x14ac:dyDescent="0.25">
      <c r="A63" s="1">
        <v>105</v>
      </c>
      <c r="B63" s="1">
        <v>58</v>
      </c>
      <c r="C63" s="2" t="s">
        <v>3932</v>
      </c>
      <c r="D63" s="2" t="s">
        <v>3923</v>
      </c>
      <c r="E63" s="2" t="s">
        <v>3933</v>
      </c>
      <c r="F63" s="2">
        <v>80</v>
      </c>
      <c r="G63" s="2" t="s">
        <v>3842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3925</v>
      </c>
      <c r="N63" s="4"/>
      <c r="O63" s="5">
        <v>10</v>
      </c>
      <c r="P63" s="4"/>
      <c r="Q63" s="21" t="str">
        <f>VLOOKUP(tblProductos[[#This Row],[id_proveedor]],tblProveedores[[#All],[id]:[nombre]],2,0)</f>
        <v>WILSON ROJAS</v>
      </c>
    </row>
    <row r="64" spans="1:17" x14ac:dyDescent="0.25">
      <c r="A64" s="1">
        <v>106</v>
      </c>
      <c r="B64" s="1">
        <v>58</v>
      </c>
      <c r="C64" s="2" t="s">
        <v>3934</v>
      </c>
      <c r="D64" s="2" t="s">
        <v>3923</v>
      </c>
      <c r="E64" s="2" t="s">
        <v>3935</v>
      </c>
      <c r="F64" s="2">
        <v>50</v>
      </c>
      <c r="G64" s="2" t="s">
        <v>3842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3925</v>
      </c>
      <c r="N64" s="4"/>
      <c r="O64" s="5">
        <v>80</v>
      </c>
      <c r="P64" s="4"/>
      <c r="Q64" s="21" t="str">
        <f>VLOOKUP(tblProductos[[#This Row],[id_proveedor]],tblProveedores[[#All],[id]:[nombre]],2,0)</f>
        <v>WILSON ROJAS</v>
      </c>
    </row>
    <row r="65" spans="1:17" x14ac:dyDescent="0.25">
      <c r="A65" s="1">
        <v>107</v>
      </c>
      <c r="B65" s="1">
        <v>58</v>
      </c>
      <c r="C65" s="2" t="s">
        <v>3936</v>
      </c>
      <c r="D65" s="2" t="s">
        <v>3923</v>
      </c>
      <c r="E65" s="2" t="s">
        <v>3935</v>
      </c>
      <c r="F65" s="2">
        <v>50</v>
      </c>
      <c r="G65" s="2" t="s">
        <v>3842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3925</v>
      </c>
      <c r="N65" s="4"/>
      <c r="O65" s="5">
        <v>50</v>
      </c>
      <c r="P65" s="4"/>
      <c r="Q65" s="21" t="str">
        <f>VLOOKUP(tblProductos[[#This Row],[id_proveedor]],tblProveedores[[#All],[id]:[nombre]],2,0)</f>
        <v>WILSON ROJAS</v>
      </c>
    </row>
    <row r="66" spans="1:17" x14ac:dyDescent="0.25">
      <c r="A66" s="1">
        <v>108</v>
      </c>
      <c r="B66" s="1">
        <v>58</v>
      </c>
      <c r="C66" s="2" t="s">
        <v>3937</v>
      </c>
      <c r="D66" s="2" t="s">
        <v>3923</v>
      </c>
      <c r="E66" s="2" t="s">
        <v>3938</v>
      </c>
      <c r="F66" s="2">
        <v>30</v>
      </c>
      <c r="G66" s="2" t="s">
        <v>3842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3925</v>
      </c>
      <c r="N66" s="4"/>
      <c r="O66" s="5">
        <v>80</v>
      </c>
      <c r="P66" s="4"/>
      <c r="Q66" s="21" t="str">
        <f>VLOOKUP(tblProductos[[#This Row],[id_proveedor]],tblProveedores[[#All],[id]:[nombre]],2,0)</f>
        <v>WILSON ROJAS</v>
      </c>
    </row>
    <row r="67" spans="1:17" x14ac:dyDescent="0.25">
      <c r="A67" s="1">
        <v>109</v>
      </c>
      <c r="B67" s="1">
        <v>58</v>
      </c>
      <c r="C67" s="2" t="s">
        <v>3939</v>
      </c>
      <c r="D67" s="2" t="s">
        <v>3923</v>
      </c>
      <c r="E67" s="2" t="s">
        <v>3938</v>
      </c>
      <c r="F67" s="2">
        <v>30</v>
      </c>
      <c r="G67" s="2" t="s">
        <v>3842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3925</v>
      </c>
      <c r="N67" s="4"/>
      <c r="O67" s="5">
        <v>50</v>
      </c>
      <c r="P67" s="4"/>
      <c r="Q67" s="21" t="str">
        <f>VLOOKUP(tblProductos[[#This Row],[id_proveedor]],tblProveedores[[#All],[id]:[nombre]],2,0)</f>
        <v>WILSON ROJAS</v>
      </c>
    </row>
    <row r="68" spans="1:17" x14ac:dyDescent="0.25">
      <c r="A68" s="1">
        <v>111</v>
      </c>
      <c r="B68" s="1">
        <v>58</v>
      </c>
      <c r="C68" s="2" t="s">
        <v>3940</v>
      </c>
      <c r="D68" s="2" t="s">
        <v>3923</v>
      </c>
      <c r="E68" s="2" t="s">
        <v>3941</v>
      </c>
      <c r="F68" s="2">
        <v>25</v>
      </c>
      <c r="G68" s="2" t="s">
        <v>3842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3925</v>
      </c>
      <c r="N68" s="4"/>
      <c r="O68" s="5">
        <v>2</v>
      </c>
      <c r="P68" s="4"/>
      <c r="Q68" s="21" t="str">
        <f>VLOOKUP(tblProductos[[#This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3942</v>
      </c>
      <c r="D69" s="2" t="s">
        <v>3841</v>
      </c>
      <c r="E69" s="2"/>
      <c r="F69" s="2">
        <v>50</v>
      </c>
      <c r="G69" s="2" t="s">
        <v>3842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3943</v>
      </c>
      <c r="N69" s="4"/>
      <c r="O69" s="5"/>
      <c r="P69" s="4"/>
      <c r="Q69" s="21" t="str">
        <f>VLOOKUP(tblProductos[[#This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3944</v>
      </c>
      <c r="D70" s="2" t="s">
        <v>3841</v>
      </c>
      <c r="E70" s="2"/>
      <c r="F70" s="2">
        <v>100</v>
      </c>
      <c r="G70" s="2" t="s">
        <v>3842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3943</v>
      </c>
      <c r="N70" s="4"/>
      <c r="O70" s="5">
        <v>1</v>
      </c>
      <c r="P70" s="4"/>
      <c r="Q70" s="21" t="str">
        <f>VLOOKUP(tblProductos[[#This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3945</v>
      </c>
      <c r="D71" s="2" t="s">
        <v>3841</v>
      </c>
      <c r="E71" s="2"/>
      <c r="F71" s="2">
        <v>50</v>
      </c>
      <c r="G71" s="2" t="s">
        <v>3842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3943</v>
      </c>
      <c r="N71" s="4"/>
      <c r="O71" s="5"/>
      <c r="P71" s="4"/>
      <c r="Q71" s="21" t="str">
        <f>VLOOKUP(tblProductos[[#This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3946</v>
      </c>
      <c r="D72" s="2" t="s">
        <v>3841</v>
      </c>
      <c r="E72" s="2"/>
      <c r="F72" s="2">
        <v>500</v>
      </c>
      <c r="G72" s="2" t="s">
        <v>3873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3868</v>
      </c>
      <c r="N72" s="4"/>
      <c r="O72" s="5"/>
      <c r="P72" s="4"/>
      <c r="Q72" s="21" t="str">
        <f>VLOOKUP(tblProductos[[#This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3947</v>
      </c>
      <c r="D73" s="2" t="s">
        <v>3841</v>
      </c>
      <c r="E73" s="2"/>
      <c r="F73" s="2">
        <v>500</v>
      </c>
      <c r="G73" s="2" t="s">
        <v>3873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3868</v>
      </c>
      <c r="N73" s="4"/>
      <c r="O73" s="5">
        <v>4</v>
      </c>
      <c r="P73" s="4"/>
      <c r="Q73" s="21" t="str">
        <f>VLOOKUP(tblProductos[[#This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3948</v>
      </c>
      <c r="D74" s="2" t="s">
        <v>3841</v>
      </c>
      <c r="E74" s="2" t="s">
        <v>3875</v>
      </c>
      <c r="F74" s="2">
        <v>1000</v>
      </c>
      <c r="G74" s="2" t="s">
        <v>3873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3868</v>
      </c>
      <c r="N74" s="4"/>
      <c r="O74" s="5"/>
      <c r="P74" s="4"/>
      <c r="Q74" s="21" t="str">
        <f>VLOOKUP(tblProductos[[#This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3949</v>
      </c>
      <c r="D75" s="2" t="s">
        <v>3841</v>
      </c>
      <c r="E75" s="2" t="s">
        <v>3877</v>
      </c>
      <c r="F75" s="2">
        <v>1000</v>
      </c>
      <c r="G75" s="2" t="s">
        <v>3873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3868</v>
      </c>
      <c r="N75" s="4"/>
      <c r="O75" s="5"/>
      <c r="P75" s="4"/>
      <c r="Q75" s="21" t="str">
        <f>VLOOKUP(tblProductos[[#This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3950</v>
      </c>
      <c r="D76" s="2" t="s">
        <v>3841</v>
      </c>
      <c r="E76" s="2" t="s">
        <v>3879</v>
      </c>
      <c r="F76" s="2">
        <v>1000</v>
      </c>
      <c r="G76" s="2" t="s">
        <v>3873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3868</v>
      </c>
      <c r="N76" s="4"/>
      <c r="O76" s="5">
        <v>2</v>
      </c>
      <c r="P76" s="4"/>
      <c r="Q76" s="21" t="str">
        <f>VLOOKUP(tblProductos[[#This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3951</v>
      </c>
      <c r="D77" s="2" t="s">
        <v>3841</v>
      </c>
      <c r="E77" s="2"/>
      <c r="F77" s="2">
        <v>50</v>
      </c>
      <c r="G77" s="2" t="s">
        <v>3842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3843</v>
      </c>
      <c r="N77" s="4"/>
      <c r="O77" s="5"/>
      <c r="P77" s="4"/>
      <c r="Q77" s="21" t="str">
        <f>VLOOKUP(tblProductos[[#This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3952</v>
      </c>
      <c r="D78" s="2" t="s">
        <v>3841</v>
      </c>
      <c r="E78" s="2"/>
      <c r="F78" s="2">
        <v>50</v>
      </c>
      <c r="G78" s="2" t="s">
        <v>3842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3843</v>
      </c>
      <c r="N78" s="4"/>
      <c r="O78" s="5">
        <v>400</v>
      </c>
      <c r="P78" s="4"/>
      <c r="Q78" s="21" t="str">
        <f>VLOOKUP(tblProductos[[#This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3953</v>
      </c>
      <c r="D79" s="2" t="s">
        <v>3841</v>
      </c>
      <c r="E79" s="2" t="s">
        <v>3875</v>
      </c>
      <c r="F79" s="2">
        <v>5000</v>
      </c>
      <c r="G79" s="2" t="s">
        <v>3873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3868</v>
      </c>
      <c r="N79" s="4"/>
      <c r="O79" s="5">
        <v>10</v>
      </c>
      <c r="P79" s="4"/>
      <c r="Q79" s="21" t="str">
        <f>VLOOKUP(tblProductos[[#This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3954</v>
      </c>
      <c r="D80" s="2" t="s">
        <v>3841</v>
      </c>
      <c r="E80" s="2" t="s">
        <v>3875</v>
      </c>
      <c r="F80" s="2">
        <v>1000</v>
      </c>
      <c r="G80" s="2" t="s">
        <v>3873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3868</v>
      </c>
      <c r="N80" s="4"/>
      <c r="O80" s="5"/>
      <c r="P80" s="4"/>
      <c r="Q80" s="21" t="str">
        <f>VLOOKUP(tblProductos[[#This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3955</v>
      </c>
      <c r="D81" s="2" t="s">
        <v>3841</v>
      </c>
      <c r="E81" s="2" t="s">
        <v>3877</v>
      </c>
      <c r="F81" s="2">
        <v>1000</v>
      </c>
      <c r="G81" s="2" t="s">
        <v>3873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3868</v>
      </c>
      <c r="N81" s="4"/>
      <c r="O81" s="5"/>
      <c r="P81" s="4"/>
      <c r="Q81" s="21" t="str">
        <f>VLOOKUP(tblProductos[[#This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3956</v>
      </c>
      <c r="D82" s="2" t="s">
        <v>3841</v>
      </c>
      <c r="E82" s="2" t="s">
        <v>3879</v>
      </c>
      <c r="F82" s="2">
        <v>1000</v>
      </c>
      <c r="G82" s="2" t="s">
        <v>3873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3868</v>
      </c>
      <c r="N82" s="4"/>
      <c r="O82" s="5">
        <v>2</v>
      </c>
      <c r="P82" s="4"/>
      <c r="Q82" s="21" t="str">
        <f>VLOOKUP(tblProductos[[#This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3957</v>
      </c>
      <c r="D83" s="2" t="s">
        <v>3841</v>
      </c>
      <c r="E83" s="2"/>
      <c r="F83" s="2">
        <v>50</v>
      </c>
      <c r="G83" s="2" t="s">
        <v>3842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3843</v>
      </c>
      <c r="N83" s="4"/>
      <c r="O83" s="5"/>
      <c r="P83" s="4"/>
      <c r="Q83" s="21" t="str">
        <f>VLOOKUP(tblProductos[[#This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3958</v>
      </c>
      <c r="D84" s="2" t="s">
        <v>3841</v>
      </c>
      <c r="E84" s="2" t="s">
        <v>3875</v>
      </c>
      <c r="F84" s="2">
        <v>2000</v>
      </c>
      <c r="G84" s="2" t="s">
        <v>3886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3882</v>
      </c>
      <c r="N84" s="4"/>
      <c r="O84" s="5"/>
      <c r="P84" s="4"/>
      <c r="Q84" s="21" t="str">
        <f>VLOOKUP(tblProductos[[#This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3959</v>
      </c>
      <c r="D85" s="2" t="s">
        <v>3841</v>
      </c>
      <c r="E85" s="2" t="s">
        <v>3877</v>
      </c>
      <c r="F85" s="2">
        <v>1000</v>
      </c>
      <c r="G85" s="2" t="s">
        <v>3886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3882</v>
      </c>
      <c r="N85" s="4"/>
      <c r="O85" s="5"/>
      <c r="P85" s="4"/>
      <c r="Q85" s="21" t="str">
        <f>VLOOKUP(tblProductos[[#This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3960</v>
      </c>
      <c r="D86" s="2" t="s">
        <v>3841</v>
      </c>
      <c r="E86" s="2" t="s">
        <v>3879</v>
      </c>
      <c r="F86" s="2">
        <v>1200</v>
      </c>
      <c r="G86" s="2" t="s">
        <v>3886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3882</v>
      </c>
      <c r="N86" s="4"/>
      <c r="O86" s="5"/>
      <c r="P86" s="4"/>
      <c r="Q86" s="21" t="str">
        <f>VLOOKUP(tblProductos[[#This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3961</v>
      </c>
      <c r="D87" s="2" t="s">
        <v>3841</v>
      </c>
      <c r="E87" s="2" t="s">
        <v>3889</v>
      </c>
      <c r="F87" s="2">
        <v>1000</v>
      </c>
      <c r="G87" s="2" t="s">
        <v>3886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3882</v>
      </c>
      <c r="N87" s="4"/>
      <c r="O87" s="5"/>
      <c r="P87" s="4"/>
      <c r="Q87" s="21" t="str">
        <f>VLOOKUP(tblProductos[[#This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3962</v>
      </c>
      <c r="D88" s="2" t="s">
        <v>3841</v>
      </c>
      <c r="E88" s="2" t="s">
        <v>3877</v>
      </c>
      <c r="F88" s="2">
        <v>500</v>
      </c>
      <c r="G88" s="2" t="s">
        <v>3886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3882</v>
      </c>
      <c r="N88" s="4"/>
      <c r="O88" s="5"/>
      <c r="P88" s="4"/>
      <c r="Q88" s="21" t="str">
        <f>VLOOKUP(tblProductos[[#This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3963</v>
      </c>
      <c r="D89" s="2" t="s">
        <v>3841</v>
      </c>
      <c r="E89" s="2" t="s">
        <v>3879</v>
      </c>
      <c r="F89" s="2">
        <v>500</v>
      </c>
      <c r="G89" s="2" t="s">
        <v>3886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3882</v>
      </c>
      <c r="N89" s="4"/>
      <c r="O89" s="5"/>
      <c r="P89" s="4"/>
      <c r="Q89" s="21" t="str">
        <f>VLOOKUP(tblProductos[[#This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3964</v>
      </c>
      <c r="D90" s="2" t="s">
        <v>3841</v>
      </c>
      <c r="E90" s="2" t="s">
        <v>3889</v>
      </c>
      <c r="F90" s="2">
        <v>500</v>
      </c>
      <c r="G90" s="2" t="s">
        <v>3886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3882</v>
      </c>
      <c r="N90" s="4"/>
      <c r="O90" s="5"/>
      <c r="P90" s="4"/>
      <c r="Q90" s="21" t="str">
        <f>VLOOKUP(tblProductos[[#This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3958</v>
      </c>
      <c r="D91" s="2" t="s">
        <v>3841</v>
      </c>
      <c r="E91" s="2" t="s">
        <v>3875</v>
      </c>
      <c r="F91" s="2">
        <v>1000</v>
      </c>
      <c r="G91" s="2" t="s">
        <v>3886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3882</v>
      </c>
      <c r="N91" s="4"/>
      <c r="O91" s="5"/>
      <c r="P91" s="4"/>
      <c r="Q91" s="21" t="str">
        <f>VLOOKUP(tblProductos[[#This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3959</v>
      </c>
      <c r="D92" s="2" t="s">
        <v>3841</v>
      </c>
      <c r="E92" s="2" t="s">
        <v>3877</v>
      </c>
      <c r="F92" s="2">
        <v>500</v>
      </c>
      <c r="G92" s="2" t="s">
        <v>3886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3882</v>
      </c>
      <c r="N92" s="4"/>
      <c r="O92" s="5"/>
      <c r="P92" s="4"/>
      <c r="Q92" s="21" t="str">
        <f>VLOOKUP(tblProductos[[#This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3960</v>
      </c>
      <c r="D93" s="2" t="s">
        <v>3841</v>
      </c>
      <c r="E93" s="2" t="s">
        <v>3879</v>
      </c>
      <c r="F93" s="2">
        <v>500</v>
      </c>
      <c r="G93" s="2" t="s">
        <v>3886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3882</v>
      </c>
      <c r="N93" s="4"/>
      <c r="O93" s="5"/>
      <c r="P93" s="4"/>
      <c r="Q93" s="21" t="str">
        <f>VLOOKUP(tblProductos[[#This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3961</v>
      </c>
      <c r="D94" s="2" t="s">
        <v>3841</v>
      </c>
      <c r="E94" s="2" t="s">
        <v>3889</v>
      </c>
      <c r="F94" s="2">
        <v>500</v>
      </c>
      <c r="G94" s="2" t="s">
        <v>3886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3882</v>
      </c>
      <c r="N94" s="4"/>
      <c r="O94" s="5"/>
      <c r="P94" s="4"/>
      <c r="Q94" s="21" t="str">
        <f>VLOOKUP(tblProductos[[#This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3965</v>
      </c>
      <c r="D95" s="2" t="s">
        <v>3841</v>
      </c>
      <c r="E95" s="2" t="s">
        <v>3875</v>
      </c>
      <c r="F95" s="2">
        <v>500</v>
      </c>
      <c r="G95" s="2" t="s">
        <v>3886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3882</v>
      </c>
      <c r="N95" s="4"/>
      <c r="O95" s="5"/>
      <c r="P95" s="4"/>
      <c r="Q95" s="21" t="str">
        <f>VLOOKUP(tblProductos[[#This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3966</v>
      </c>
      <c r="D96" s="2" t="s">
        <v>3888</v>
      </c>
      <c r="E96" s="2" t="s">
        <v>3967</v>
      </c>
      <c r="F96" s="2">
        <v>100</v>
      </c>
      <c r="G96" s="2" t="s">
        <v>3842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3843</v>
      </c>
      <c r="N96" s="4"/>
      <c r="O96" s="5"/>
      <c r="P96" s="4"/>
      <c r="Q96" s="21" t="str">
        <f>VLOOKUP(tblProductos[[#This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3968</v>
      </c>
      <c r="D97" s="2" t="s">
        <v>3888</v>
      </c>
      <c r="E97" s="2" t="s">
        <v>3967</v>
      </c>
      <c r="F97" s="2">
        <v>100</v>
      </c>
      <c r="G97" s="2" t="s">
        <v>3842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3843</v>
      </c>
      <c r="N97" s="4"/>
      <c r="O97" s="5"/>
      <c r="P97" s="4"/>
      <c r="Q97" s="21" t="str">
        <f>VLOOKUP(tblProductos[[#This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3969</v>
      </c>
      <c r="D98" s="2" t="s">
        <v>3841</v>
      </c>
      <c r="E98" s="2" t="s">
        <v>3872</v>
      </c>
      <c r="F98" s="2">
        <v>500</v>
      </c>
      <c r="G98" s="2" t="s">
        <v>3886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3882</v>
      </c>
      <c r="N98" s="4"/>
      <c r="O98" s="5"/>
      <c r="P98" s="4"/>
      <c r="Q98" s="21" t="str">
        <f>VLOOKUP(tblProductos[[#This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3970</v>
      </c>
      <c r="D99" s="2" t="s">
        <v>3841</v>
      </c>
      <c r="E99" s="2" t="s">
        <v>3875</v>
      </c>
      <c r="F99" s="2">
        <v>500</v>
      </c>
      <c r="G99" s="2" t="s">
        <v>3886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3882</v>
      </c>
      <c r="N99" s="4"/>
      <c r="O99" s="5"/>
      <c r="P99" s="4"/>
      <c r="Q99" s="21" t="str">
        <f>VLOOKUP(tblProductos[[#This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3969</v>
      </c>
      <c r="D100" s="2" t="s">
        <v>3841</v>
      </c>
      <c r="E100" s="2" t="s">
        <v>3872</v>
      </c>
      <c r="F100" s="2">
        <v>500</v>
      </c>
      <c r="G100" s="2" t="s">
        <v>3886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3882</v>
      </c>
      <c r="N100" s="4"/>
      <c r="O100" s="5"/>
      <c r="P100" s="4"/>
      <c r="Q100" s="21" t="str">
        <f>VLOOKUP(tblProductos[[#This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3970</v>
      </c>
      <c r="D101" s="2" t="s">
        <v>3841</v>
      </c>
      <c r="E101" s="2" t="s">
        <v>3875</v>
      </c>
      <c r="F101" s="2">
        <v>500</v>
      </c>
      <c r="G101" s="2" t="s">
        <v>3886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3882</v>
      </c>
      <c r="N101" s="4"/>
      <c r="O101" s="5">
        <v>60</v>
      </c>
      <c r="P101" s="4"/>
      <c r="Q101" s="21" t="str">
        <f>VLOOKUP(tblProductos[[#This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3971</v>
      </c>
      <c r="D102" s="2" t="s">
        <v>3841</v>
      </c>
      <c r="E102" s="2"/>
      <c r="F102" s="2">
        <v>50</v>
      </c>
      <c r="G102" s="2" t="s">
        <v>3842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3843</v>
      </c>
      <c r="N102" s="4"/>
      <c r="O102" s="5"/>
      <c r="P102" s="4"/>
      <c r="Q102" s="21" t="str">
        <f>VLOOKUP(tblProductos[[#This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3972</v>
      </c>
      <c r="D103" s="2" t="s">
        <v>3841</v>
      </c>
      <c r="E103" s="2"/>
      <c r="F103" s="2">
        <v>50</v>
      </c>
      <c r="G103" s="2" t="s">
        <v>3842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3843</v>
      </c>
      <c r="N103" s="4"/>
      <c r="O103" s="5"/>
      <c r="P103" s="4"/>
      <c r="Q103" s="21" t="str">
        <f>VLOOKUP(tblProductos[[#This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3973</v>
      </c>
      <c r="D104" s="2" t="s">
        <v>3841</v>
      </c>
      <c r="E104" s="2" t="s">
        <v>3897</v>
      </c>
      <c r="F104" s="2">
        <v>10000</v>
      </c>
      <c r="G104" s="2" t="s">
        <v>3867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3895</v>
      </c>
      <c r="N104" s="4"/>
      <c r="O104" s="5"/>
      <c r="P104" s="4"/>
      <c r="Q104" s="21" t="str">
        <f>VLOOKUP(tblProductos[[#This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3974</v>
      </c>
      <c r="D105" s="2" t="s">
        <v>3841</v>
      </c>
      <c r="E105" s="2" t="s">
        <v>3901</v>
      </c>
      <c r="F105" s="2">
        <v>3000</v>
      </c>
      <c r="G105" s="2" t="s">
        <v>3867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3895</v>
      </c>
      <c r="N105" s="4"/>
      <c r="O105" s="5"/>
      <c r="P105" s="4"/>
      <c r="Q105" s="21" t="str">
        <f>VLOOKUP(tblProductos[[#This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3975</v>
      </c>
      <c r="D106" s="2" t="s">
        <v>3976</v>
      </c>
      <c r="E106" s="2" t="s">
        <v>3897</v>
      </c>
      <c r="F106" s="2">
        <v>4000</v>
      </c>
      <c r="G106" s="2" t="s">
        <v>3867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3895</v>
      </c>
      <c r="N106" s="4"/>
      <c r="O106" s="5"/>
      <c r="P106" s="4"/>
      <c r="Q106" s="21" t="str">
        <f>VLOOKUP(tblProductos[[#This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3973</v>
      </c>
      <c r="D107" s="2" t="s">
        <v>3976</v>
      </c>
      <c r="E107" s="2" t="s">
        <v>3897</v>
      </c>
      <c r="F107" s="2">
        <v>10000</v>
      </c>
      <c r="G107" s="2" t="s">
        <v>3867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3895</v>
      </c>
      <c r="N107" s="4"/>
      <c r="O107" s="5"/>
      <c r="P107" s="4"/>
      <c r="Q107" s="21" t="str">
        <f>VLOOKUP(tblProductos[[#This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3974</v>
      </c>
      <c r="D108" s="2" t="s">
        <v>3976</v>
      </c>
      <c r="E108" s="2" t="s">
        <v>3901</v>
      </c>
      <c r="F108" s="2">
        <v>3000</v>
      </c>
      <c r="G108" s="2" t="s">
        <v>3867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3895</v>
      </c>
      <c r="N108" s="4"/>
      <c r="O108" s="5"/>
      <c r="P108" s="4"/>
      <c r="Q108" s="21" t="str">
        <f>VLOOKUP(tblProductos[[#This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3975</v>
      </c>
      <c r="D109" s="2" t="s">
        <v>3841</v>
      </c>
      <c r="E109" s="2" t="s">
        <v>3897</v>
      </c>
      <c r="F109" s="2">
        <v>4000</v>
      </c>
      <c r="G109" s="2" t="s">
        <v>3867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3895</v>
      </c>
      <c r="N109" s="4"/>
      <c r="O109" s="5"/>
      <c r="P109" s="4"/>
      <c r="Q109" s="21" t="str">
        <f>VLOOKUP(tblProductos[[#This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3977</v>
      </c>
      <c r="D110" s="2" t="s">
        <v>3976</v>
      </c>
      <c r="E110" s="2" t="s">
        <v>3894</v>
      </c>
      <c r="F110" s="2">
        <v>4000</v>
      </c>
      <c r="G110" s="2" t="s">
        <v>3867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3895</v>
      </c>
      <c r="N110" s="4"/>
      <c r="O110" s="5"/>
      <c r="P110" s="4"/>
      <c r="Q110" s="21" t="str">
        <f>VLOOKUP(tblProductos[[#This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3978</v>
      </c>
      <c r="D111" s="2" t="s">
        <v>3976</v>
      </c>
      <c r="E111" s="2" t="s">
        <v>3897</v>
      </c>
      <c r="F111" s="2">
        <v>5000</v>
      </c>
      <c r="G111" s="2" t="s">
        <v>3867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3895</v>
      </c>
      <c r="N111" s="4"/>
      <c r="O111" s="5"/>
      <c r="P111" s="4"/>
      <c r="Q111" s="21" t="str">
        <f>VLOOKUP(tblProductos[[#This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3979</v>
      </c>
      <c r="D112" s="2" t="s">
        <v>3976</v>
      </c>
      <c r="E112" s="2" t="s">
        <v>3897</v>
      </c>
      <c r="F112" s="2">
        <v>3500</v>
      </c>
      <c r="G112" s="2" t="s">
        <v>3867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3895</v>
      </c>
      <c r="N112" s="4"/>
      <c r="O112" s="5"/>
      <c r="P112" s="4"/>
      <c r="Q112" s="21" t="str">
        <f>VLOOKUP(tblProductos[[#This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3980</v>
      </c>
      <c r="D113" s="2" t="s">
        <v>3976</v>
      </c>
      <c r="E113" s="2" t="s">
        <v>3897</v>
      </c>
      <c r="F113" s="2">
        <v>3500</v>
      </c>
      <c r="G113" s="2" t="s">
        <v>3867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3895</v>
      </c>
      <c r="N113" s="4"/>
      <c r="O113" s="5"/>
      <c r="P113" s="4"/>
      <c r="Q113" s="21" t="str">
        <f>VLOOKUP(tblProductos[[#This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3981</v>
      </c>
      <c r="D114" s="2" t="s">
        <v>3841</v>
      </c>
      <c r="E114" s="2" t="s">
        <v>3901</v>
      </c>
      <c r="F114" s="2">
        <v>4000</v>
      </c>
      <c r="G114" s="2" t="s">
        <v>3867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3895</v>
      </c>
      <c r="N114" s="4"/>
      <c r="O114" s="5"/>
      <c r="P114" s="4"/>
      <c r="Q114" s="21" t="str">
        <f>VLOOKUP(tblProductos[[#This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3981</v>
      </c>
      <c r="D115" s="2" t="s">
        <v>3976</v>
      </c>
      <c r="E115" s="2" t="s">
        <v>3901</v>
      </c>
      <c r="F115" s="2">
        <v>4000</v>
      </c>
      <c r="G115" s="2" t="s">
        <v>3867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3895</v>
      </c>
      <c r="N115" s="4"/>
      <c r="O115" s="5"/>
      <c r="P115" s="4"/>
      <c r="Q115" s="21" t="str">
        <f>VLOOKUP(tblProductos[[#This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3114</v>
      </c>
      <c r="D116" s="2" t="s">
        <v>3841</v>
      </c>
      <c r="E116" s="2"/>
      <c r="F116" s="2">
        <v>100</v>
      </c>
      <c r="G116" s="2" t="s">
        <v>3842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3843</v>
      </c>
      <c r="N116" s="4"/>
      <c r="O116" s="5">
        <v>300</v>
      </c>
      <c r="P116" s="4"/>
      <c r="Q116" s="21" t="str">
        <f>VLOOKUP(tblProductos[[#This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3982</v>
      </c>
      <c r="D117" s="2" t="s">
        <v>3841</v>
      </c>
      <c r="E117" s="2"/>
      <c r="F117" s="2">
        <v>500</v>
      </c>
      <c r="G117" s="2" t="s">
        <v>3873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3868</v>
      </c>
      <c r="N117" s="4"/>
      <c r="O117" s="5"/>
      <c r="P117" s="4"/>
      <c r="Q117" s="21" t="str">
        <f>VLOOKUP(tblProductos[[#This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3983</v>
      </c>
      <c r="D118" s="2" t="s">
        <v>3841</v>
      </c>
      <c r="E118" s="2"/>
      <c r="F118" s="2">
        <v>500</v>
      </c>
      <c r="G118" s="2" t="s">
        <v>3873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3868</v>
      </c>
      <c r="N118" s="4"/>
      <c r="O118" s="5"/>
      <c r="P118" s="4"/>
      <c r="Q118" s="21" t="str">
        <f>VLOOKUP(tblProductos[[#This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3984</v>
      </c>
      <c r="D119" s="2" t="s">
        <v>3841</v>
      </c>
      <c r="E119" s="2"/>
      <c r="F119" s="2">
        <v>100</v>
      </c>
      <c r="G119" s="2" t="s">
        <v>3842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3843</v>
      </c>
      <c r="N119" s="4"/>
      <c r="O119" s="5">
        <v>20</v>
      </c>
      <c r="P119" s="4"/>
      <c r="Q119" s="21" t="str">
        <f>VLOOKUP(tblProductos[[#This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3985</v>
      </c>
      <c r="D120" s="2" t="s">
        <v>3841</v>
      </c>
      <c r="E120" s="2" t="s">
        <v>3872</v>
      </c>
      <c r="F120" s="2">
        <v>3000</v>
      </c>
      <c r="G120" s="2" t="s">
        <v>3873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3868</v>
      </c>
      <c r="N120" s="4"/>
      <c r="O120" s="5"/>
      <c r="P120" s="4"/>
      <c r="Q120" s="21" t="str">
        <f>VLOOKUP(tblProductos[[#This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3986</v>
      </c>
      <c r="D121" s="2" t="s">
        <v>3841</v>
      </c>
      <c r="E121" s="2" t="s">
        <v>3875</v>
      </c>
      <c r="F121" s="2">
        <v>3000</v>
      </c>
      <c r="G121" s="2" t="s">
        <v>3873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3868</v>
      </c>
      <c r="N121" s="4"/>
      <c r="O121" s="5">
        <v>4</v>
      </c>
      <c r="P121" s="4"/>
      <c r="Q121" s="21" t="str">
        <f>VLOOKUP(tblProductos[[#This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3987</v>
      </c>
      <c r="D122" s="2" t="s">
        <v>3841</v>
      </c>
      <c r="E122" s="2" t="s">
        <v>3877</v>
      </c>
      <c r="F122" s="2">
        <v>3000</v>
      </c>
      <c r="G122" s="2" t="s">
        <v>3873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3868</v>
      </c>
      <c r="N122" s="4"/>
      <c r="O122" s="5">
        <v>1</v>
      </c>
      <c r="P122" s="4"/>
      <c r="Q122" s="21" t="str">
        <f>VLOOKUP(tblProductos[[#This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3988</v>
      </c>
      <c r="D123" s="2" t="s">
        <v>3841</v>
      </c>
      <c r="E123" s="2" t="s">
        <v>3879</v>
      </c>
      <c r="F123" s="2">
        <v>3000</v>
      </c>
      <c r="G123" s="2" t="s">
        <v>3873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3868</v>
      </c>
      <c r="N123" s="4"/>
      <c r="O123" s="5">
        <v>3</v>
      </c>
      <c r="P123" s="4"/>
      <c r="Q123" s="21" t="str">
        <f>VLOOKUP(tblProductos[[#This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3989</v>
      </c>
      <c r="D124" s="2" t="s">
        <v>3841</v>
      </c>
      <c r="E124" s="2" t="s">
        <v>3889</v>
      </c>
      <c r="F124" s="2">
        <v>3000</v>
      </c>
      <c r="G124" s="2" t="s">
        <v>3873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3868</v>
      </c>
      <c r="N124" s="4"/>
      <c r="O124" s="5"/>
      <c r="P124" s="4"/>
      <c r="Q124" s="21" t="str">
        <f>VLOOKUP(tblProductos[[#This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3990</v>
      </c>
      <c r="D125" s="2" t="s">
        <v>3841</v>
      </c>
      <c r="E125" s="2" t="s">
        <v>3889</v>
      </c>
      <c r="F125" s="2">
        <v>250</v>
      </c>
      <c r="G125" s="2" t="s">
        <v>3867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3895</v>
      </c>
      <c r="N125" s="4"/>
      <c r="O125" s="5"/>
      <c r="P125" s="4"/>
      <c r="Q125" s="21" t="str">
        <f>VLOOKUP(tblProductos[[#This Row],[id_proveedor]],tblProveedores[[#All],[id]:[nombre]],2,0)</f>
        <v>GLORIA</v>
      </c>
    </row>
    <row r="126" spans="1:17" x14ac:dyDescent="0.25">
      <c r="A126" s="1">
        <v>177</v>
      </c>
      <c r="B126" s="1">
        <v>58</v>
      </c>
      <c r="C126" s="2" t="s">
        <v>3991</v>
      </c>
      <c r="D126" s="2" t="s">
        <v>3992</v>
      </c>
      <c r="E126" s="2" t="s">
        <v>3941</v>
      </c>
      <c r="F126" s="2">
        <v>7200</v>
      </c>
      <c r="G126" s="2" t="s">
        <v>3886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3913</v>
      </c>
      <c r="N126" s="4"/>
      <c r="O126" s="5"/>
      <c r="P126" s="4"/>
      <c r="Q126" s="21" t="str">
        <f>VLOOKUP(tblProductos[[#This Row],[id_proveedor]],tblProveedores[[#All],[id]:[nombre]],2,0)</f>
        <v>WILSON ROJAS</v>
      </c>
    </row>
    <row r="127" spans="1:17" x14ac:dyDescent="0.25">
      <c r="A127" s="1">
        <v>178</v>
      </c>
      <c r="B127" s="1">
        <v>58</v>
      </c>
      <c r="C127" s="2" t="s">
        <v>3993</v>
      </c>
      <c r="D127" s="2" t="s">
        <v>3992</v>
      </c>
      <c r="E127" s="2" t="s">
        <v>3941</v>
      </c>
      <c r="F127" s="2">
        <v>10080</v>
      </c>
      <c r="G127" s="2" t="s">
        <v>3886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3913</v>
      </c>
      <c r="N127" s="4"/>
      <c r="O127" s="5"/>
      <c r="P127" s="4"/>
      <c r="Q127" s="21" t="str">
        <f>VLOOKUP(tblProductos[[#This Row],[id_proveedor]],tblProveedores[[#All],[id]:[nombre]],2,0)</f>
        <v>WILSON ROJAS</v>
      </c>
    </row>
    <row r="128" spans="1:17" x14ac:dyDescent="0.25">
      <c r="A128" s="1">
        <v>179</v>
      </c>
      <c r="B128" s="1">
        <v>58</v>
      </c>
      <c r="C128" s="2" t="s">
        <v>3994</v>
      </c>
      <c r="D128" s="2" t="s">
        <v>3992</v>
      </c>
      <c r="E128" s="2" t="s">
        <v>3924</v>
      </c>
      <c r="F128" s="2">
        <v>5400</v>
      </c>
      <c r="G128" s="2" t="s">
        <v>3886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3913</v>
      </c>
      <c r="N128" s="4"/>
      <c r="O128" s="5"/>
      <c r="P128" s="4"/>
      <c r="Q128" s="21" t="str">
        <f>VLOOKUP(tblProductos[[#This Row],[id_proveedor]],tblProveedores[[#All],[id]:[nombre]],2,0)</f>
        <v>WILSON ROJAS</v>
      </c>
    </row>
    <row r="129" spans="1:17" x14ac:dyDescent="0.25">
      <c r="A129" s="1">
        <v>180</v>
      </c>
      <c r="B129" s="1">
        <v>58</v>
      </c>
      <c r="C129" s="2" t="s">
        <v>3995</v>
      </c>
      <c r="D129" s="2" t="s">
        <v>3992</v>
      </c>
      <c r="E129" s="2" t="s">
        <v>3924</v>
      </c>
      <c r="F129" s="2">
        <v>7560</v>
      </c>
      <c r="G129" s="2" t="s">
        <v>3886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3913</v>
      </c>
      <c r="N129" s="4"/>
      <c r="O129" s="5"/>
      <c r="P129" s="4"/>
      <c r="Q129" s="21" t="str">
        <f>VLOOKUP(tblProductos[[#This Row],[id_proveedor]],tblProveedores[[#All],[id]:[nombre]],2,0)</f>
        <v>WILSON ROJAS</v>
      </c>
    </row>
    <row r="130" spans="1:17" x14ac:dyDescent="0.25">
      <c r="A130" s="1">
        <v>181</v>
      </c>
      <c r="B130" s="1">
        <v>58</v>
      </c>
      <c r="C130" s="2" t="s">
        <v>3996</v>
      </c>
      <c r="D130" s="2" t="s">
        <v>3992</v>
      </c>
      <c r="E130" s="2" t="s">
        <v>3997</v>
      </c>
      <c r="F130" s="2">
        <v>3600</v>
      </c>
      <c r="G130" s="2" t="s">
        <v>3886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3913</v>
      </c>
      <c r="N130" s="4"/>
      <c r="O130" s="5"/>
      <c r="P130" s="4"/>
      <c r="Q130" s="21" t="str">
        <f>VLOOKUP(tblProductos[[#This Row],[id_proveedor]],tblProveedores[[#All],[id]:[nombre]],2,0)</f>
        <v>WILSON ROJAS</v>
      </c>
    </row>
    <row r="131" spans="1:17" x14ac:dyDescent="0.25">
      <c r="A131" s="1">
        <v>182</v>
      </c>
      <c r="B131" s="1">
        <v>58</v>
      </c>
      <c r="C131" s="2" t="s">
        <v>3998</v>
      </c>
      <c r="D131" s="2" t="s">
        <v>3992</v>
      </c>
      <c r="E131" s="2" t="s">
        <v>3997</v>
      </c>
      <c r="F131" s="2">
        <v>5400</v>
      </c>
      <c r="G131" s="2" t="s">
        <v>3886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3913</v>
      </c>
      <c r="N131" s="4"/>
      <c r="O131" s="5"/>
      <c r="P131" s="4"/>
      <c r="Q131" s="21" t="str">
        <f>VLOOKUP(tblProductos[[#This Row],[id_proveedor]],tblProveedores[[#All],[id]:[nombre]],2,0)</f>
        <v>WILSON ROJAS</v>
      </c>
    </row>
    <row r="132" spans="1:17" x14ac:dyDescent="0.25">
      <c r="A132" s="1">
        <v>183</v>
      </c>
      <c r="B132" s="1">
        <v>58</v>
      </c>
      <c r="C132" s="2" t="s">
        <v>3999</v>
      </c>
      <c r="D132" s="2" t="s">
        <v>3992</v>
      </c>
      <c r="E132" s="2" t="s">
        <v>4000</v>
      </c>
      <c r="F132" s="2">
        <v>1800</v>
      </c>
      <c r="G132" s="2" t="s">
        <v>3886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3913</v>
      </c>
      <c r="N132" s="4"/>
      <c r="O132" s="5"/>
      <c r="P132" s="4"/>
      <c r="Q132" s="21" t="str">
        <f>VLOOKUP(tblProductos[[#This Row],[id_proveedor]],tblProveedores[[#All],[id]:[nombre]],2,0)</f>
        <v>WILSON ROJAS</v>
      </c>
    </row>
    <row r="133" spans="1:17" x14ac:dyDescent="0.25">
      <c r="A133" s="1">
        <v>184</v>
      </c>
      <c r="B133" s="1">
        <v>58</v>
      </c>
      <c r="C133" s="2" t="s">
        <v>4001</v>
      </c>
      <c r="D133" s="2" t="s">
        <v>3992</v>
      </c>
      <c r="E133" s="2" t="s">
        <v>4000</v>
      </c>
      <c r="F133" s="2">
        <v>2520</v>
      </c>
      <c r="G133" s="2" t="s">
        <v>3886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3913</v>
      </c>
      <c r="N133" s="4"/>
      <c r="O133" s="5"/>
      <c r="P133" s="4"/>
      <c r="Q133" s="21" t="str">
        <f>VLOOKUP(tblProductos[[#This Row],[id_proveedor]],tblProveedores[[#All],[id]:[nombre]],2,0)</f>
        <v>WILSON ROJAS</v>
      </c>
    </row>
    <row r="134" spans="1:17" x14ac:dyDescent="0.25">
      <c r="A134" s="1">
        <v>185</v>
      </c>
      <c r="B134" s="1">
        <v>58</v>
      </c>
      <c r="C134" s="2" t="s">
        <v>4002</v>
      </c>
      <c r="D134" s="2" t="s">
        <v>3992</v>
      </c>
      <c r="E134" s="2" t="s">
        <v>4000</v>
      </c>
      <c r="F134" s="2">
        <v>2700</v>
      </c>
      <c r="G134" s="2" t="s">
        <v>3886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3913</v>
      </c>
      <c r="N134" s="4"/>
      <c r="O134" s="5"/>
      <c r="P134" s="4"/>
      <c r="Q134" s="21" t="str">
        <f>VLOOKUP(tblProductos[[#This Row],[id_proveedor]],tblProveedores[[#All],[id]:[nombre]],2,0)</f>
        <v>WILSON ROJAS</v>
      </c>
    </row>
    <row r="135" spans="1:17" x14ac:dyDescent="0.25">
      <c r="A135" s="1">
        <v>186</v>
      </c>
      <c r="B135" s="1">
        <v>58</v>
      </c>
      <c r="C135" s="2" t="s">
        <v>4003</v>
      </c>
      <c r="D135" s="2" t="s">
        <v>3992</v>
      </c>
      <c r="E135" s="2" t="s">
        <v>4004</v>
      </c>
      <c r="F135" s="2">
        <v>1800</v>
      </c>
      <c r="G135" s="2" t="s">
        <v>3886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3913</v>
      </c>
      <c r="N135" s="4"/>
      <c r="O135" s="5"/>
      <c r="P135" s="4"/>
      <c r="Q135" s="21" t="str">
        <f>VLOOKUP(tblProductos[[#This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4005</v>
      </c>
      <c r="D136" s="2" t="s">
        <v>3841</v>
      </c>
      <c r="E136" s="2"/>
      <c r="F136" s="2">
        <v>1800</v>
      </c>
      <c r="G136" s="2" t="s">
        <v>3873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3913</v>
      </c>
      <c r="N136" s="4"/>
      <c r="O136" s="5">
        <v>12</v>
      </c>
      <c r="P136" s="4"/>
      <c r="Q136" s="21" t="str">
        <f>VLOOKUP(tblProductos[[#This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3903</v>
      </c>
      <c r="D137" s="2" t="s">
        <v>4006</v>
      </c>
      <c r="E137" s="2" t="s">
        <v>3872</v>
      </c>
      <c r="F137" s="2">
        <v>3000</v>
      </c>
      <c r="G137" s="2" t="s">
        <v>3873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3868</v>
      </c>
      <c r="N137" s="4"/>
      <c r="O137" s="5"/>
      <c r="P137" s="4"/>
      <c r="Q137" s="21" t="str">
        <f>VLOOKUP(tblProductos[[#This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3904</v>
      </c>
      <c r="D138" s="2" t="s">
        <v>4006</v>
      </c>
      <c r="E138" s="2" t="s">
        <v>3875</v>
      </c>
      <c r="F138" s="2">
        <v>3000</v>
      </c>
      <c r="G138" s="2" t="s">
        <v>3873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3868</v>
      </c>
      <c r="N138" s="4"/>
      <c r="O138" s="5"/>
      <c r="P138" s="4"/>
      <c r="Q138" s="21" t="str">
        <f>VLOOKUP(tblProductos[[#This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3905</v>
      </c>
      <c r="D139" s="2" t="s">
        <v>4006</v>
      </c>
      <c r="E139" s="2" t="s">
        <v>3877</v>
      </c>
      <c r="F139" s="2">
        <v>3000</v>
      </c>
      <c r="G139" s="2" t="s">
        <v>3873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3868</v>
      </c>
      <c r="N139" s="4"/>
      <c r="O139" s="5"/>
      <c r="P139" s="4"/>
      <c r="Q139" s="21" t="str">
        <f>VLOOKUP(tblProductos[[#This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3906</v>
      </c>
      <c r="D140" s="2" t="s">
        <v>4006</v>
      </c>
      <c r="E140" s="2" t="s">
        <v>3879</v>
      </c>
      <c r="F140" s="2">
        <v>3000</v>
      </c>
      <c r="G140" s="2" t="s">
        <v>3873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3868</v>
      </c>
      <c r="N140" s="4"/>
      <c r="O140" s="5"/>
      <c r="P140" s="4"/>
      <c r="Q140" s="21" t="str">
        <f>VLOOKUP(tblProductos[[#This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3907</v>
      </c>
      <c r="D141" s="2" t="s">
        <v>4006</v>
      </c>
      <c r="E141" s="2" t="s">
        <v>3889</v>
      </c>
      <c r="F141" s="2">
        <v>3000</v>
      </c>
      <c r="G141" s="2" t="s">
        <v>3873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3868</v>
      </c>
      <c r="N141" s="4"/>
      <c r="O141" s="5"/>
      <c r="P141" s="4"/>
      <c r="Q141" s="21" t="str">
        <f>VLOOKUP(tblProductos[[#This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3903</v>
      </c>
      <c r="D142" s="2" t="s">
        <v>4007</v>
      </c>
      <c r="E142" s="2" t="s">
        <v>3872</v>
      </c>
      <c r="F142" s="2">
        <v>3000</v>
      </c>
      <c r="G142" s="2" t="s">
        <v>3873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3868</v>
      </c>
      <c r="N142" s="4"/>
      <c r="O142" s="5"/>
      <c r="P142" s="4"/>
      <c r="Q142" s="21" t="str">
        <f>VLOOKUP(tblProductos[[#This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3904</v>
      </c>
      <c r="D143" s="2" t="s">
        <v>4007</v>
      </c>
      <c r="E143" s="2" t="s">
        <v>3875</v>
      </c>
      <c r="F143" s="2">
        <v>3000</v>
      </c>
      <c r="G143" s="2" t="s">
        <v>3873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3868</v>
      </c>
      <c r="N143" s="4"/>
      <c r="O143" s="5"/>
      <c r="P143" s="4"/>
      <c r="Q143" s="21" t="str">
        <f>VLOOKUP(tblProductos[[#This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3905</v>
      </c>
      <c r="D144" s="2" t="s">
        <v>4007</v>
      </c>
      <c r="E144" s="2" t="s">
        <v>3877</v>
      </c>
      <c r="F144" s="2">
        <v>3000</v>
      </c>
      <c r="G144" s="2" t="s">
        <v>3873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3868</v>
      </c>
      <c r="N144" s="4"/>
      <c r="O144" s="5"/>
      <c r="P144" s="4"/>
      <c r="Q144" s="21" t="str">
        <f>VLOOKUP(tblProductos[[#This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3906</v>
      </c>
      <c r="D145" s="2" t="s">
        <v>4007</v>
      </c>
      <c r="E145" s="2" t="s">
        <v>3879</v>
      </c>
      <c r="F145" s="2">
        <v>3000</v>
      </c>
      <c r="G145" s="2" t="s">
        <v>3873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3868</v>
      </c>
      <c r="N145" s="4"/>
      <c r="O145" s="5"/>
      <c r="P145" s="4"/>
      <c r="Q145" s="21" t="str">
        <f>VLOOKUP(tblProductos[[#This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3907</v>
      </c>
      <c r="D146" s="2" t="s">
        <v>4007</v>
      </c>
      <c r="E146" s="2" t="s">
        <v>3889</v>
      </c>
      <c r="F146" s="2">
        <v>3000</v>
      </c>
      <c r="G146" s="2" t="s">
        <v>3873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3868</v>
      </c>
      <c r="N146" s="4"/>
      <c r="O146" s="5"/>
      <c r="P146" s="4"/>
      <c r="Q146" s="21" t="str">
        <f>VLOOKUP(tblProductos[[#This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3903</v>
      </c>
      <c r="D147" s="2" t="s">
        <v>3888</v>
      </c>
      <c r="E147" s="2" t="s">
        <v>3872</v>
      </c>
      <c r="F147" s="2">
        <v>3000</v>
      </c>
      <c r="G147" s="2" t="s">
        <v>3873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3868</v>
      </c>
      <c r="N147" s="4"/>
      <c r="O147" s="5"/>
      <c r="P147" s="4"/>
      <c r="Q147" s="21" t="str">
        <f>VLOOKUP(tblProductos[[#This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3904</v>
      </c>
      <c r="D148" s="2" t="s">
        <v>3888</v>
      </c>
      <c r="E148" s="2" t="s">
        <v>3875</v>
      </c>
      <c r="F148" s="2">
        <v>3000</v>
      </c>
      <c r="G148" s="2" t="s">
        <v>3873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3868</v>
      </c>
      <c r="N148" s="4"/>
      <c r="O148" s="5"/>
      <c r="P148" s="4"/>
      <c r="Q148" s="21" t="str">
        <f>VLOOKUP(tblProductos[[#This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3905</v>
      </c>
      <c r="D149" s="2" t="s">
        <v>3888</v>
      </c>
      <c r="E149" s="2" t="s">
        <v>3877</v>
      </c>
      <c r="F149" s="2">
        <v>3000</v>
      </c>
      <c r="G149" s="2" t="s">
        <v>3873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3868</v>
      </c>
      <c r="N149" s="4"/>
      <c r="O149" s="5"/>
      <c r="P149" s="4"/>
      <c r="Q149" s="21" t="str">
        <f>VLOOKUP(tblProductos[[#This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3906</v>
      </c>
      <c r="D150" s="2" t="s">
        <v>3888</v>
      </c>
      <c r="E150" s="2" t="s">
        <v>3879</v>
      </c>
      <c r="F150" s="2">
        <v>3000</v>
      </c>
      <c r="G150" s="2" t="s">
        <v>3873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3868</v>
      </c>
      <c r="N150" s="4"/>
      <c r="O150" s="5"/>
      <c r="P150" s="4"/>
      <c r="Q150" s="21" t="str">
        <f>VLOOKUP(tblProductos[[#This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3907</v>
      </c>
      <c r="D151" s="2" t="s">
        <v>3888</v>
      </c>
      <c r="E151" s="2" t="s">
        <v>3889</v>
      </c>
      <c r="F151" s="2">
        <v>3000</v>
      </c>
      <c r="G151" s="2" t="s">
        <v>3873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3868</v>
      </c>
      <c r="N151" s="4"/>
      <c r="O151" s="5"/>
      <c r="P151" s="4"/>
      <c r="Q151" s="21" t="str">
        <f>VLOOKUP(tblProductos[[#This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3903</v>
      </c>
      <c r="D152" s="2" t="s">
        <v>4008</v>
      </c>
      <c r="E152" s="2" t="s">
        <v>3872</v>
      </c>
      <c r="F152" s="2">
        <v>3000</v>
      </c>
      <c r="G152" s="2" t="s">
        <v>3873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3868</v>
      </c>
      <c r="N152" s="4"/>
      <c r="O152" s="5"/>
      <c r="P152" s="4"/>
      <c r="Q152" s="21" t="str">
        <f>VLOOKUP(tblProductos[[#This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3904</v>
      </c>
      <c r="D153" s="2" t="s">
        <v>4008</v>
      </c>
      <c r="E153" s="2" t="s">
        <v>3875</v>
      </c>
      <c r="F153" s="2">
        <v>3000</v>
      </c>
      <c r="G153" s="2" t="s">
        <v>3873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3868</v>
      </c>
      <c r="N153" s="4"/>
      <c r="O153" s="5"/>
      <c r="P153" s="4"/>
      <c r="Q153" s="21" t="str">
        <f>VLOOKUP(tblProductos[[#This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3905</v>
      </c>
      <c r="D154" s="2" t="s">
        <v>4008</v>
      </c>
      <c r="E154" s="2" t="s">
        <v>3877</v>
      </c>
      <c r="F154" s="2">
        <v>3000</v>
      </c>
      <c r="G154" s="2" t="s">
        <v>3873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3868</v>
      </c>
      <c r="N154" s="4"/>
      <c r="O154" s="5"/>
      <c r="P154" s="4"/>
      <c r="Q154" s="21" t="str">
        <f>VLOOKUP(tblProductos[[#This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3906</v>
      </c>
      <c r="D155" s="2" t="s">
        <v>4008</v>
      </c>
      <c r="E155" s="2" t="s">
        <v>3879</v>
      </c>
      <c r="F155" s="2">
        <v>3000</v>
      </c>
      <c r="G155" s="2" t="s">
        <v>3873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3868</v>
      </c>
      <c r="N155" s="4"/>
      <c r="O155" s="5"/>
      <c r="P155" s="4"/>
      <c r="Q155" s="21" t="str">
        <f>VLOOKUP(tblProductos[[#This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3907</v>
      </c>
      <c r="D156" s="2" t="s">
        <v>4008</v>
      </c>
      <c r="E156" s="2" t="s">
        <v>3889</v>
      </c>
      <c r="F156" s="2">
        <v>3000</v>
      </c>
      <c r="G156" s="2" t="s">
        <v>3873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3868</v>
      </c>
      <c r="N156" s="4"/>
      <c r="O156" s="5"/>
      <c r="P156" s="4"/>
      <c r="Q156" s="21" t="str">
        <f>VLOOKUP(tblProductos[[#This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3903</v>
      </c>
      <c r="D157" s="2" t="s">
        <v>3919</v>
      </c>
      <c r="E157" s="2" t="s">
        <v>3872</v>
      </c>
      <c r="F157" s="2">
        <v>3000</v>
      </c>
      <c r="G157" s="2" t="s">
        <v>3873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3868</v>
      </c>
      <c r="N157" s="4"/>
      <c r="O157" s="5"/>
      <c r="P157" s="4"/>
      <c r="Q157" s="21" t="str">
        <f>VLOOKUP(tblProductos[[#This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3904</v>
      </c>
      <c r="D158" s="2" t="s">
        <v>3919</v>
      </c>
      <c r="E158" s="2" t="s">
        <v>3875</v>
      </c>
      <c r="F158" s="2">
        <v>3000</v>
      </c>
      <c r="G158" s="2" t="s">
        <v>3873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3868</v>
      </c>
      <c r="N158" s="4"/>
      <c r="O158" s="5"/>
      <c r="P158" s="4"/>
      <c r="Q158" s="21" t="str">
        <f>VLOOKUP(tblProductos[[#This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3905</v>
      </c>
      <c r="D159" s="2" t="s">
        <v>3919</v>
      </c>
      <c r="E159" s="2" t="s">
        <v>3877</v>
      </c>
      <c r="F159" s="2">
        <v>3000</v>
      </c>
      <c r="G159" s="2" t="s">
        <v>3873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3868</v>
      </c>
      <c r="N159" s="4"/>
      <c r="O159" s="5"/>
      <c r="P159" s="4"/>
      <c r="Q159" s="21" t="str">
        <f>VLOOKUP(tblProductos[[#This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3906</v>
      </c>
      <c r="D160" s="2" t="s">
        <v>3919</v>
      </c>
      <c r="E160" s="2" t="s">
        <v>3879</v>
      </c>
      <c r="F160" s="2">
        <v>3000</v>
      </c>
      <c r="G160" s="2" t="s">
        <v>3873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3868</v>
      </c>
      <c r="N160" s="4"/>
      <c r="O160" s="5"/>
      <c r="P160" s="4"/>
      <c r="Q160" s="21" t="str">
        <f>VLOOKUP(tblProductos[[#This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3907</v>
      </c>
      <c r="D161" s="2" t="s">
        <v>3919</v>
      </c>
      <c r="E161" s="2" t="s">
        <v>3889</v>
      </c>
      <c r="F161" s="2">
        <v>3000</v>
      </c>
      <c r="G161" s="2" t="s">
        <v>3873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3868</v>
      </c>
      <c r="N161" s="4"/>
      <c r="O161" s="5"/>
      <c r="P161" s="4"/>
      <c r="Q161" s="21" t="str">
        <f>VLOOKUP(tblProductos[[#This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3908</v>
      </c>
      <c r="D162" s="2" t="s">
        <v>4006</v>
      </c>
      <c r="E162" s="2"/>
      <c r="F162" s="2">
        <v>1500</v>
      </c>
      <c r="G162" s="2" t="s">
        <v>3873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3868</v>
      </c>
      <c r="N162" s="4"/>
      <c r="O162" s="5"/>
      <c r="P162" s="4"/>
      <c r="Q162" s="21" t="str">
        <f>VLOOKUP(tblProductos[[#This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3908</v>
      </c>
      <c r="D163" s="2" t="s">
        <v>4007</v>
      </c>
      <c r="E163" s="2"/>
      <c r="F163" s="2">
        <v>1500</v>
      </c>
      <c r="G163" s="2" t="s">
        <v>3873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3868</v>
      </c>
      <c r="N163" s="4"/>
      <c r="O163" s="5"/>
      <c r="P163" s="4"/>
      <c r="Q163" s="21" t="str">
        <f>VLOOKUP(tblProductos[[#This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3908</v>
      </c>
      <c r="D164" s="2" t="s">
        <v>3888</v>
      </c>
      <c r="E164" s="2"/>
      <c r="F164" s="2">
        <v>1500</v>
      </c>
      <c r="G164" s="2" t="s">
        <v>3873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3868</v>
      </c>
      <c r="N164" s="4"/>
      <c r="O164" s="5"/>
      <c r="P164" s="4"/>
      <c r="Q164" s="21" t="str">
        <f>VLOOKUP(tblProductos[[#This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3908</v>
      </c>
      <c r="D165" s="2" t="s">
        <v>4008</v>
      </c>
      <c r="E165" s="2"/>
      <c r="F165" s="2">
        <v>1500</v>
      </c>
      <c r="G165" s="2" t="s">
        <v>3873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3868</v>
      </c>
      <c r="N165" s="4"/>
      <c r="O165" s="5"/>
      <c r="P165" s="4"/>
      <c r="Q165" s="21" t="str">
        <f>VLOOKUP(tblProductos[[#This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3908</v>
      </c>
      <c r="D166" s="2" t="s">
        <v>3919</v>
      </c>
      <c r="E166" s="2"/>
      <c r="F166" s="2">
        <v>1500</v>
      </c>
      <c r="G166" s="2" t="s">
        <v>3873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3868</v>
      </c>
      <c r="N166" s="4"/>
      <c r="O166" s="5"/>
      <c r="P166" s="4"/>
      <c r="Q166" s="21" t="str">
        <f>VLOOKUP(tblProductos[[#This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3910</v>
      </c>
      <c r="D167" s="2" t="s">
        <v>4006</v>
      </c>
      <c r="E167" s="2" t="s">
        <v>3875</v>
      </c>
      <c r="F167" s="2">
        <v>250</v>
      </c>
      <c r="G167" s="2" t="s">
        <v>3886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3895</v>
      </c>
      <c r="N167" s="4"/>
      <c r="O167" s="5"/>
      <c r="P167" s="4"/>
      <c r="Q167" s="21" t="str">
        <f>VLOOKUP(tblProductos[[#This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3910</v>
      </c>
      <c r="D168" s="2" t="s">
        <v>4007</v>
      </c>
      <c r="E168" s="2" t="s">
        <v>3875</v>
      </c>
      <c r="F168" s="2">
        <v>250</v>
      </c>
      <c r="G168" s="2" t="s">
        <v>3886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3895</v>
      </c>
      <c r="N168" s="4"/>
      <c r="O168" s="5">
        <v>5</v>
      </c>
      <c r="P168" s="4"/>
      <c r="Q168" s="21" t="str">
        <f>VLOOKUP(tblProductos[[#This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3910</v>
      </c>
      <c r="D169" s="2" t="s">
        <v>3888</v>
      </c>
      <c r="E169" s="2" t="s">
        <v>3875</v>
      </c>
      <c r="F169" s="2">
        <v>250</v>
      </c>
      <c r="G169" s="2" t="s">
        <v>3886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3895</v>
      </c>
      <c r="N169" s="4"/>
      <c r="O169" s="5">
        <v>10</v>
      </c>
      <c r="P169" s="4"/>
      <c r="Q169" s="21" t="str">
        <f>VLOOKUP(tblProductos[[#This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3910</v>
      </c>
      <c r="D170" s="2" t="s">
        <v>4008</v>
      </c>
      <c r="E170" s="2" t="s">
        <v>3875</v>
      </c>
      <c r="F170" s="2">
        <v>250</v>
      </c>
      <c r="G170" s="2" t="s">
        <v>3886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3895</v>
      </c>
      <c r="N170" s="4"/>
      <c r="O170" s="5"/>
      <c r="P170" s="4"/>
      <c r="Q170" s="21" t="str">
        <f>VLOOKUP(tblProductos[[#This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3910</v>
      </c>
      <c r="D171" s="2" t="s">
        <v>3919</v>
      </c>
      <c r="E171" s="2" t="s">
        <v>3875</v>
      </c>
      <c r="F171" s="2">
        <v>250</v>
      </c>
      <c r="G171" s="2" t="s">
        <v>3886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3895</v>
      </c>
      <c r="N171" s="4"/>
      <c r="O171" s="5">
        <v>5</v>
      </c>
      <c r="P171" s="4"/>
      <c r="Q171" s="21" t="str">
        <f>VLOOKUP(tblProductos[[#This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3953</v>
      </c>
      <c r="D172" s="2" t="s">
        <v>4006</v>
      </c>
      <c r="E172" s="2" t="s">
        <v>3875</v>
      </c>
      <c r="F172" s="2">
        <v>3000</v>
      </c>
      <c r="G172" s="2" t="s">
        <v>3873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3868</v>
      </c>
      <c r="N172" s="4"/>
      <c r="O172" s="5"/>
      <c r="P172" s="4"/>
      <c r="Q172" s="21" t="str">
        <f>VLOOKUP(tblProductos[[#This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3953</v>
      </c>
      <c r="D173" s="2" t="s">
        <v>4007</v>
      </c>
      <c r="E173" s="2" t="s">
        <v>3875</v>
      </c>
      <c r="F173" s="2">
        <v>3000</v>
      </c>
      <c r="G173" s="2" t="s">
        <v>3873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3868</v>
      </c>
      <c r="N173" s="4"/>
      <c r="O173" s="5"/>
      <c r="P173" s="4"/>
      <c r="Q173" s="21" t="str">
        <f>VLOOKUP(tblProductos[[#This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3953</v>
      </c>
      <c r="D174" s="2" t="s">
        <v>3888</v>
      </c>
      <c r="E174" s="2" t="s">
        <v>3875</v>
      </c>
      <c r="F174" s="2">
        <v>3000</v>
      </c>
      <c r="G174" s="2" t="s">
        <v>3873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3868</v>
      </c>
      <c r="N174" s="4"/>
      <c r="O174" s="5">
        <v>5</v>
      </c>
      <c r="P174" s="4"/>
      <c r="Q174" s="21" t="str">
        <f>VLOOKUP(tblProductos[[#This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3953</v>
      </c>
      <c r="D175" s="2" t="s">
        <v>4008</v>
      </c>
      <c r="E175" s="2" t="s">
        <v>3875</v>
      </c>
      <c r="F175" s="2">
        <v>3000</v>
      </c>
      <c r="G175" s="2" t="s">
        <v>3873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3868</v>
      </c>
      <c r="N175" s="4"/>
      <c r="O175" s="5"/>
      <c r="P175" s="4"/>
      <c r="Q175" s="21" t="str">
        <f>VLOOKUP(tblProductos[[#This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3953</v>
      </c>
      <c r="D176" s="2" t="s">
        <v>3919</v>
      </c>
      <c r="E176" s="2" t="s">
        <v>3875</v>
      </c>
      <c r="F176" s="2">
        <v>3000</v>
      </c>
      <c r="G176" s="2" t="s">
        <v>3873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3868</v>
      </c>
      <c r="N176" s="4"/>
      <c r="O176" s="5"/>
      <c r="P176" s="4"/>
      <c r="Q176" s="21" t="str">
        <f>VLOOKUP(tblProductos[[#This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3962</v>
      </c>
      <c r="D177" s="2" t="s">
        <v>4006</v>
      </c>
      <c r="E177" s="2" t="s">
        <v>3877</v>
      </c>
      <c r="F177" s="2">
        <v>500</v>
      </c>
      <c r="G177" s="2" t="s">
        <v>3886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3882</v>
      </c>
      <c r="N177" s="4"/>
      <c r="O177" s="5"/>
      <c r="P177" s="4"/>
      <c r="Q177" s="21" t="str">
        <f>VLOOKUP(tblProductos[[#This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3962</v>
      </c>
      <c r="D178" s="2" t="s">
        <v>4009</v>
      </c>
      <c r="E178" s="2" t="s">
        <v>3877</v>
      </c>
      <c r="F178" s="2">
        <v>500</v>
      </c>
      <c r="G178" s="2" t="s">
        <v>3886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3882</v>
      </c>
      <c r="N178" s="4"/>
      <c r="O178" s="5"/>
      <c r="P178" s="4"/>
      <c r="Q178" s="21" t="str">
        <f>VLOOKUP(tblProductos[[#This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3962</v>
      </c>
      <c r="D179" s="2" t="s">
        <v>4007</v>
      </c>
      <c r="E179" s="2" t="s">
        <v>3877</v>
      </c>
      <c r="F179" s="2">
        <v>500</v>
      </c>
      <c r="G179" s="2" t="s">
        <v>3886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3882</v>
      </c>
      <c r="N179" s="4"/>
      <c r="O179" s="5"/>
      <c r="P179" s="4"/>
      <c r="Q179" s="21" t="str">
        <f>VLOOKUP(tblProductos[[#This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3962</v>
      </c>
      <c r="D180" s="2" t="s">
        <v>3888</v>
      </c>
      <c r="E180" s="2" t="s">
        <v>3877</v>
      </c>
      <c r="F180" s="2">
        <v>500</v>
      </c>
      <c r="G180" s="2" t="s">
        <v>3886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3882</v>
      </c>
      <c r="N180" s="4"/>
      <c r="O180" s="5"/>
      <c r="P180" s="4"/>
      <c r="Q180" s="21" t="str">
        <f>VLOOKUP(tblProductos[[#This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3962</v>
      </c>
      <c r="D181" s="2" t="s">
        <v>4008</v>
      </c>
      <c r="E181" s="2" t="s">
        <v>3877</v>
      </c>
      <c r="F181" s="2">
        <v>500</v>
      </c>
      <c r="G181" s="2" t="s">
        <v>3886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3882</v>
      </c>
      <c r="N181" s="4"/>
      <c r="O181" s="5"/>
      <c r="P181" s="4"/>
      <c r="Q181" s="21" t="str">
        <f>VLOOKUP(tblProductos[[#This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3962</v>
      </c>
      <c r="D182" s="2" t="s">
        <v>3919</v>
      </c>
      <c r="E182" s="2" t="s">
        <v>3877</v>
      </c>
      <c r="F182" s="2">
        <v>500</v>
      </c>
      <c r="G182" s="2" t="s">
        <v>3886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3882</v>
      </c>
      <c r="N182" s="4"/>
      <c r="O182" s="5"/>
      <c r="P182" s="4"/>
      <c r="Q182" s="21" t="str">
        <f>VLOOKUP(tblProductos[[#This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3963</v>
      </c>
      <c r="D183" s="2" t="s">
        <v>4006</v>
      </c>
      <c r="E183" s="2" t="s">
        <v>3879</v>
      </c>
      <c r="F183" s="2">
        <v>500</v>
      </c>
      <c r="G183" s="2" t="s">
        <v>3886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3882</v>
      </c>
      <c r="N183" s="4"/>
      <c r="O183" s="5"/>
      <c r="P183" s="4"/>
      <c r="Q183" s="21" t="str">
        <f>VLOOKUP(tblProductos[[#This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3963</v>
      </c>
      <c r="D184" s="2" t="s">
        <v>4009</v>
      </c>
      <c r="E184" s="2" t="s">
        <v>3879</v>
      </c>
      <c r="F184" s="2">
        <v>500</v>
      </c>
      <c r="G184" s="2" t="s">
        <v>3886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3882</v>
      </c>
      <c r="N184" s="4"/>
      <c r="O184" s="5"/>
      <c r="P184" s="4"/>
      <c r="Q184" s="21" t="str">
        <f>VLOOKUP(tblProductos[[#This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3963</v>
      </c>
      <c r="D185" s="2" t="s">
        <v>4007</v>
      </c>
      <c r="E185" s="2" t="s">
        <v>3879</v>
      </c>
      <c r="F185" s="2">
        <v>500</v>
      </c>
      <c r="G185" s="2" t="s">
        <v>3886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3882</v>
      </c>
      <c r="N185" s="4"/>
      <c r="O185" s="5"/>
      <c r="P185" s="4"/>
      <c r="Q185" s="21" t="str">
        <f>VLOOKUP(tblProductos[[#This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3963</v>
      </c>
      <c r="D186" s="2" t="s">
        <v>3888</v>
      </c>
      <c r="E186" s="2" t="s">
        <v>3879</v>
      </c>
      <c r="F186" s="2">
        <v>500</v>
      </c>
      <c r="G186" s="2" t="s">
        <v>3886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3882</v>
      </c>
      <c r="N186" s="4"/>
      <c r="O186" s="5"/>
      <c r="P186" s="4"/>
      <c r="Q186" s="21" t="str">
        <f>VLOOKUP(tblProductos[[#This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3963</v>
      </c>
      <c r="D187" s="2" t="s">
        <v>4008</v>
      </c>
      <c r="E187" s="2" t="s">
        <v>3879</v>
      </c>
      <c r="F187" s="2">
        <v>500</v>
      </c>
      <c r="G187" s="2" t="s">
        <v>3886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3882</v>
      </c>
      <c r="N187" s="4"/>
      <c r="O187" s="5"/>
      <c r="P187" s="4"/>
      <c r="Q187" s="21" t="str">
        <f>VLOOKUP(tblProductos[[#This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3963</v>
      </c>
      <c r="D188" s="2" t="s">
        <v>3919</v>
      </c>
      <c r="E188" s="2" t="s">
        <v>3879</v>
      </c>
      <c r="F188" s="2">
        <v>500</v>
      </c>
      <c r="G188" s="2" t="s">
        <v>3886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3882</v>
      </c>
      <c r="N188" s="4"/>
      <c r="O188" s="5"/>
      <c r="P188" s="4"/>
      <c r="Q188" s="21" t="str">
        <f>VLOOKUP(tblProductos[[#This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3964</v>
      </c>
      <c r="D189" s="2" t="s">
        <v>4006</v>
      </c>
      <c r="E189" s="2" t="s">
        <v>3889</v>
      </c>
      <c r="F189" s="2">
        <v>500</v>
      </c>
      <c r="G189" s="2" t="s">
        <v>3886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3882</v>
      </c>
      <c r="N189" s="4"/>
      <c r="O189" s="5"/>
      <c r="P189" s="4"/>
      <c r="Q189" s="21" t="str">
        <f>VLOOKUP(tblProductos[[#This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3964</v>
      </c>
      <c r="D190" s="2" t="s">
        <v>4009</v>
      </c>
      <c r="E190" s="2" t="s">
        <v>3889</v>
      </c>
      <c r="F190" s="2">
        <v>500</v>
      </c>
      <c r="G190" s="2" t="s">
        <v>3886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3882</v>
      </c>
      <c r="N190" s="4"/>
      <c r="O190" s="5"/>
      <c r="P190" s="4"/>
      <c r="Q190" s="21" t="str">
        <f>VLOOKUP(tblProductos[[#This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3964</v>
      </c>
      <c r="D191" s="2" t="s">
        <v>4007</v>
      </c>
      <c r="E191" s="2" t="s">
        <v>3889</v>
      </c>
      <c r="F191" s="2">
        <v>500</v>
      </c>
      <c r="G191" s="2" t="s">
        <v>3886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3882</v>
      </c>
      <c r="N191" s="4"/>
      <c r="O191" s="5"/>
      <c r="P191" s="4"/>
      <c r="Q191" s="21" t="str">
        <f>VLOOKUP(tblProductos[[#This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3964</v>
      </c>
      <c r="D192" s="2" t="s">
        <v>3888</v>
      </c>
      <c r="E192" s="2" t="s">
        <v>3889</v>
      </c>
      <c r="F192" s="2">
        <v>500</v>
      </c>
      <c r="G192" s="2" t="s">
        <v>3886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3882</v>
      </c>
      <c r="N192" s="4"/>
      <c r="O192" s="5"/>
      <c r="P192" s="4"/>
      <c r="Q192" s="21" t="str">
        <f>VLOOKUP(tblProductos[[#This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3964</v>
      </c>
      <c r="D193" s="2" t="s">
        <v>4008</v>
      </c>
      <c r="E193" s="2" t="s">
        <v>3889</v>
      </c>
      <c r="F193" s="2">
        <v>500</v>
      </c>
      <c r="G193" s="2" t="s">
        <v>3886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3882</v>
      </c>
      <c r="N193" s="4"/>
      <c r="O193" s="5"/>
      <c r="P193" s="4"/>
      <c r="Q193" s="21" t="str">
        <f>VLOOKUP(tblProductos[[#This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3964</v>
      </c>
      <c r="D194" s="2" t="s">
        <v>3919</v>
      </c>
      <c r="E194" s="2" t="s">
        <v>3889</v>
      </c>
      <c r="F194" s="2">
        <v>500</v>
      </c>
      <c r="G194" s="2" t="s">
        <v>3886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3882</v>
      </c>
      <c r="N194" s="4"/>
      <c r="O194" s="5"/>
      <c r="P194" s="4"/>
      <c r="Q194" s="21" t="str">
        <f>VLOOKUP(tblProductos[[#This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3958</v>
      </c>
      <c r="D195" s="2" t="s">
        <v>4006</v>
      </c>
      <c r="E195" s="2" t="s">
        <v>3875</v>
      </c>
      <c r="F195" s="2">
        <v>1000</v>
      </c>
      <c r="G195" s="2" t="s">
        <v>3886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3882</v>
      </c>
      <c r="N195" s="4"/>
      <c r="O195" s="5"/>
      <c r="P195" s="4"/>
      <c r="Q195" s="21" t="str">
        <f>VLOOKUP(tblProductos[[#This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3958</v>
      </c>
      <c r="D196" s="2" t="s">
        <v>4007</v>
      </c>
      <c r="E196" s="2" t="s">
        <v>3875</v>
      </c>
      <c r="F196" s="2">
        <v>1000</v>
      </c>
      <c r="G196" s="2" t="s">
        <v>3886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3882</v>
      </c>
      <c r="N196" s="4"/>
      <c r="O196" s="5"/>
      <c r="P196" s="4"/>
      <c r="Q196" s="21" t="str">
        <f>VLOOKUP(tblProductos[[#This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3958</v>
      </c>
      <c r="D197" s="2" t="s">
        <v>3888</v>
      </c>
      <c r="E197" s="2" t="s">
        <v>3875</v>
      </c>
      <c r="F197" s="2">
        <v>1000</v>
      </c>
      <c r="G197" s="2" t="s">
        <v>3886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3882</v>
      </c>
      <c r="N197" s="4"/>
      <c r="O197" s="5"/>
      <c r="P197" s="4"/>
      <c r="Q197" s="21" t="str">
        <f>VLOOKUP(tblProductos[[#This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3958</v>
      </c>
      <c r="D198" s="2" t="s">
        <v>4008</v>
      </c>
      <c r="E198" s="2" t="s">
        <v>3875</v>
      </c>
      <c r="F198" s="2">
        <v>1000</v>
      </c>
      <c r="G198" s="2" t="s">
        <v>3886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3882</v>
      </c>
      <c r="N198" s="4"/>
      <c r="O198" s="5"/>
      <c r="P198" s="4"/>
      <c r="Q198" s="21" t="str">
        <f>VLOOKUP(tblProductos[[#This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3958</v>
      </c>
      <c r="D199" s="2" t="s">
        <v>3919</v>
      </c>
      <c r="E199" s="2" t="s">
        <v>3875</v>
      </c>
      <c r="F199" s="2">
        <v>1000</v>
      </c>
      <c r="G199" s="2" t="s">
        <v>3886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3882</v>
      </c>
      <c r="N199" s="4"/>
      <c r="O199" s="5"/>
      <c r="P199" s="4"/>
      <c r="Q199" s="21" t="str">
        <f>VLOOKUP(tblProductos[[#This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3959</v>
      </c>
      <c r="D200" s="2" t="s">
        <v>4006</v>
      </c>
      <c r="E200" s="2" t="s">
        <v>3877</v>
      </c>
      <c r="F200" s="2">
        <v>500</v>
      </c>
      <c r="G200" s="2" t="s">
        <v>3886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3882</v>
      </c>
      <c r="N200" s="4"/>
      <c r="O200" s="5"/>
      <c r="P200" s="4"/>
      <c r="Q200" s="21" t="str">
        <f>VLOOKUP(tblProductos[[#This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3959</v>
      </c>
      <c r="D201" s="2" t="s">
        <v>4009</v>
      </c>
      <c r="E201" s="2" t="s">
        <v>3877</v>
      </c>
      <c r="F201" s="2">
        <v>500</v>
      </c>
      <c r="G201" s="2" t="s">
        <v>3886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3882</v>
      </c>
      <c r="N201" s="4"/>
      <c r="O201" s="5"/>
      <c r="P201" s="4"/>
      <c r="Q201" s="21" t="str">
        <f>VLOOKUP(tblProductos[[#This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3959</v>
      </c>
      <c r="D202" s="2" t="s">
        <v>4007</v>
      </c>
      <c r="E202" s="2" t="s">
        <v>3877</v>
      </c>
      <c r="F202" s="2">
        <v>500</v>
      </c>
      <c r="G202" s="2" t="s">
        <v>3886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3882</v>
      </c>
      <c r="N202" s="4"/>
      <c r="O202" s="5"/>
      <c r="P202" s="4"/>
      <c r="Q202" s="21" t="str">
        <f>VLOOKUP(tblProductos[[#This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3959</v>
      </c>
      <c r="D203" s="2" t="s">
        <v>3888</v>
      </c>
      <c r="E203" s="2" t="s">
        <v>3877</v>
      </c>
      <c r="F203" s="2">
        <v>500</v>
      </c>
      <c r="G203" s="2" t="s">
        <v>3886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3882</v>
      </c>
      <c r="N203" s="4"/>
      <c r="O203" s="5"/>
      <c r="P203" s="4"/>
      <c r="Q203" s="21" t="str">
        <f>VLOOKUP(tblProductos[[#This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3959</v>
      </c>
      <c r="D204" s="2" t="s">
        <v>4008</v>
      </c>
      <c r="E204" s="2" t="s">
        <v>3877</v>
      </c>
      <c r="F204" s="2">
        <v>500</v>
      </c>
      <c r="G204" s="2" t="s">
        <v>3886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3882</v>
      </c>
      <c r="N204" s="4"/>
      <c r="O204" s="5"/>
      <c r="P204" s="4"/>
      <c r="Q204" s="21" t="str">
        <f>VLOOKUP(tblProductos[[#This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3959</v>
      </c>
      <c r="D205" s="2" t="s">
        <v>3919</v>
      </c>
      <c r="E205" s="2" t="s">
        <v>3877</v>
      </c>
      <c r="F205" s="2">
        <v>500</v>
      </c>
      <c r="G205" s="2" t="s">
        <v>3886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3882</v>
      </c>
      <c r="N205" s="4"/>
      <c r="O205" s="5"/>
      <c r="P205" s="4"/>
      <c r="Q205" s="21" t="str">
        <f>VLOOKUP(tblProductos[[#This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3960</v>
      </c>
      <c r="D206" s="2" t="s">
        <v>4006</v>
      </c>
      <c r="E206" s="2" t="s">
        <v>3879</v>
      </c>
      <c r="F206" s="2">
        <v>500</v>
      </c>
      <c r="G206" s="2" t="s">
        <v>3886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3882</v>
      </c>
      <c r="N206" s="4"/>
      <c r="O206" s="5"/>
      <c r="P206" s="4"/>
      <c r="Q206" s="21" t="str">
        <f>VLOOKUP(tblProductos[[#This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3960</v>
      </c>
      <c r="D207" s="2" t="s">
        <v>4009</v>
      </c>
      <c r="E207" s="2" t="s">
        <v>3879</v>
      </c>
      <c r="F207" s="2">
        <v>500</v>
      </c>
      <c r="G207" s="2" t="s">
        <v>3886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3882</v>
      </c>
      <c r="N207" s="4"/>
      <c r="O207" s="5"/>
      <c r="P207" s="4"/>
      <c r="Q207" s="21" t="str">
        <f>VLOOKUP(tblProductos[[#This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3960</v>
      </c>
      <c r="D208" s="2" t="s">
        <v>3888</v>
      </c>
      <c r="E208" s="2" t="s">
        <v>3879</v>
      </c>
      <c r="F208" s="2">
        <v>500</v>
      </c>
      <c r="G208" s="2" t="s">
        <v>3886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3882</v>
      </c>
      <c r="N208" s="4"/>
      <c r="O208" s="5"/>
      <c r="P208" s="4"/>
      <c r="Q208" s="21" t="str">
        <f>VLOOKUP(tblProductos[[#This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3960</v>
      </c>
      <c r="D209" s="2" t="s">
        <v>4008</v>
      </c>
      <c r="E209" s="2" t="s">
        <v>3879</v>
      </c>
      <c r="F209" s="2">
        <v>500</v>
      </c>
      <c r="G209" s="2" t="s">
        <v>3886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3882</v>
      </c>
      <c r="N209" s="4"/>
      <c r="O209" s="5"/>
      <c r="P209" s="4"/>
      <c r="Q209" s="21" t="str">
        <f>VLOOKUP(tblProductos[[#This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3960</v>
      </c>
      <c r="D210" s="2" t="s">
        <v>3919</v>
      </c>
      <c r="E210" s="2" t="s">
        <v>3879</v>
      </c>
      <c r="F210" s="2">
        <v>500</v>
      </c>
      <c r="G210" s="2" t="s">
        <v>3886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3882</v>
      </c>
      <c r="N210" s="4"/>
      <c r="O210" s="5"/>
      <c r="P210" s="4"/>
      <c r="Q210" s="21" t="str">
        <f>VLOOKUP(tblProductos[[#This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3961</v>
      </c>
      <c r="D211" s="2" t="s">
        <v>4006</v>
      </c>
      <c r="E211" s="2" t="s">
        <v>3889</v>
      </c>
      <c r="F211" s="2">
        <v>500</v>
      </c>
      <c r="G211" s="2" t="s">
        <v>3886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3882</v>
      </c>
      <c r="N211" s="4"/>
      <c r="O211" s="5"/>
      <c r="P211" s="4"/>
      <c r="Q211" s="21" t="str">
        <f>VLOOKUP(tblProductos[[#This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3961</v>
      </c>
      <c r="D212" s="2" t="s">
        <v>4009</v>
      </c>
      <c r="E212" s="2" t="s">
        <v>3889</v>
      </c>
      <c r="F212" s="2">
        <v>500</v>
      </c>
      <c r="G212" s="2" t="s">
        <v>3886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3882</v>
      </c>
      <c r="N212" s="4"/>
      <c r="O212" s="5"/>
      <c r="P212" s="4"/>
      <c r="Q212" s="21" t="str">
        <f>VLOOKUP(tblProductos[[#This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3961</v>
      </c>
      <c r="D213" s="2" t="s">
        <v>4007</v>
      </c>
      <c r="E213" s="2" t="s">
        <v>3889</v>
      </c>
      <c r="F213" s="2">
        <v>500</v>
      </c>
      <c r="G213" s="2" t="s">
        <v>3886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3882</v>
      </c>
      <c r="N213" s="4"/>
      <c r="O213" s="5"/>
      <c r="P213" s="4"/>
      <c r="Q213" s="21" t="str">
        <f>VLOOKUP(tblProductos[[#This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3961</v>
      </c>
      <c r="D214" s="2" t="s">
        <v>3888</v>
      </c>
      <c r="E214" s="2" t="s">
        <v>3889</v>
      </c>
      <c r="F214" s="2">
        <v>500</v>
      </c>
      <c r="G214" s="2" t="s">
        <v>3886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3882</v>
      </c>
      <c r="N214" s="4"/>
      <c r="O214" s="5"/>
      <c r="P214" s="4"/>
      <c r="Q214" s="21" t="str">
        <f>VLOOKUP(tblProductos[[#This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3961</v>
      </c>
      <c r="D215" s="2" t="s">
        <v>4008</v>
      </c>
      <c r="E215" s="2" t="s">
        <v>3889</v>
      </c>
      <c r="F215" s="2">
        <v>500</v>
      </c>
      <c r="G215" s="2" t="s">
        <v>3886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3882</v>
      </c>
      <c r="N215" s="4"/>
      <c r="O215" s="5"/>
      <c r="P215" s="4"/>
      <c r="Q215" s="21" t="str">
        <f>VLOOKUP(tblProductos[[#This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3961</v>
      </c>
      <c r="D216" s="2" t="s">
        <v>3919</v>
      </c>
      <c r="E216" s="2" t="s">
        <v>3889</v>
      </c>
      <c r="F216" s="2">
        <v>500</v>
      </c>
      <c r="G216" s="2" t="s">
        <v>3886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3882</v>
      </c>
      <c r="N216" s="4"/>
      <c r="O216" s="5"/>
      <c r="P216" s="4"/>
      <c r="Q216" s="21" t="str">
        <f>VLOOKUP(tblProductos[[#This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3965</v>
      </c>
      <c r="D217" s="2" t="s">
        <v>4006</v>
      </c>
      <c r="E217" s="2" t="s">
        <v>3875</v>
      </c>
      <c r="F217" s="2">
        <v>500</v>
      </c>
      <c r="G217" s="2" t="s">
        <v>3886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3882</v>
      </c>
      <c r="N217" s="4"/>
      <c r="O217" s="5"/>
      <c r="P217" s="4"/>
      <c r="Q217" s="21" t="str">
        <f>VLOOKUP(tblProductos[[#This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3965</v>
      </c>
      <c r="D218" s="2" t="s">
        <v>4009</v>
      </c>
      <c r="E218" s="2" t="s">
        <v>3875</v>
      </c>
      <c r="F218" s="2">
        <v>500</v>
      </c>
      <c r="G218" s="2" t="s">
        <v>3886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3882</v>
      </c>
      <c r="N218" s="4"/>
      <c r="O218" s="5"/>
      <c r="P218" s="4"/>
      <c r="Q218" s="21" t="str">
        <f>VLOOKUP(tblProductos[[#This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3965</v>
      </c>
      <c r="D219" s="2" t="s">
        <v>4007</v>
      </c>
      <c r="E219" s="2" t="s">
        <v>3875</v>
      </c>
      <c r="F219" s="2">
        <v>500</v>
      </c>
      <c r="G219" s="2" t="s">
        <v>3886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3882</v>
      </c>
      <c r="N219" s="4"/>
      <c r="O219" s="5"/>
      <c r="P219" s="4"/>
      <c r="Q219" s="21" t="str">
        <f>VLOOKUP(tblProductos[[#This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3965</v>
      </c>
      <c r="D220" s="2" t="s">
        <v>3888</v>
      </c>
      <c r="E220" s="2" t="s">
        <v>3875</v>
      </c>
      <c r="F220" s="2">
        <v>500</v>
      </c>
      <c r="G220" s="2" t="s">
        <v>3886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3882</v>
      </c>
      <c r="N220" s="4"/>
      <c r="O220" s="5"/>
      <c r="P220" s="4"/>
      <c r="Q220" s="21" t="str">
        <f>VLOOKUP(tblProductos[[#This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3965</v>
      </c>
      <c r="D221" s="2" t="s">
        <v>4008</v>
      </c>
      <c r="E221" s="2" t="s">
        <v>3875</v>
      </c>
      <c r="F221" s="2">
        <v>500</v>
      </c>
      <c r="G221" s="2" t="s">
        <v>3886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3882</v>
      </c>
      <c r="N221" s="4"/>
      <c r="O221" s="5"/>
      <c r="P221" s="4"/>
      <c r="Q221" s="21" t="str">
        <f>VLOOKUP(tblProductos[[#This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3965</v>
      </c>
      <c r="D222" s="2" t="s">
        <v>3919</v>
      </c>
      <c r="E222" s="2" t="s">
        <v>3875</v>
      </c>
      <c r="F222" s="2">
        <v>500</v>
      </c>
      <c r="G222" s="2" t="s">
        <v>3886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3882</v>
      </c>
      <c r="N222" s="4"/>
      <c r="O222" s="5"/>
      <c r="P222" s="4"/>
      <c r="Q222" s="21" t="str">
        <f>VLOOKUP(tblProductos[[#This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3969</v>
      </c>
      <c r="D223" s="2" t="s">
        <v>4009</v>
      </c>
      <c r="E223" s="2" t="s">
        <v>3872</v>
      </c>
      <c r="F223" s="2">
        <v>500</v>
      </c>
      <c r="G223" s="2" t="s">
        <v>3886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3882</v>
      </c>
      <c r="N223" s="4"/>
      <c r="O223" s="5"/>
      <c r="P223" s="4"/>
      <c r="Q223" s="21" t="str">
        <f>VLOOKUP(tblProductos[[#This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3969</v>
      </c>
      <c r="D224" s="2" t="s">
        <v>4006</v>
      </c>
      <c r="E224" s="2" t="s">
        <v>3872</v>
      </c>
      <c r="F224" s="2">
        <v>500</v>
      </c>
      <c r="G224" s="2" t="s">
        <v>3886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3882</v>
      </c>
      <c r="N224" s="4"/>
      <c r="O224" s="5"/>
      <c r="P224" s="4"/>
      <c r="Q224" s="21" t="str">
        <f>VLOOKUP(tblProductos[[#This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3969</v>
      </c>
      <c r="D225" s="2" t="s">
        <v>4007</v>
      </c>
      <c r="E225" s="2" t="s">
        <v>3872</v>
      </c>
      <c r="F225" s="2">
        <v>500</v>
      </c>
      <c r="G225" s="2" t="s">
        <v>3886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3882</v>
      </c>
      <c r="N225" s="4"/>
      <c r="O225" s="5"/>
      <c r="P225" s="4"/>
      <c r="Q225" s="21" t="str">
        <f>VLOOKUP(tblProductos[[#This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3969</v>
      </c>
      <c r="D226" s="2" t="s">
        <v>3888</v>
      </c>
      <c r="E226" s="2" t="s">
        <v>3872</v>
      </c>
      <c r="F226" s="2">
        <v>500</v>
      </c>
      <c r="G226" s="2" t="s">
        <v>3886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3882</v>
      </c>
      <c r="N226" s="4"/>
      <c r="O226" s="5"/>
      <c r="P226" s="4"/>
      <c r="Q226" s="21" t="str">
        <f>VLOOKUP(tblProductos[[#This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3969</v>
      </c>
      <c r="D227" s="2" t="s">
        <v>4008</v>
      </c>
      <c r="E227" s="2" t="s">
        <v>3872</v>
      </c>
      <c r="F227" s="2">
        <v>500</v>
      </c>
      <c r="G227" s="2" t="s">
        <v>3886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3882</v>
      </c>
      <c r="N227" s="4"/>
      <c r="O227" s="5"/>
      <c r="P227" s="4"/>
      <c r="Q227" s="21" t="str">
        <f>VLOOKUP(tblProductos[[#This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3969</v>
      </c>
      <c r="D228" s="2" t="s">
        <v>3919</v>
      </c>
      <c r="E228" s="2" t="s">
        <v>3872</v>
      </c>
      <c r="F228" s="2">
        <v>500</v>
      </c>
      <c r="G228" s="2" t="s">
        <v>3886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3882</v>
      </c>
      <c r="N228" s="4"/>
      <c r="O228" s="5"/>
      <c r="P228" s="4"/>
      <c r="Q228" s="21" t="str">
        <f>VLOOKUP(tblProductos[[#This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3970</v>
      </c>
      <c r="D229" s="2" t="s">
        <v>4009</v>
      </c>
      <c r="E229" s="2" t="s">
        <v>3875</v>
      </c>
      <c r="F229" s="2">
        <v>500</v>
      </c>
      <c r="G229" s="2" t="s">
        <v>3886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3882</v>
      </c>
      <c r="N229" s="4"/>
      <c r="O229" s="5"/>
      <c r="P229" s="4"/>
      <c r="Q229" s="21" t="str">
        <f>VLOOKUP(tblProductos[[#This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3970</v>
      </c>
      <c r="D230" s="2" t="s">
        <v>4007</v>
      </c>
      <c r="E230" s="2" t="s">
        <v>3875</v>
      </c>
      <c r="F230" s="2">
        <v>500</v>
      </c>
      <c r="G230" s="2" t="s">
        <v>3886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3882</v>
      </c>
      <c r="N230" s="4"/>
      <c r="O230" s="5"/>
      <c r="P230" s="4"/>
      <c r="Q230" s="21" t="str">
        <f>VLOOKUP(tblProductos[[#This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3970</v>
      </c>
      <c r="D231" s="2" t="s">
        <v>3888</v>
      </c>
      <c r="E231" s="2" t="s">
        <v>3875</v>
      </c>
      <c r="F231" s="2">
        <v>500</v>
      </c>
      <c r="G231" s="2" t="s">
        <v>3886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3882</v>
      </c>
      <c r="N231" s="4"/>
      <c r="O231" s="5">
        <v>60</v>
      </c>
      <c r="P231" s="4"/>
      <c r="Q231" s="21" t="str">
        <f>VLOOKUP(tblProductos[[#This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3970</v>
      </c>
      <c r="D232" s="2" t="s">
        <v>4008</v>
      </c>
      <c r="E232" s="2" t="s">
        <v>3875</v>
      </c>
      <c r="F232" s="2">
        <v>500</v>
      </c>
      <c r="G232" s="2" t="s">
        <v>3886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3882</v>
      </c>
      <c r="N232" s="4"/>
      <c r="O232" s="5"/>
      <c r="P232" s="4"/>
      <c r="Q232" s="21" t="str">
        <f>VLOOKUP(tblProductos[[#This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3970</v>
      </c>
      <c r="D233" s="2" t="s">
        <v>3919</v>
      </c>
      <c r="E233" s="2" t="s">
        <v>3875</v>
      </c>
      <c r="F233" s="2">
        <v>500</v>
      </c>
      <c r="G233" s="2" t="s">
        <v>3886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3882</v>
      </c>
      <c r="N233" s="4"/>
      <c r="O233" s="5"/>
      <c r="P233" s="4"/>
      <c r="Q233" s="21" t="str">
        <f>VLOOKUP(tblProductos[[#This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3985</v>
      </c>
      <c r="D234" s="2" t="s">
        <v>4006</v>
      </c>
      <c r="E234" s="2" t="s">
        <v>3872</v>
      </c>
      <c r="F234" s="2">
        <v>3000</v>
      </c>
      <c r="G234" s="2" t="s">
        <v>3873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3868</v>
      </c>
      <c r="N234" s="4"/>
      <c r="O234" s="5"/>
      <c r="P234" s="4"/>
      <c r="Q234" s="21" t="str">
        <f>VLOOKUP(tblProductos[[#This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3985</v>
      </c>
      <c r="D235" s="2" t="s">
        <v>4009</v>
      </c>
      <c r="E235" s="2" t="s">
        <v>3872</v>
      </c>
      <c r="F235" s="2">
        <v>3000</v>
      </c>
      <c r="G235" s="2" t="s">
        <v>3873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3868</v>
      </c>
      <c r="N235" s="4"/>
      <c r="O235" s="5"/>
      <c r="P235" s="4"/>
      <c r="Q235" s="21" t="str">
        <f>VLOOKUP(tblProductos[[#This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3985</v>
      </c>
      <c r="D236" s="2" t="s">
        <v>4007</v>
      </c>
      <c r="E236" s="2" t="s">
        <v>3872</v>
      </c>
      <c r="F236" s="2">
        <v>3000</v>
      </c>
      <c r="G236" s="2" t="s">
        <v>3873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3868</v>
      </c>
      <c r="N236" s="4"/>
      <c r="O236" s="5"/>
      <c r="P236" s="4"/>
      <c r="Q236" s="21" t="str">
        <f>VLOOKUP(tblProductos[[#This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3985</v>
      </c>
      <c r="D237" s="2" t="s">
        <v>3888</v>
      </c>
      <c r="E237" s="2" t="s">
        <v>3872</v>
      </c>
      <c r="F237" s="2">
        <v>3000</v>
      </c>
      <c r="G237" s="2" t="s">
        <v>3873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3868</v>
      </c>
      <c r="N237" s="4"/>
      <c r="O237" s="5"/>
      <c r="P237" s="4"/>
      <c r="Q237" s="21" t="str">
        <f>VLOOKUP(tblProductos[[#This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3985</v>
      </c>
      <c r="D238" s="2" t="s">
        <v>4008</v>
      </c>
      <c r="E238" s="2" t="s">
        <v>3872</v>
      </c>
      <c r="F238" s="2">
        <v>3000</v>
      </c>
      <c r="G238" s="2" t="s">
        <v>3873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3868</v>
      </c>
      <c r="N238" s="4"/>
      <c r="O238" s="5"/>
      <c r="P238" s="4"/>
      <c r="Q238" s="21" t="str">
        <f>VLOOKUP(tblProductos[[#This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3985</v>
      </c>
      <c r="D239" s="2" t="s">
        <v>3919</v>
      </c>
      <c r="E239" s="2" t="s">
        <v>3872</v>
      </c>
      <c r="F239" s="2">
        <v>3000</v>
      </c>
      <c r="G239" s="2" t="s">
        <v>3873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3868</v>
      </c>
      <c r="N239" s="4"/>
      <c r="O239" s="5"/>
      <c r="P239" s="4"/>
      <c r="Q239" s="21" t="str">
        <f>VLOOKUP(tblProductos[[#This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3986</v>
      </c>
      <c r="D240" s="2" t="s">
        <v>4006</v>
      </c>
      <c r="E240" s="2" t="s">
        <v>3875</v>
      </c>
      <c r="F240" s="2">
        <v>3000</v>
      </c>
      <c r="G240" s="2" t="s">
        <v>3873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3868</v>
      </c>
      <c r="N240" s="4"/>
      <c r="O240" s="5"/>
      <c r="P240" s="4"/>
      <c r="Q240" s="21" t="str">
        <f>VLOOKUP(tblProductos[[#This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3986</v>
      </c>
      <c r="D241" s="2" t="s">
        <v>4009</v>
      </c>
      <c r="E241" s="2" t="s">
        <v>3875</v>
      </c>
      <c r="F241" s="2">
        <v>3000</v>
      </c>
      <c r="G241" s="2" t="s">
        <v>3873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3868</v>
      </c>
      <c r="N241" s="4"/>
      <c r="O241" s="5"/>
      <c r="P241" s="4"/>
      <c r="Q241" s="21" t="str">
        <f>VLOOKUP(tblProductos[[#This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3986</v>
      </c>
      <c r="D242" s="2" t="s">
        <v>4007</v>
      </c>
      <c r="E242" s="2" t="s">
        <v>3875</v>
      </c>
      <c r="F242" s="2">
        <v>3000</v>
      </c>
      <c r="G242" s="2" t="s">
        <v>3873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3868</v>
      </c>
      <c r="N242" s="4"/>
      <c r="O242" s="5"/>
      <c r="P242" s="4"/>
      <c r="Q242" s="21" t="str">
        <f>VLOOKUP(tblProductos[[#This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3986</v>
      </c>
      <c r="D243" s="2" t="s">
        <v>3888</v>
      </c>
      <c r="E243" s="2" t="s">
        <v>3875</v>
      </c>
      <c r="F243" s="2">
        <v>3000</v>
      </c>
      <c r="G243" s="2" t="s">
        <v>3873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3868</v>
      </c>
      <c r="N243" s="4"/>
      <c r="O243" s="5"/>
      <c r="P243" s="4"/>
      <c r="Q243" s="21" t="str">
        <f>VLOOKUP(tblProductos[[#This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3986</v>
      </c>
      <c r="D244" s="2" t="s">
        <v>4008</v>
      </c>
      <c r="E244" s="2" t="s">
        <v>3875</v>
      </c>
      <c r="F244" s="2">
        <v>3000</v>
      </c>
      <c r="G244" s="2" t="s">
        <v>3873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3868</v>
      </c>
      <c r="N244" s="4"/>
      <c r="O244" s="5"/>
      <c r="P244" s="4"/>
      <c r="Q244" s="21" t="str">
        <f>VLOOKUP(tblProductos[[#This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3986</v>
      </c>
      <c r="D245" s="2" t="s">
        <v>3919</v>
      </c>
      <c r="E245" s="2" t="s">
        <v>3875</v>
      </c>
      <c r="F245" s="2">
        <v>3000</v>
      </c>
      <c r="G245" s="2" t="s">
        <v>3873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3868</v>
      </c>
      <c r="N245" s="4"/>
      <c r="O245" s="5"/>
      <c r="P245" s="4"/>
      <c r="Q245" s="21" t="str">
        <f>VLOOKUP(tblProductos[[#This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3987</v>
      </c>
      <c r="D246" s="2" t="s">
        <v>4006</v>
      </c>
      <c r="E246" s="2" t="s">
        <v>3877</v>
      </c>
      <c r="F246" s="2">
        <v>3000</v>
      </c>
      <c r="G246" s="2" t="s">
        <v>3873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3868</v>
      </c>
      <c r="N246" s="4"/>
      <c r="O246" s="5"/>
      <c r="P246" s="4"/>
      <c r="Q246" s="21" t="str">
        <f>VLOOKUP(tblProductos[[#This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3987</v>
      </c>
      <c r="D247" s="2" t="s">
        <v>4009</v>
      </c>
      <c r="E247" s="2" t="s">
        <v>3877</v>
      </c>
      <c r="F247" s="2">
        <v>3000</v>
      </c>
      <c r="G247" s="2" t="s">
        <v>3873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3868</v>
      </c>
      <c r="N247" s="4"/>
      <c r="O247" s="5"/>
      <c r="P247" s="4"/>
      <c r="Q247" s="21" t="str">
        <f>VLOOKUP(tblProductos[[#This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3987</v>
      </c>
      <c r="D248" s="2" t="s">
        <v>4007</v>
      </c>
      <c r="E248" s="2" t="s">
        <v>3877</v>
      </c>
      <c r="F248" s="2">
        <v>3000</v>
      </c>
      <c r="G248" s="2" t="s">
        <v>3873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3868</v>
      </c>
      <c r="N248" s="4"/>
      <c r="O248" s="5"/>
      <c r="P248" s="4"/>
      <c r="Q248" s="21" t="str">
        <f>VLOOKUP(tblProductos[[#This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3987</v>
      </c>
      <c r="D249" s="2" t="s">
        <v>3888</v>
      </c>
      <c r="E249" s="2" t="s">
        <v>3877</v>
      </c>
      <c r="F249" s="2">
        <v>3000</v>
      </c>
      <c r="G249" s="2" t="s">
        <v>3873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3868</v>
      </c>
      <c r="N249" s="4"/>
      <c r="O249" s="5"/>
      <c r="P249" s="4"/>
      <c r="Q249" s="21" t="str">
        <f>VLOOKUP(tblProductos[[#This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3987</v>
      </c>
      <c r="D250" s="2" t="s">
        <v>4008</v>
      </c>
      <c r="E250" s="2" t="s">
        <v>3877</v>
      </c>
      <c r="F250" s="2">
        <v>3000</v>
      </c>
      <c r="G250" s="2" t="s">
        <v>3873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3868</v>
      </c>
      <c r="N250" s="4"/>
      <c r="O250" s="5"/>
      <c r="P250" s="4"/>
      <c r="Q250" s="21" t="str">
        <f>VLOOKUP(tblProductos[[#This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3987</v>
      </c>
      <c r="D251" s="2" t="s">
        <v>3919</v>
      </c>
      <c r="E251" s="2" t="s">
        <v>3877</v>
      </c>
      <c r="F251" s="2">
        <v>3000</v>
      </c>
      <c r="G251" s="2" t="s">
        <v>3873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3868</v>
      </c>
      <c r="N251" s="4"/>
      <c r="O251" s="5"/>
      <c r="P251" s="4"/>
      <c r="Q251" s="21" t="str">
        <f>VLOOKUP(tblProductos[[#This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3988</v>
      </c>
      <c r="D252" s="2" t="s">
        <v>4006</v>
      </c>
      <c r="E252" s="2" t="s">
        <v>3879</v>
      </c>
      <c r="F252" s="2">
        <v>3000</v>
      </c>
      <c r="G252" s="2" t="s">
        <v>3873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3868</v>
      </c>
      <c r="N252" s="4"/>
      <c r="O252" s="5"/>
      <c r="P252" s="4"/>
      <c r="Q252" s="21" t="str">
        <f>VLOOKUP(tblProductos[[#This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3988</v>
      </c>
      <c r="D253" s="2" t="s">
        <v>4009</v>
      </c>
      <c r="E253" s="2" t="s">
        <v>3879</v>
      </c>
      <c r="F253" s="2">
        <v>3000</v>
      </c>
      <c r="G253" s="2" t="s">
        <v>3873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3868</v>
      </c>
      <c r="N253" s="4"/>
      <c r="O253" s="5"/>
      <c r="P253" s="4"/>
      <c r="Q253" s="21" t="str">
        <f>VLOOKUP(tblProductos[[#This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3988</v>
      </c>
      <c r="D254" s="2" t="s">
        <v>4007</v>
      </c>
      <c r="E254" s="2" t="s">
        <v>3879</v>
      </c>
      <c r="F254" s="2">
        <v>3000</v>
      </c>
      <c r="G254" s="2" t="s">
        <v>3873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3868</v>
      </c>
      <c r="N254" s="4"/>
      <c r="O254" s="5"/>
      <c r="P254" s="4"/>
      <c r="Q254" s="21" t="str">
        <f>VLOOKUP(tblProductos[[#This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3988</v>
      </c>
      <c r="D255" s="2" t="s">
        <v>3888</v>
      </c>
      <c r="E255" s="2" t="s">
        <v>3879</v>
      </c>
      <c r="F255" s="2">
        <v>3000</v>
      </c>
      <c r="G255" s="2" t="s">
        <v>3873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3868</v>
      </c>
      <c r="N255" s="4"/>
      <c r="O255" s="5"/>
      <c r="P255" s="4"/>
      <c r="Q255" s="21" t="str">
        <f>VLOOKUP(tblProductos[[#This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3988</v>
      </c>
      <c r="D256" s="2" t="s">
        <v>4008</v>
      </c>
      <c r="E256" s="2" t="s">
        <v>3879</v>
      </c>
      <c r="F256" s="2">
        <v>3000</v>
      </c>
      <c r="G256" s="2" t="s">
        <v>3873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3868</v>
      </c>
      <c r="N256" s="4"/>
      <c r="O256" s="5"/>
      <c r="P256" s="4"/>
      <c r="Q256" s="21" t="str">
        <f>VLOOKUP(tblProductos[[#This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3988</v>
      </c>
      <c r="D257" s="2" t="s">
        <v>3919</v>
      </c>
      <c r="E257" s="2" t="s">
        <v>3879</v>
      </c>
      <c r="F257" s="2">
        <v>3000</v>
      </c>
      <c r="G257" s="2" t="s">
        <v>3873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3868</v>
      </c>
      <c r="N257" s="4"/>
      <c r="O257" s="5"/>
      <c r="P257" s="4"/>
      <c r="Q257" s="21" t="str">
        <f>VLOOKUP(tblProductos[[#This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3989</v>
      </c>
      <c r="D258" s="2" t="s">
        <v>4006</v>
      </c>
      <c r="E258" s="2" t="s">
        <v>3889</v>
      </c>
      <c r="F258" s="2">
        <v>3000</v>
      </c>
      <c r="G258" s="2" t="s">
        <v>3873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3868</v>
      </c>
      <c r="N258" s="4"/>
      <c r="O258" s="5"/>
      <c r="P258" s="4"/>
      <c r="Q258" s="21" t="str">
        <f>VLOOKUP(tblProductos[[#This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3989</v>
      </c>
      <c r="D259" s="2" t="s">
        <v>4009</v>
      </c>
      <c r="E259" s="2" t="s">
        <v>3889</v>
      </c>
      <c r="F259" s="2">
        <v>3000</v>
      </c>
      <c r="G259" s="2" t="s">
        <v>3873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3868</v>
      </c>
      <c r="N259" s="4"/>
      <c r="O259" s="5"/>
      <c r="P259" s="4"/>
      <c r="Q259" s="21" t="str">
        <f>VLOOKUP(tblProductos[[#This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3989</v>
      </c>
      <c r="D260" s="2" t="s">
        <v>4007</v>
      </c>
      <c r="E260" s="2" t="s">
        <v>3889</v>
      </c>
      <c r="F260" s="2">
        <v>3000</v>
      </c>
      <c r="G260" s="2" t="s">
        <v>3873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3868</v>
      </c>
      <c r="N260" s="4"/>
      <c r="O260" s="5"/>
      <c r="P260" s="4"/>
      <c r="Q260" s="21" t="str">
        <f>VLOOKUP(tblProductos[[#This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3989</v>
      </c>
      <c r="D261" s="2" t="s">
        <v>3888</v>
      </c>
      <c r="E261" s="2" t="s">
        <v>3889</v>
      </c>
      <c r="F261" s="2">
        <v>3000</v>
      </c>
      <c r="G261" s="2" t="s">
        <v>3873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3868</v>
      </c>
      <c r="N261" s="4"/>
      <c r="O261" s="5"/>
      <c r="P261" s="4"/>
      <c r="Q261" s="21" t="str">
        <f>VLOOKUP(tblProductos[[#This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3989</v>
      </c>
      <c r="D262" s="2" t="s">
        <v>4008</v>
      </c>
      <c r="E262" s="2" t="s">
        <v>3889</v>
      </c>
      <c r="F262" s="2">
        <v>3000</v>
      </c>
      <c r="G262" s="2" t="s">
        <v>3873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3868</v>
      </c>
      <c r="N262" s="4"/>
      <c r="O262" s="5"/>
      <c r="P262" s="4"/>
      <c r="Q262" s="21" t="str">
        <f>VLOOKUP(tblProductos[[#This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3989</v>
      </c>
      <c r="D263" s="2" t="s">
        <v>3919</v>
      </c>
      <c r="E263" s="2" t="s">
        <v>3889</v>
      </c>
      <c r="F263" s="2">
        <v>3000</v>
      </c>
      <c r="G263" s="2" t="s">
        <v>3873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3868</v>
      </c>
      <c r="N263" s="4"/>
      <c r="O263" s="5"/>
      <c r="P263" s="4"/>
      <c r="Q263" s="21" t="str">
        <f>VLOOKUP(tblProductos[[#This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4005</v>
      </c>
      <c r="D264" s="2" t="s">
        <v>4006</v>
      </c>
      <c r="E264" s="2"/>
      <c r="F264" s="2">
        <v>1800</v>
      </c>
      <c r="G264" s="2" t="s">
        <v>3873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3913</v>
      </c>
      <c r="N264" s="4"/>
      <c r="O264" s="5"/>
      <c r="P264" s="4"/>
      <c r="Q264" s="21" t="str">
        <f>VLOOKUP(tblProductos[[#This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4005</v>
      </c>
      <c r="D265" s="2" t="s">
        <v>4009</v>
      </c>
      <c r="E265" s="2"/>
      <c r="F265" s="2">
        <v>1800</v>
      </c>
      <c r="G265" s="2" t="s">
        <v>3873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3913</v>
      </c>
      <c r="N265" s="4"/>
      <c r="O265" s="5"/>
      <c r="P265" s="4"/>
      <c r="Q265" s="21" t="str">
        <f>VLOOKUP(tblProductos[[#This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4005</v>
      </c>
      <c r="D266" s="2" t="s">
        <v>4007</v>
      </c>
      <c r="E266" s="2"/>
      <c r="F266" s="2">
        <v>1800</v>
      </c>
      <c r="G266" s="2" t="s">
        <v>3873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3913</v>
      </c>
      <c r="N266" s="4"/>
      <c r="O266" s="5"/>
      <c r="P266" s="4"/>
      <c r="Q266" s="21" t="str">
        <f>VLOOKUP(tblProductos[[#This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4005</v>
      </c>
      <c r="D267" s="2" t="s">
        <v>3888</v>
      </c>
      <c r="E267" s="2"/>
      <c r="F267" s="2">
        <v>1800</v>
      </c>
      <c r="G267" s="2" t="s">
        <v>3873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3913</v>
      </c>
      <c r="N267" s="4"/>
      <c r="O267" s="5"/>
      <c r="P267" s="4"/>
      <c r="Q267" s="21" t="str">
        <f>VLOOKUP(tblProductos[[#This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4005</v>
      </c>
      <c r="D268" s="2" t="s">
        <v>4008</v>
      </c>
      <c r="E268" s="2"/>
      <c r="F268" s="2">
        <v>1800</v>
      </c>
      <c r="G268" s="2" t="s">
        <v>3873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3913</v>
      </c>
      <c r="N268" s="4"/>
      <c r="O268" s="5"/>
      <c r="P268" s="4"/>
      <c r="Q268" s="21" t="str">
        <f>VLOOKUP(tblProductos[[#This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4005</v>
      </c>
      <c r="D269" s="2" t="s">
        <v>3919</v>
      </c>
      <c r="E269" s="2"/>
      <c r="F269" s="2">
        <v>1800</v>
      </c>
      <c r="G269" s="2" t="s">
        <v>3873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3913</v>
      </c>
      <c r="N269" s="4"/>
      <c r="O269" s="5"/>
      <c r="P269" s="4"/>
      <c r="Q269" s="21" t="str">
        <f>VLOOKUP(tblProductos[[#This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3150</v>
      </c>
      <c r="D270" s="2" t="s">
        <v>4010</v>
      </c>
      <c r="E270" s="2"/>
      <c r="F270" s="2">
        <v>50</v>
      </c>
      <c r="G270" s="2" t="s">
        <v>3842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3843</v>
      </c>
      <c r="N270" s="4"/>
      <c r="O270" s="5"/>
      <c r="P270" s="4"/>
      <c r="Q270" s="21" t="str">
        <f>VLOOKUP(tblProductos[[#This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3150</v>
      </c>
      <c r="D271" s="2" t="s">
        <v>4011</v>
      </c>
      <c r="E271" s="2"/>
      <c r="F271" s="2">
        <v>50</v>
      </c>
      <c r="G271" s="2" t="s">
        <v>3842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3843</v>
      </c>
      <c r="N271" s="4"/>
      <c r="O271" s="5"/>
      <c r="P271" s="4"/>
      <c r="Q271" s="21" t="str">
        <f>VLOOKUP(tblProductos[[#This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3150</v>
      </c>
      <c r="D272" s="2" t="s">
        <v>4011</v>
      </c>
      <c r="E272" s="2"/>
      <c r="F272" s="2">
        <v>50</v>
      </c>
      <c r="G272" s="2" t="s">
        <v>3842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3843</v>
      </c>
      <c r="N272" s="4"/>
      <c r="O272" s="5"/>
      <c r="P272" s="4"/>
      <c r="Q272" s="21" t="str">
        <f>VLOOKUP(tblProductos[[#This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3150</v>
      </c>
      <c r="D273" s="2" t="s">
        <v>4009</v>
      </c>
      <c r="E273" s="2"/>
      <c r="F273" s="2">
        <v>50</v>
      </c>
      <c r="G273" s="2" t="s">
        <v>3842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3843</v>
      </c>
      <c r="N273" s="4"/>
      <c r="O273" s="5"/>
      <c r="P273" s="4"/>
      <c r="Q273" s="21" t="str">
        <f>VLOOKUP(tblProductos[[#This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3150</v>
      </c>
      <c r="D274" s="2" t="s">
        <v>4009</v>
      </c>
      <c r="E274" s="2"/>
      <c r="F274" s="2">
        <v>50</v>
      </c>
      <c r="G274" s="2" t="s">
        <v>3842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3843</v>
      </c>
      <c r="N274" s="4"/>
      <c r="O274" s="5"/>
      <c r="P274" s="4"/>
      <c r="Q274" s="21" t="str">
        <f>VLOOKUP(tblProductos[[#This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3150</v>
      </c>
      <c r="D275" s="2" t="s">
        <v>4006</v>
      </c>
      <c r="E275" s="2"/>
      <c r="F275" s="2">
        <v>50</v>
      </c>
      <c r="G275" s="2" t="s">
        <v>3842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3843</v>
      </c>
      <c r="N275" s="4"/>
      <c r="O275" s="5"/>
      <c r="P275" s="4"/>
      <c r="Q275" s="21" t="str">
        <f>VLOOKUP(tblProductos[[#This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3150</v>
      </c>
      <c r="D276" s="2" t="s">
        <v>4006</v>
      </c>
      <c r="E276" s="2"/>
      <c r="F276" s="2">
        <v>50</v>
      </c>
      <c r="G276" s="2" t="s">
        <v>3842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3843</v>
      </c>
      <c r="N276" s="4"/>
      <c r="O276" s="5"/>
      <c r="P276" s="4"/>
      <c r="Q276" s="21" t="str">
        <f>VLOOKUP(tblProductos[[#This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3150</v>
      </c>
      <c r="D277" s="2" t="s">
        <v>4012</v>
      </c>
      <c r="E277" s="2"/>
      <c r="F277" s="2">
        <v>50</v>
      </c>
      <c r="G277" s="2" t="s">
        <v>3842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3843</v>
      </c>
      <c r="N277" s="4"/>
      <c r="O277" s="5"/>
      <c r="P277" s="4"/>
      <c r="Q277" s="21" t="str">
        <f>VLOOKUP(tblProductos[[#This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3150</v>
      </c>
      <c r="D278" s="2" t="s">
        <v>4013</v>
      </c>
      <c r="E278" s="2"/>
      <c r="F278" s="2">
        <v>50</v>
      </c>
      <c r="G278" s="2" t="s">
        <v>3842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3843</v>
      </c>
      <c r="N278" s="4"/>
      <c r="O278" s="5"/>
      <c r="P278" s="4"/>
      <c r="Q278" s="21" t="str">
        <f>VLOOKUP(tblProductos[[#This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3150</v>
      </c>
      <c r="D279" s="2" t="s">
        <v>3888</v>
      </c>
      <c r="E279" s="2"/>
      <c r="F279" s="2">
        <v>50</v>
      </c>
      <c r="G279" s="2" t="s">
        <v>3842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3843</v>
      </c>
      <c r="N279" s="4"/>
      <c r="O279" s="5"/>
      <c r="P279" s="4"/>
      <c r="Q279" s="21" t="str">
        <f>VLOOKUP(tblProductos[[#This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3150</v>
      </c>
      <c r="D280" s="2" t="s">
        <v>4014</v>
      </c>
      <c r="E280" s="2"/>
      <c r="F280" s="2">
        <v>50</v>
      </c>
      <c r="G280" s="2" t="s">
        <v>3842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3843</v>
      </c>
      <c r="N280" s="4"/>
      <c r="O280" s="5"/>
      <c r="P280" s="4"/>
      <c r="Q280" s="21" t="str">
        <f>VLOOKUP(tblProductos[[#This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3150</v>
      </c>
      <c r="D281" s="2" t="s">
        <v>4008</v>
      </c>
      <c r="E281" s="2"/>
      <c r="F281" s="2">
        <v>50</v>
      </c>
      <c r="G281" s="2" t="s">
        <v>3842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3843</v>
      </c>
      <c r="N281" s="4"/>
      <c r="O281" s="5"/>
      <c r="P281" s="4"/>
      <c r="Q281" s="21" t="str">
        <f>VLOOKUP(tblProductos[[#This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3150</v>
      </c>
      <c r="D282" s="2" t="s">
        <v>4015</v>
      </c>
      <c r="E282" s="2"/>
      <c r="F282" s="2">
        <v>50</v>
      </c>
      <c r="G282" s="2" t="s">
        <v>3842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3843</v>
      </c>
      <c r="N282" s="4"/>
      <c r="O282" s="5"/>
      <c r="P282" s="4"/>
      <c r="Q282" s="21" t="str">
        <f>VLOOKUP(tblProductos[[#This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3150</v>
      </c>
      <c r="D283" s="2" t="s">
        <v>3919</v>
      </c>
      <c r="E283" s="2"/>
      <c r="F283" s="2">
        <v>50</v>
      </c>
      <c r="G283" s="2" t="s">
        <v>3842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3843</v>
      </c>
      <c r="N283" s="4"/>
      <c r="O283" s="5"/>
      <c r="P283" s="4"/>
      <c r="Q283" s="21" t="str">
        <f>VLOOKUP(tblProductos[[#This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3846</v>
      </c>
      <c r="D284" s="2" t="s">
        <v>4010</v>
      </c>
      <c r="E284" s="2"/>
      <c r="F284" s="2">
        <v>100</v>
      </c>
      <c r="G284" s="2" t="s">
        <v>3842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3843</v>
      </c>
      <c r="N284" s="4"/>
      <c r="O284" s="5"/>
      <c r="P284" s="4"/>
      <c r="Q284" s="21" t="str">
        <f>VLOOKUP(tblProductos[[#This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3846</v>
      </c>
      <c r="D285" s="2" t="s">
        <v>4011</v>
      </c>
      <c r="E285" s="2"/>
      <c r="F285" s="2">
        <v>100</v>
      </c>
      <c r="G285" s="2" t="s">
        <v>3842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3843</v>
      </c>
      <c r="N285" s="4"/>
      <c r="O285" s="5"/>
      <c r="P285" s="4"/>
      <c r="Q285" s="21" t="str">
        <f>VLOOKUP(tblProductos[[#This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3846</v>
      </c>
      <c r="D286" s="2" t="s">
        <v>4012</v>
      </c>
      <c r="E286" s="2"/>
      <c r="F286" s="2">
        <v>100</v>
      </c>
      <c r="G286" s="2" t="s">
        <v>3842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3843</v>
      </c>
      <c r="N286" s="4"/>
      <c r="O286" s="5"/>
      <c r="P286" s="4"/>
      <c r="Q286" s="21" t="str">
        <f>VLOOKUP(tblProductos[[#This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3846</v>
      </c>
      <c r="D287" s="2" t="s">
        <v>4013</v>
      </c>
      <c r="E287" s="2"/>
      <c r="F287" s="2">
        <v>100</v>
      </c>
      <c r="G287" s="2" t="s">
        <v>3842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3843</v>
      </c>
      <c r="N287" s="4"/>
      <c r="O287" s="5"/>
      <c r="P287" s="4"/>
      <c r="Q287" s="21" t="str">
        <f>VLOOKUP(tblProductos[[#This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3846</v>
      </c>
      <c r="D288" s="2" t="s">
        <v>3888</v>
      </c>
      <c r="E288" s="2"/>
      <c r="F288" s="2">
        <v>100</v>
      </c>
      <c r="G288" s="2" t="s">
        <v>3842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3843</v>
      </c>
      <c r="N288" s="4"/>
      <c r="O288" s="5"/>
      <c r="P288" s="4"/>
      <c r="Q288" s="21" t="str">
        <f>VLOOKUP(tblProductos[[#This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3846</v>
      </c>
      <c r="D289" s="2" t="s">
        <v>4014</v>
      </c>
      <c r="E289" s="2"/>
      <c r="F289" s="2">
        <v>100</v>
      </c>
      <c r="G289" s="2" t="s">
        <v>3842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3843</v>
      </c>
      <c r="N289" s="4"/>
      <c r="O289" s="5"/>
      <c r="P289" s="4"/>
      <c r="Q289" s="21" t="str">
        <f>VLOOKUP(tblProductos[[#This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3846</v>
      </c>
      <c r="D290" s="2" t="s">
        <v>4008</v>
      </c>
      <c r="E290" s="2"/>
      <c r="F290" s="2">
        <v>100</v>
      </c>
      <c r="G290" s="2" t="s">
        <v>3842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3843</v>
      </c>
      <c r="N290" s="4"/>
      <c r="O290" s="5"/>
      <c r="P290" s="4"/>
      <c r="Q290" s="21" t="str">
        <f>VLOOKUP(tblProductos[[#This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3846</v>
      </c>
      <c r="D291" s="2" t="s">
        <v>4016</v>
      </c>
      <c r="E291" s="2"/>
      <c r="F291" s="2">
        <v>100</v>
      </c>
      <c r="G291" s="2" t="s">
        <v>3842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3843</v>
      </c>
      <c r="N291" s="4"/>
      <c r="O291" s="5"/>
      <c r="P291" s="4"/>
      <c r="Q291" s="21" t="str">
        <f>VLOOKUP(tblProductos[[#This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3846</v>
      </c>
      <c r="D292" s="2" t="s">
        <v>4015</v>
      </c>
      <c r="E292" s="2"/>
      <c r="F292" s="2">
        <v>100</v>
      </c>
      <c r="G292" s="2" t="s">
        <v>3842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3843</v>
      </c>
      <c r="N292" s="4"/>
      <c r="O292" s="5"/>
      <c r="P292" s="4"/>
      <c r="Q292" s="21" t="str">
        <f>VLOOKUP(tblProductos[[#This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3846</v>
      </c>
      <c r="D293" s="2" t="s">
        <v>3919</v>
      </c>
      <c r="E293" s="2"/>
      <c r="F293" s="2">
        <v>100</v>
      </c>
      <c r="G293" s="2" t="s">
        <v>3842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3843</v>
      </c>
      <c r="N293" s="4"/>
      <c r="O293" s="5"/>
      <c r="P293" s="4"/>
      <c r="Q293" s="21" t="str">
        <f>VLOOKUP(tblProductos[[#This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3847</v>
      </c>
      <c r="D294" s="2" t="s">
        <v>4017</v>
      </c>
      <c r="E294" s="2" t="s">
        <v>3848</v>
      </c>
      <c r="F294" s="2">
        <v>200</v>
      </c>
      <c r="G294" s="2" t="s">
        <v>3842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3843</v>
      </c>
      <c r="N294" s="4"/>
      <c r="O294" s="5"/>
      <c r="P294" s="4"/>
      <c r="Q294" s="21" t="str">
        <f>VLOOKUP(tblProductos[[#This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3847</v>
      </c>
      <c r="D295" s="2" t="s">
        <v>4011</v>
      </c>
      <c r="E295" s="2" t="s">
        <v>3848</v>
      </c>
      <c r="F295" s="2">
        <v>200</v>
      </c>
      <c r="G295" s="2" t="s">
        <v>3842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3843</v>
      </c>
      <c r="N295" s="4"/>
      <c r="O295" s="5"/>
      <c r="P295" s="4"/>
      <c r="Q295" s="21" t="str">
        <f>VLOOKUP(tblProductos[[#This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3847</v>
      </c>
      <c r="D296" s="2" t="s">
        <v>4018</v>
      </c>
      <c r="E296" s="2" t="s">
        <v>3848</v>
      </c>
      <c r="F296" s="2">
        <v>200</v>
      </c>
      <c r="G296" s="2" t="s">
        <v>3842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3843</v>
      </c>
      <c r="N296" s="4"/>
      <c r="O296" s="5"/>
      <c r="P296" s="4"/>
      <c r="Q296" s="21" t="str">
        <f>VLOOKUP(tblProductos[[#This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3847</v>
      </c>
      <c r="D297" s="2" t="s">
        <v>4009</v>
      </c>
      <c r="E297" s="2" t="s">
        <v>3848</v>
      </c>
      <c r="F297" s="2">
        <v>200</v>
      </c>
      <c r="G297" s="2" t="s">
        <v>3842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3843</v>
      </c>
      <c r="N297" s="4"/>
      <c r="O297" s="5"/>
      <c r="P297" s="4"/>
      <c r="Q297" s="21" t="str">
        <f>VLOOKUP(tblProductos[[#This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3847</v>
      </c>
      <c r="D298" s="2" t="s">
        <v>4012</v>
      </c>
      <c r="E298" s="2" t="s">
        <v>3848</v>
      </c>
      <c r="F298" s="2">
        <v>200</v>
      </c>
      <c r="G298" s="2" t="s">
        <v>3842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3843</v>
      </c>
      <c r="N298" s="4"/>
      <c r="O298" s="5"/>
      <c r="P298" s="4"/>
      <c r="Q298" s="21" t="str">
        <f>VLOOKUP(tblProductos[[#This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3847</v>
      </c>
      <c r="D299" s="2" t="s">
        <v>3923</v>
      </c>
      <c r="E299" s="2" t="s">
        <v>3848</v>
      </c>
      <c r="F299" s="2">
        <v>200</v>
      </c>
      <c r="G299" s="2" t="s">
        <v>3842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3843</v>
      </c>
      <c r="N299" s="4"/>
      <c r="O299" s="5"/>
      <c r="P299" s="4"/>
      <c r="Q299" s="21" t="str">
        <f>VLOOKUP(tblProductos[[#This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3847</v>
      </c>
      <c r="D300" s="2" t="s">
        <v>4019</v>
      </c>
      <c r="E300" s="2" t="s">
        <v>3848</v>
      </c>
      <c r="F300" s="2">
        <v>200</v>
      </c>
      <c r="G300" s="2" t="s">
        <v>3842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3843</v>
      </c>
      <c r="N300" s="4"/>
      <c r="O300" s="5"/>
      <c r="P300" s="4"/>
      <c r="Q300" s="21" t="str">
        <f>VLOOKUP(tblProductos[[#This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3847</v>
      </c>
      <c r="D301" s="2" t="s">
        <v>4007</v>
      </c>
      <c r="E301" s="2" t="s">
        <v>3848</v>
      </c>
      <c r="F301" s="2">
        <v>200</v>
      </c>
      <c r="G301" s="2" t="s">
        <v>3842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3843</v>
      </c>
      <c r="N301" s="4"/>
      <c r="O301" s="5"/>
      <c r="P301" s="4"/>
      <c r="Q301" s="21" t="str">
        <f>VLOOKUP(tblProductos[[#This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3847</v>
      </c>
      <c r="D302" s="2" t="s">
        <v>4008</v>
      </c>
      <c r="E302" s="2" t="s">
        <v>3848</v>
      </c>
      <c r="F302" s="2">
        <v>200</v>
      </c>
      <c r="G302" s="2" t="s">
        <v>3842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3843</v>
      </c>
      <c r="N302" s="4"/>
      <c r="O302" s="5"/>
      <c r="P302" s="4"/>
      <c r="Q302" s="21" t="str">
        <f>VLOOKUP(tblProductos[[#This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3847</v>
      </c>
      <c r="D303" s="2" t="s">
        <v>4020</v>
      </c>
      <c r="E303" s="2" t="s">
        <v>3848</v>
      </c>
      <c r="F303" s="2">
        <v>200</v>
      </c>
      <c r="G303" s="2" t="s">
        <v>3842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3843</v>
      </c>
      <c r="N303" s="4"/>
      <c r="O303" s="5"/>
      <c r="P303" s="4"/>
      <c r="Q303" s="21" t="str">
        <f>VLOOKUP(tblProductos[[#This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3847</v>
      </c>
      <c r="D304" s="2" t="s">
        <v>4021</v>
      </c>
      <c r="E304" s="2" t="s">
        <v>3848</v>
      </c>
      <c r="F304" s="2">
        <v>200</v>
      </c>
      <c r="G304" s="2" t="s">
        <v>3842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3843</v>
      </c>
      <c r="N304" s="4"/>
      <c r="O304" s="5"/>
      <c r="P304" s="4"/>
      <c r="Q304" s="21" t="str">
        <f>VLOOKUP(tblProductos[[#This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3847</v>
      </c>
      <c r="D305" s="2" t="s">
        <v>4022</v>
      </c>
      <c r="E305" s="2" t="s">
        <v>3848</v>
      </c>
      <c r="F305" s="2">
        <v>200</v>
      </c>
      <c r="G305" s="2" t="s">
        <v>3842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3843</v>
      </c>
      <c r="N305" s="4"/>
      <c r="O305" s="5"/>
      <c r="P305" s="4"/>
      <c r="Q305" s="21" t="str">
        <f>VLOOKUP(tblProductos[[#This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3847</v>
      </c>
      <c r="D306" s="2" t="s">
        <v>4023</v>
      </c>
      <c r="E306" s="2" t="s">
        <v>3848</v>
      </c>
      <c r="F306" s="2">
        <v>200</v>
      </c>
      <c r="G306" s="2" t="s">
        <v>3842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3843</v>
      </c>
      <c r="N306" s="4"/>
      <c r="O306" s="5"/>
      <c r="P306" s="4"/>
      <c r="Q306" s="21" t="str">
        <f>VLOOKUP(tblProductos[[#This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3847</v>
      </c>
      <c r="D307" s="2" t="s">
        <v>4024</v>
      </c>
      <c r="E307" s="2" t="s">
        <v>3848</v>
      </c>
      <c r="F307" s="2">
        <v>200</v>
      </c>
      <c r="G307" s="2" t="s">
        <v>3842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3843</v>
      </c>
      <c r="N307" s="4"/>
      <c r="O307" s="5"/>
      <c r="P307" s="4"/>
      <c r="Q307" s="21" t="str">
        <f>VLOOKUP(tblProductos[[#This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3857</v>
      </c>
      <c r="D308" s="2" t="s">
        <v>3923</v>
      </c>
      <c r="E308" s="2" t="s">
        <v>3858</v>
      </c>
      <c r="F308" s="2">
        <v>200</v>
      </c>
      <c r="G308" s="2" t="s">
        <v>3842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3843</v>
      </c>
      <c r="N308" s="4"/>
      <c r="O308" s="5"/>
      <c r="P308" s="4"/>
      <c r="Q308" s="21" t="str">
        <f>VLOOKUP(tblProductos[[#This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3849</v>
      </c>
      <c r="D309" s="2" t="s">
        <v>4017</v>
      </c>
      <c r="E309" s="2" t="s">
        <v>3850</v>
      </c>
      <c r="F309" s="2">
        <v>500</v>
      </c>
      <c r="G309" s="2" t="s">
        <v>3842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3843</v>
      </c>
      <c r="N309" s="4"/>
      <c r="O309" s="5"/>
      <c r="P309" s="4"/>
      <c r="Q309" s="21" t="str">
        <f>VLOOKUP(tblProductos[[#This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3849</v>
      </c>
      <c r="D310" s="2" t="s">
        <v>4011</v>
      </c>
      <c r="E310" s="2" t="s">
        <v>3850</v>
      </c>
      <c r="F310" s="2">
        <v>500</v>
      </c>
      <c r="G310" s="2" t="s">
        <v>3842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3843</v>
      </c>
      <c r="N310" s="4"/>
      <c r="O310" s="5"/>
      <c r="P310" s="4"/>
      <c r="Q310" s="21" t="str">
        <f>VLOOKUP(tblProductos[[#This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3849</v>
      </c>
      <c r="D311" s="2" t="s">
        <v>4018</v>
      </c>
      <c r="E311" s="2" t="s">
        <v>3850</v>
      </c>
      <c r="F311" s="2">
        <v>500</v>
      </c>
      <c r="G311" s="2" t="s">
        <v>3842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3843</v>
      </c>
      <c r="N311" s="4"/>
      <c r="O311" s="5"/>
      <c r="P311" s="4"/>
      <c r="Q311" s="21" t="str">
        <f>VLOOKUP(tblProductos[[#This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3849</v>
      </c>
      <c r="D312" s="2" t="s">
        <v>4009</v>
      </c>
      <c r="E312" s="2" t="s">
        <v>3850</v>
      </c>
      <c r="F312" s="2">
        <v>500</v>
      </c>
      <c r="G312" s="2" t="s">
        <v>3842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3843</v>
      </c>
      <c r="N312" s="4"/>
      <c r="O312" s="5"/>
      <c r="P312" s="4"/>
      <c r="Q312" s="21" t="str">
        <f>VLOOKUP(tblProductos[[#This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3849</v>
      </c>
      <c r="D313" s="2" t="s">
        <v>4012</v>
      </c>
      <c r="E313" s="2" t="s">
        <v>3850</v>
      </c>
      <c r="F313" s="2">
        <v>500</v>
      </c>
      <c r="G313" s="2" t="s">
        <v>3842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3843</v>
      </c>
      <c r="N313" s="4"/>
      <c r="O313" s="5"/>
      <c r="P313" s="4"/>
      <c r="Q313" s="21" t="str">
        <f>VLOOKUP(tblProductos[[#This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3849</v>
      </c>
      <c r="D314" s="2" t="s">
        <v>3923</v>
      </c>
      <c r="E314" s="2" t="s">
        <v>3850</v>
      </c>
      <c r="F314" s="2">
        <v>500</v>
      </c>
      <c r="G314" s="2" t="s">
        <v>3842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3843</v>
      </c>
      <c r="N314" s="4"/>
      <c r="O314" s="5"/>
      <c r="P314" s="4"/>
      <c r="Q314" s="21" t="str">
        <f>VLOOKUP(tblProductos[[#This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3849</v>
      </c>
      <c r="D315" s="2" t="s">
        <v>4019</v>
      </c>
      <c r="E315" s="2" t="s">
        <v>3850</v>
      </c>
      <c r="F315" s="2">
        <v>500</v>
      </c>
      <c r="G315" s="2" t="s">
        <v>3842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3843</v>
      </c>
      <c r="N315" s="4"/>
      <c r="O315" s="5"/>
      <c r="P315" s="4"/>
      <c r="Q315" s="21" t="str">
        <f>VLOOKUP(tblProductos[[#This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3849</v>
      </c>
      <c r="D316" s="2" t="s">
        <v>4007</v>
      </c>
      <c r="E316" s="2" t="s">
        <v>3850</v>
      </c>
      <c r="F316" s="2">
        <v>500</v>
      </c>
      <c r="G316" s="2" t="s">
        <v>3842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3843</v>
      </c>
      <c r="N316" s="4"/>
      <c r="O316" s="5"/>
      <c r="P316" s="4"/>
      <c r="Q316" s="21" t="str">
        <f>VLOOKUP(tblProductos[[#This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3849</v>
      </c>
      <c r="D317" s="2" t="s">
        <v>4008</v>
      </c>
      <c r="E317" s="2" t="s">
        <v>3850</v>
      </c>
      <c r="F317" s="2">
        <v>500</v>
      </c>
      <c r="G317" s="2" t="s">
        <v>3842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3843</v>
      </c>
      <c r="N317" s="4"/>
      <c r="O317" s="5"/>
      <c r="P317" s="4"/>
      <c r="Q317" s="21" t="str">
        <f>VLOOKUP(tblProductos[[#This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3849</v>
      </c>
      <c r="D318" s="2" t="s">
        <v>4020</v>
      </c>
      <c r="E318" s="2" t="s">
        <v>3850</v>
      </c>
      <c r="F318" s="2">
        <v>500</v>
      </c>
      <c r="G318" s="2" t="s">
        <v>3842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3843</v>
      </c>
      <c r="N318" s="4"/>
      <c r="O318" s="5"/>
      <c r="P318" s="4"/>
      <c r="Q318" s="21" t="str">
        <f>VLOOKUP(tblProductos[[#This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3849</v>
      </c>
      <c r="D319" s="2" t="s">
        <v>4021</v>
      </c>
      <c r="E319" s="2" t="s">
        <v>3850</v>
      </c>
      <c r="F319" s="2">
        <v>500</v>
      </c>
      <c r="G319" s="2" t="s">
        <v>3842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3843</v>
      </c>
      <c r="N319" s="4"/>
      <c r="O319" s="5"/>
      <c r="P319" s="4"/>
      <c r="Q319" s="21" t="str">
        <f>VLOOKUP(tblProductos[[#This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3849</v>
      </c>
      <c r="D320" s="2" t="s">
        <v>4022</v>
      </c>
      <c r="E320" s="2" t="s">
        <v>3850</v>
      </c>
      <c r="F320" s="2">
        <v>500</v>
      </c>
      <c r="G320" s="2" t="s">
        <v>3842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3843</v>
      </c>
      <c r="N320" s="4"/>
      <c r="O320" s="5"/>
      <c r="P320" s="4"/>
      <c r="Q320" s="21" t="str">
        <f>VLOOKUP(tblProductos[[#This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3849</v>
      </c>
      <c r="D321" s="2" t="s">
        <v>4023</v>
      </c>
      <c r="E321" s="2" t="s">
        <v>3850</v>
      </c>
      <c r="F321" s="2">
        <v>500</v>
      </c>
      <c r="G321" s="2" t="s">
        <v>3842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3843</v>
      </c>
      <c r="N321" s="4"/>
      <c r="O321" s="5"/>
      <c r="P321" s="4"/>
      <c r="Q321" s="21" t="str">
        <f>VLOOKUP(tblProductos[[#This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3849</v>
      </c>
      <c r="D322" s="2" t="s">
        <v>4024</v>
      </c>
      <c r="E322" s="2" t="s">
        <v>3850</v>
      </c>
      <c r="F322" s="2">
        <v>500</v>
      </c>
      <c r="G322" s="2" t="s">
        <v>3842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3843</v>
      </c>
      <c r="N322" s="4"/>
      <c r="O322" s="5"/>
      <c r="P322" s="4"/>
      <c r="Q322" s="21" t="str">
        <f>VLOOKUP(tblProductos[[#This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3863</v>
      </c>
      <c r="D323" s="2" t="s">
        <v>4017</v>
      </c>
      <c r="E323" s="2" t="s">
        <v>3864</v>
      </c>
      <c r="F323" s="2">
        <v>300</v>
      </c>
      <c r="G323" s="2" t="s">
        <v>3842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3843</v>
      </c>
      <c r="N323" s="4"/>
      <c r="O323" s="5"/>
      <c r="P323" s="4"/>
      <c r="Q323" s="21" t="str">
        <f>VLOOKUP(tblProductos[[#This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3863</v>
      </c>
      <c r="D324" s="2" t="s">
        <v>4011</v>
      </c>
      <c r="E324" s="2" t="s">
        <v>3864</v>
      </c>
      <c r="F324" s="2">
        <v>300</v>
      </c>
      <c r="G324" s="2" t="s">
        <v>3842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3843</v>
      </c>
      <c r="N324" s="4"/>
      <c r="O324" s="5"/>
      <c r="P324" s="4"/>
      <c r="Q324" s="21" t="str">
        <f>VLOOKUP(tblProductos[[#This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3863</v>
      </c>
      <c r="D325" s="2" t="s">
        <v>4018</v>
      </c>
      <c r="E325" s="2" t="s">
        <v>3864</v>
      </c>
      <c r="F325" s="2">
        <v>300</v>
      </c>
      <c r="G325" s="2" t="s">
        <v>3842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3843</v>
      </c>
      <c r="N325" s="4"/>
      <c r="O325" s="5"/>
      <c r="P325" s="4"/>
      <c r="Q325" s="21" t="str">
        <f>VLOOKUP(tblProductos[[#This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3863</v>
      </c>
      <c r="D326" s="2" t="s">
        <v>4009</v>
      </c>
      <c r="E326" s="2" t="s">
        <v>3864</v>
      </c>
      <c r="F326" s="2">
        <v>300</v>
      </c>
      <c r="G326" s="2" t="s">
        <v>3842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3843</v>
      </c>
      <c r="N326" s="4"/>
      <c r="O326" s="5"/>
      <c r="P326" s="4"/>
      <c r="Q326" s="21" t="str">
        <f>VLOOKUP(tblProductos[[#This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3863</v>
      </c>
      <c r="D327" s="2" t="s">
        <v>4012</v>
      </c>
      <c r="E327" s="2" t="s">
        <v>3864</v>
      </c>
      <c r="F327" s="2">
        <v>300</v>
      </c>
      <c r="G327" s="2" t="s">
        <v>3842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3843</v>
      </c>
      <c r="N327" s="4"/>
      <c r="O327" s="5"/>
      <c r="P327" s="4"/>
      <c r="Q327" s="21" t="str">
        <f>VLOOKUP(tblProductos[[#This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3863</v>
      </c>
      <c r="D328" s="2" t="s">
        <v>3923</v>
      </c>
      <c r="E328" s="2" t="s">
        <v>3864</v>
      </c>
      <c r="F328" s="2">
        <v>300</v>
      </c>
      <c r="G328" s="2" t="s">
        <v>3842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3843</v>
      </c>
      <c r="N328" s="4"/>
      <c r="O328" s="5"/>
      <c r="P328" s="4"/>
      <c r="Q328" s="21" t="str">
        <f>VLOOKUP(tblProductos[[#This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3863</v>
      </c>
      <c r="D329" s="2" t="s">
        <v>4019</v>
      </c>
      <c r="E329" s="2" t="s">
        <v>3864</v>
      </c>
      <c r="F329" s="2">
        <v>300</v>
      </c>
      <c r="G329" s="2" t="s">
        <v>3842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3843</v>
      </c>
      <c r="N329" s="4"/>
      <c r="O329" s="5"/>
      <c r="P329" s="4"/>
      <c r="Q329" s="21" t="str">
        <f>VLOOKUP(tblProductos[[#This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3863</v>
      </c>
      <c r="D330" s="2" t="s">
        <v>4007</v>
      </c>
      <c r="E330" s="2" t="s">
        <v>3864</v>
      </c>
      <c r="F330" s="2">
        <v>300</v>
      </c>
      <c r="G330" s="2" t="s">
        <v>3842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3843</v>
      </c>
      <c r="N330" s="4"/>
      <c r="O330" s="5"/>
      <c r="P330" s="4"/>
      <c r="Q330" s="21" t="str">
        <f>VLOOKUP(tblProductos[[#This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3863</v>
      </c>
      <c r="D331" s="2" t="s">
        <v>4008</v>
      </c>
      <c r="E331" s="2" t="s">
        <v>3864</v>
      </c>
      <c r="F331" s="2">
        <v>300</v>
      </c>
      <c r="G331" s="2" t="s">
        <v>3842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3843</v>
      </c>
      <c r="N331" s="4"/>
      <c r="O331" s="5"/>
      <c r="P331" s="4"/>
      <c r="Q331" s="21" t="str">
        <f>VLOOKUP(tblProductos[[#This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3863</v>
      </c>
      <c r="D332" s="2" t="s">
        <v>4020</v>
      </c>
      <c r="E332" s="2" t="s">
        <v>3864</v>
      </c>
      <c r="F332" s="2">
        <v>300</v>
      </c>
      <c r="G332" s="2" t="s">
        <v>3842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3843</v>
      </c>
      <c r="N332" s="4"/>
      <c r="O332" s="5"/>
      <c r="P332" s="4"/>
      <c r="Q332" s="21" t="str">
        <f>VLOOKUP(tblProductos[[#This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3863</v>
      </c>
      <c r="D333" s="2" t="s">
        <v>4021</v>
      </c>
      <c r="E333" s="2" t="s">
        <v>3864</v>
      </c>
      <c r="F333" s="2">
        <v>300</v>
      </c>
      <c r="G333" s="2" t="s">
        <v>3842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3843</v>
      </c>
      <c r="N333" s="4"/>
      <c r="O333" s="5"/>
      <c r="P333" s="4"/>
      <c r="Q333" s="21" t="str">
        <f>VLOOKUP(tblProductos[[#This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3863</v>
      </c>
      <c r="D334" s="2" t="s">
        <v>4022</v>
      </c>
      <c r="E334" s="2" t="s">
        <v>3864</v>
      </c>
      <c r="F334" s="2">
        <v>300</v>
      </c>
      <c r="G334" s="2" t="s">
        <v>3842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3843</v>
      </c>
      <c r="N334" s="4"/>
      <c r="O334" s="5"/>
      <c r="P334" s="4"/>
      <c r="Q334" s="21" t="str">
        <f>VLOOKUP(tblProductos[[#This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3863</v>
      </c>
      <c r="D335" s="2" t="s">
        <v>4023</v>
      </c>
      <c r="E335" s="2" t="s">
        <v>3864</v>
      </c>
      <c r="F335" s="2">
        <v>300</v>
      </c>
      <c r="G335" s="2" t="s">
        <v>3842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3843</v>
      </c>
      <c r="N335" s="4"/>
      <c r="O335" s="5"/>
      <c r="P335" s="4"/>
      <c r="Q335" s="21" t="str">
        <f>VLOOKUP(tblProductos[[#This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3863</v>
      </c>
      <c r="D336" s="2" t="s">
        <v>4024</v>
      </c>
      <c r="E336" s="2" t="s">
        <v>3864</v>
      </c>
      <c r="F336" s="2">
        <v>300</v>
      </c>
      <c r="G336" s="2" t="s">
        <v>3842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3843</v>
      </c>
      <c r="N336" s="4"/>
      <c r="O336" s="5"/>
      <c r="P336" s="4"/>
      <c r="Q336" s="21" t="str">
        <f>VLOOKUP(tblProductos[[#This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3851</v>
      </c>
      <c r="D337" s="2" t="s">
        <v>4017</v>
      </c>
      <c r="E337" s="2" t="s">
        <v>3852</v>
      </c>
      <c r="F337" s="2">
        <v>200</v>
      </c>
      <c r="G337" s="2" t="s">
        <v>3842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3843</v>
      </c>
      <c r="N337" s="4"/>
      <c r="O337" s="5"/>
      <c r="P337" s="4"/>
      <c r="Q337" s="21" t="str">
        <f>VLOOKUP(tblProductos[[#This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3851</v>
      </c>
      <c r="D338" s="2" t="s">
        <v>4011</v>
      </c>
      <c r="E338" s="2" t="s">
        <v>3852</v>
      </c>
      <c r="F338" s="2">
        <v>200</v>
      </c>
      <c r="G338" s="2" t="s">
        <v>3842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3843</v>
      </c>
      <c r="N338" s="4"/>
      <c r="O338" s="5"/>
      <c r="P338" s="4"/>
      <c r="Q338" s="21" t="str">
        <f>VLOOKUP(tblProductos[[#This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3851</v>
      </c>
      <c r="D339" s="2" t="s">
        <v>4018</v>
      </c>
      <c r="E339" s="2" t="s">
        <v>3852</v>
      </c>
      <c r="F339" s="2">
        <v>200</v>
      </c>
      <c r="G339" s="2" t="s">
        <v>3842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3843</v>
      </c>
      <c r="N339" s="4"/>
      <c r="O339" s="5"/>
      <c r="P339" s="4"/>
      <c r="Q339" s="21" t="str">
        <f>VLOOKUP(tblProductos[[#This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3851</v>
      </c>
      <c r="D340" s="2" t="s">
        <v>4009</v>
      </c>
      <c r="E340" s="2" t="s">
        <v>3852</v>
      </c>
      <c r="F340" s="2">
        <v>200</v>
      </c>
      <c r="G340" s="2" t="s">
        <v>3842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3843</v>
      </c>
      <c r="N340" s="4"/>
      <c r="O340" s="5"/>
      <c r="P340" s="4"/>
      <c r="Q340" s="21" t="str">
        <f>VLOOKUP(tblProductos[[#This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3851</v>
      </c>
      <c r="D341" s="2" t="s">
        <v>4012</v>
      </c>
      <c r="E341" s="2" t="s">
        <v>3852</v>
      </c>
      <c r="F341" s="2">
        <v>200</v>
      </c>
      <c r="G341" s="2" t="s">
        <v>3842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3843</v>
      </c>
      <c r="N341" s="4"/>
      <c r="O341" s="5"/>
      <c r="P341" s="4"/>
      <c r="Q341" s="21" t="str">
        <f>VLOOKUP(tblProductos[[#This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3851</v>
      </c>
      <c r="D342" s="2" t="s">
        <v>3923</v>
      </c>
      <c r="E342" s="2" t="s">
        <v>3852</v>
      </c>
      <c r="F342" s="2">
        <v>200</v>
      </c>
      <c r="G342" s="2" t="s">
        <v>3842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3843</v>
      </c>
      <c r="N342" s="4"/>
      <c r="O342" s="5"/>
      <c r="P342" s="4"/>
      <c r="Q342" s="21" t="str">
        <f>VLOOKUP(tblProductos[[#This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3851</v>
      </c>
      <c r="D343" s="2" t="s">
        <v>4019</v>
      </c>
      <c r="E343" s="2" t="s">
        <v>3852</v>
      </c>
      <c r="F343" s="2">
        <v>200</v>
      </c>
      <c r="G343" s="2" t="s">
        <v>3842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3843</v>
      </c>
      <c r="N343" s="4"/>
      <c r="O343" s="5"/>
      <c r="P343" s="4"/>
      <c r="Q343" s="21" t="str">
        <f>VLOOKUP(tblProductos[[#This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3851</v>
      </c>
      <c r="D344" s="2" t="s">
        <v>4007</v>
      </c>
      <c r="E344" s="2" t="s">
        <v>3852</v>
      </c>
      <c r="F344" s="2">
        <v>200</v>
      </c>
      <c r="G344" s="2" t="s">
        <v>3842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3843</v>
      </c>
      <c r="N344" s="4"/>
      <c r="O344" s="5"/>
      <c r="P344" s="4"/>
      <c r="Q344" s="21" t="str">
        <f>VLOOKUP(tblProductos[[#This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3851</v>
      </c>
      <c r="D345" s="2" t="s">
        <v>4008</v>
      </c>
      <c r="E345" s="2" t="s">
        <v>3852</v>
      </c>
      <c r="F345" s="2">
        <v>200</v>
      </c>
      <c r="G345" s="2" t="s">
        <v>3842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3843</v>
      </c>
      <c r="N345" s="4"/>
      <c r="O345" s="5"/>
      <c r="P345" s="4"/>
      <c r="Q345" s="21" t="str">
        <f>VLOOKUP(tblProductos[[#This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3851</v>
      </c>
      <c r="D346" s="2" t="s">
        <v>4020</v>
      </c>
      <c r="E346" s="2" t="s">
        <v>3852</v>
      </c>
      <c r="F346" s="2">
        <v>200</v>
      </c>
      <c r="G346" s="2" t="s">
        <v>3842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3843</v>
      </c>
      <c r="N346" s="4"/>
      <c r="O346" s="5"/>
      <c r="P346" s="4"/>
      <c r="Q346" s="21" t="str">
        <f>VLOOKUP(tblProductos[[#This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3851</v>
      </c>
      <c r="D347" s="2" t="s">
        <v>4021</v>
      </c>
      <c r="E347" s="2" t="s">
        <v>3852</v>
      </c>
      <c r="F347" s="2">
        <v>200</v>
      </c>
      <c r="G347" s="2" t="s">
        <v>3842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3843</v>
      </c>
      <c r="N347" s="4"/>
      <c r="O347" s="5"/>
      <c r="P347" s="4"/>
      <c r="Q347" s="21" t="str">
        <f>VLOOKUP(tblProductos[[#This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3851</v>
      </c>
      <c r="D348" s="2" t="s">
        <v>4022</v>
      </c>
      <c r="E348" s="2" t="s">
        <v>3852</v>
      </c>
      <c r="F348" s="2">
        <v>200</v>
      </c>
      <c r="G348" s="2" t="s">
        <v>3842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3843</v>
      </c>
      <c r="N348" s="4"/>
      <c r="O348" s="5"/>
      <c r="P348" s="4"/>
      <c r="Q348" s="21" t="str">
        <f>VLOOKUP(tblProductos[[#This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3851</v>
      </c>
      <c r="D349" s="2" t="s">
        <v>4023</v>
      </c>
      <c r="E349" s="2" t="s">
        <v>3852</v>
      </c>
      <c r="F349" s="2">
        <v>200</v>
      </c>
      <c r="G349" s="2" t="s">
        <v>3842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3843</v>
      </c>
      <c r="N349" s="4"/>
      <c r="O349" s="5"/>
      <c r="P349" s="4"/>
      <c r="Q349" s="21" t="str">
        <f>VLOOKUP(tblProductos[[#This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3851</v>
      </c>
      <c r="D350" s="2" t="s">
        <v>4024</v>
      </c>
      <c r="E350" s="2" t="s">
        <v>3852</v>
      </c>
      <c r="F350" s="2">
        <v>200</v>
      </c>
      <c r="G350" s="2" t="s">
        <v>3842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3843</v>
      </c>
      <c r="N350" s="4"/>
      <c r="O350" s="5"/>
      <c r="P350" s="4"/>
      <c r="Q350" s="21" t="str">
        <f>VLOOKUP(tblProductos[[#This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3847</v>
      </c>
      <c r="D351" s="2" t="s">
        <v>4017</v>
      </c>
      <c r="E351" s="2" t="s">
        <v>3848</v>
      </c>
      <c r="F351" s="2">
        <v>200</v>
      </c>
      <c r="G351" s="2" t="s">
        <v>3842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3843</v>
      </c>
      <c r="N351" s="4"/>
      <c r="O351" s="5"/>
      <c r="P351" s="4"/>
      <c r="Q351" s="21" t="str">
        <f>VLOOKUP(tblProductos[[#This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3847</v>
      </c>
      <c r="D352" s="2" t="s">
        <v>4011</v>
      </c>
      <c r="E352" s="2" t="s">
        <v>3848</v>
      </c>
      <c r="F352" s="2">
        <v>200</v>
      </c>
      <c r="G352" s="2" t="s">
        <v>3842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3843</v>
      </c>
      <c r="N352" s="4"/>
      <c r="O352" s="5"/>
      <c r="P352" s="4"/>
      <c r="Q352" s="21" t="str">
        <f>VLOOKUP(tblProductos[[#This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3847</v>
      </c>
      <c r="D353" s="2" t="s">
        <v>4018</v>
      </c>
      <c r="E353" s="2" t="s">
        <v>3848</v>
      </c>
      <c r="F353" s="2">
        <v>200</v>
      </c>
      <c r="G353" s="2" t="s">
        <v>3842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3843</v>
      </c>
      <c r="N353" s="4"/>
      <c r="O353" s="5"/>
      <c r="P353" s="4"/>
      <c r="Q353" s="21" t="str">
        <f>VLOOKUP(tblProductos[[#This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3847</v>
      </c>
      <c r="D354" s="2" t="s">
        <v>4009</v>
      </c>
      <c r="E354" s="2" t="s">
        <v>3848</v>
      </c>
      <c r="F354" s="2">
        <v>200</v>
      </c>
      <c r="G354" s="2" t="s">
        <v>3842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3843</v>
      </c>
      <c r="N354" s="4"/>
      <c r="O354" s="5"/>
      <c r="P354" s="4"/>
      <c r="Q354" s="21" t="str">
        <f>VLOOKUP(tblProductos[[#This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3847</v>
      </c>
      <c r="D355" s="2" t="s">
        <v>4012</v>
      </c>
      <c r="E355" s="2" t="s">
        <v>3848</v>
      </c>
      <c r="F355" s="2">
        <v>200</v>
      </c>
      <c r="G355" s="2" t="s">
        <v>3842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3843</v>
      </c>
      <c r="N355" s="4"/>
      <c r="O355" s="5"/>
      <c r="P355" s="4"/>
      <c r="Q355" s="21" t="str">
        <f>VLOOKUP(tblProductos[[#This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3847</v>
      </c>
      <c r="D356" s="2" t="s">
        <v>3923</v>
      </c>
      <c r="E356" s="2" t="s">
        <v>3848</v>
      </c>
      <c r="F356" s="2">
        <v>200</v>
      </c>
      <c r="G356" s="2" t="s">
        <v>3842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3843</v>
      </c>
      <c r="N356" s="4"/>
      <c r="O356" s="5"/>
      <c r="P356" s="4"/>
      <c r="Q356" s="21" t="str">
        <f>VLOOKUP(tblProductos[[#This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3847</v>
      </c>
      <c r="D357" s="2" t="s">
        <v>4019</v>
      </c>
      <c r="E357" s="2" t="s">
        <v>3848</v>
      </c>
      <c r="F357" s="2">
        <v>200</v>
      </c>
      <c r="G357" s="2" t="s">
        <v>3842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3843</v>
      </c>
      <c r="N357" s="4"/>
      <c r="O357" s="5"/>
      <c r="P357" s="4"/>
      <c r="Q357" s="21" t="str">
        <f>VLOOKUP(tblProductos[[#This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3847</v>
      </c>
      <c r="D358" s="2" t="s">
        <v>4007</v>
      </c>
      <c r="E358" s="2" t="s">
        <v>3848</v>
      </c>
      <c r="F358" s="2">
        <v>200</v>
      </c>
      <c r="G358" s="2" t="s">
        <v>3842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3843</v>
      </c>
      <c r="N358" s="4"/>
      <c r="O358" s="5"/>
      <c r="P358" s="4"/>
      <c r="Q358" s="21" t="str">
        <f>VLOOKUP(tblProductos[[#This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3847</v>
      </c>
      <c r="D359" s="2" t="s">
        <v>4008</v>
      </c>
      <c r="E359" s="2" t="s">
        <v>3848</v>
      </c>
      <c r="F359" s="2">
        <v>200</v>
      </c>
      <c r="G359" s="2" t="s">
        <v>3842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3843</v>
      </c>
      <c r="N359" s="4"/>
      <c r="O359" s="5"/>
      <c r="P359" s="4"/>
      <c r="Q359" s="21" t="str">
        <f>VLOOKUP(tblProductos[[#This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3847</v>
      </c>
      <c r="D360" s="2" t="s">
        <v>4020</v>
      </c>
      <c r="E360" s="2" t="s">
        <v>3848</v>
      </c>
      <c r="F360" s="2">
        <v>200</v>
      </c>
      <c r="G360" s="2" t="s">
        <v>3842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3843</v>
      </c>
      <c r="N360" s="4"/>
      <c r="O360" s="5"/>
      <c r="P360" s="4"/>
      <c r="Q360" s="21" t="str">
        <f>VLOOKUP(tblProductos[[#This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3847</v>
      </c>
      <c r="D361" s="2" t="s">
        <v>4021</v>
      </c>
      <c r="E361" s="2" t="s">
        <v>3848</v>
      </c>
      <c r="F361" s="2">
        <v>200</v>
      </c>
      <c r="G361" s="2" t="s">
        <v>3842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3843</v>
      </c>
      <c r="N361" s="4"/>
      <c r="O361" s="5"/>
      <c r="P361" s="4"/>
      <c r="Q361" s="21" t="str">
        <f>VLOOKUP(tblProductos[[#This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3847</v>
      </c>
      <c r="D362" s="2" t="s">
        <v>4022</v>
      </c>
      <c r="E362" s="2" t="s">
        <v>3848</v>
      </c>
      <c r="F362" s="2">
        <v>200</v>
      </c>
      <c r="G362" s="2" t="s">
        <v>3842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3843</v>
      </c>
      <c r="N362" s="4"/>
      <c r="O362" s="5"/>
      <c r="P362" s="4"/>
      <c r="Q362" s="21" t="str">
        <f>VLOOKUP(tblProductos[[#This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3847</v>
      </c>
      <c r="D363" s="2" t="s">
        <v>4023</v>
      </c>
      <c r="E363" s="2" t="s">
        <v>3848</v>
      </c>
      <c r="F363" s="2">
        <v>200</v>
      </c>
      <c r="G363" s="2" t="s">
        <v>3842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3843</v>
      </c>
      <c r="N363" s="4"/>
      <c r="O363" s="5"/>
      <c r="P363" s="4"/>
      <c r="Q363" s="21" t="str">
        <f>VLOOKUP(tblProductos[[#This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3847</v>
      </c>
      <c r="D364" s="2" t="s">
        <v>4024</v>
      </c>
      <c r="E364" s="2" t="s">
        <v>3848</v>
      </c>
      <c r="F364" s="2">
        <v>200</v>
      </c>
      <c r="G364" s="2" t="s">
        <v>3842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3843</v>
      </c>
      <c r="N364" s="4"/>
      <c r="O364" s="5"/>
      <c r="P364" s="4"/>
      <c r="Q364" s="21" t="str">
        <f>VLOOKUP(tblProductos[[#This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3853</v>
      </c>
      <c r="D365" s="2" t="s">
        <v>4017</v>
      </c>
      <c r="E365" s="2" t="s">
        <v>3854</v>
      </c>
      <c r="F365" s="2">
        <v>200</v>
      </c>
      <c r="G365" s="2" t="s">
        <v>3842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3843</v>
      </c>
      <c r="N365" s="4"/>
      <c r="O365" s="5"/>
      <c r="P365" s="4"/>
      <c r="Q365" s="21" t="str">
        <f>VLOOKUP(tblProductos[[#This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3853</v>
      </c>
      <c r="D366" s="2" t="s">
        <v>4011</v>
      </c>
      <c r="E366" s="2" t="s">
        <v>3854</v>
      </c>
      <c r="F366" s="2">
        <v>200</v>
      </c>
      <c r="G366" s="2" t="s">
        <v>3842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3843</v>
      </c>
      <c r="N366" s="4"/>
      <c r="O366" s="5"/>
      <c r="P366" s="4"/>
      <c r="Q366" s="21" t="str">
        <f>VLOOKUP(tblProductos[[#This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3853</v>
      </c>
      <c r="D367" s="2" t="s">
        <v>4018</v>
      </c>
      <c r="E367" s="2" t="s">
        <v>3854</v>
      </c>
      <c r="F367" s="2">
        <v>200</v>
      </c>
      <c r="G367" s="2" t="s">
        <v>3842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3843</v>
      </c>
      <c r="N367" s="4"/>
      <c r="O367" s="5"/>
      <c r="P367" s="4"/>
      <c r="Q367" s="21" t="str">
        <f>VLOOKUP(tblProductos[[#This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3853</v>
      </c>
      <c r="D368" s="2" t="s">
        <v>4009</v>
      </c>
      <c r="E368" s="2" t="s">
        <v>3854</v>
      </c>
      <c r="F368" s="2">
        <v>200</v>
      </c>
      <c r="G368" s="2" t="s">
        <v>3842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3843</v>
      </c>
      <c r="N368" s="4"/>
      <c r="O368" s="5"/>
      <c r="P368" s="4"/>
      <c r="Q368" s="21" t="str">
        <f>VLOOKUP(tblProductos[[#This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3853</v>
      </c>
      <c r="D369" s="2" t="s">
        <v>4012</v>
      </c>
      <c r="E369" s="2" t="s">
        <v>3854</v>
      </c>
      <c r="F369" s="2">
        <v>200</v>
      </c>
      <c r="G369" s="2" t="s">
        <v>3842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3843</v>
      </c>
      <c r="N369" s="4"/>
      <c r="O369" s="5"/>
      <c r="P369" s="4"/>
      <c r="Q369" s="21" t="str">
        <f>VLOOKUP(tblProductos[[#This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3853</v>
      </c>
      <c r="D370" s="2" t="s">
        <v>3923</v>
      </c>
      <c r="E370" s="2" t="s">
        <v>3854</v>
      </c>
      <c r="F370" s="2">
        <v>200</v>
      </c>
      <c r="G370" s="2" t="s">
        <v>3842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3843</v>
      </c>
      <c r="N370" s="4"/>
      <c r="O370" s="5"/>
      <c r="P370" s="4"/>
      <c r="Q370" s="21" t="str">
        <f>VLOOKUP(tblProductos[[#This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3853</v>
      </c>
      <c r="D371" s="2" t="s">
        <v>4019</v>
      </c>
      <c r="E371" s="2" t="s">
        <v>3854</v>
      </c>
      <c r="F371" s="2">
        <v>200</v>
      </c>
      <c r="G371" s="2" t="s">
        <v>3842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3843</v>
      </c>
      <c r="N371" s="4"/>
      <c r="O371" s="5"/>
      <c r="P371" s="4"/>
      <c r="Q371" s="21" t="str">
        <f>VLOOKUP(tblProductos[[#This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3853</v>
      </c>
      <c r="D372" s="2" t="s">
        <v>4007</v>
      </c>
      <c r="E372" s="2" t="s">
        <v>3854</v>
      </c>
      <c r="F372" s="2">
        <v>200</v>
      </c>
      <c r="G372" s="2" t="s">
        <v>3842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3843</v>
      </c>
      <c r="N372" s="4"/>
      <c r="O372" s="5"/>
      <c r="P372" s="4"/>
      <c r="Q372" s="21" t="str">
        <f>VLOOKUP(tblProductos[[#This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3853</v>
      </c>
      <c r="D373" s="2" t="s">
        <v>4008</v>
      </c>
      <c r="E373" s="2" t="s">
        <v>3854</v>
      </c>
      <c r="F373" s="2">
        <v>200</v>
      </c>
      <c r="G373" s="2" t="s">
        <v>3842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3843</v>
      </c>
      <c r="N373" s="4"/>
      <c r="O373" s="5"/>
      <c r="P373" s="4"/>
      <c r="Q373" s="21" t="str">
        <f>VLOOKUP(tblProductos[[#This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3853</v>
      </c>
      <c r="D374" s="2" t="s">
        <v>4020</v>
      </c>
      <c r="E374" s="2" t="s">
        <v>3854</v>
      </c>
      <c r="F374" s="2">
        <v>200</v>
      </c>
      <c r="G374" s="2" t="s">
        <v>3842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3843</v>
      </c>
      <c r="N374" s="4"/>
      <c r="O374" s="5"/>
      <c r="P374" s="4"/>
      <c r="Q374" s="21" t="str">
        <f>VLOOKUP(tblProductos[[#This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3853</v>
      </c>
      <c r="D375" s="2" t="s">
        <v>4021</v>
      </c>
      <c r="E375" s="2" t="s">
        <v>3854</v>
      </c>
      <c r="F375" s="2">
        <v>200</v>
      </c>
      <c r="G375" s="2" t="s">
        <v>3842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3843</v>
      </c>
      <c r="N375" s="4"/>
      <c r="O375" s="5"/>
      <c r="P375" s="4"/>
      <c r="Q375" s="21" t="str">
        <f>VLOOKUP(tblProductos[[#This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3853</v>
      </c>
      <c r="D376" s="2" t="s">
        <v>4022</v>
      </c>
      <c r="E376" s="2" t="s">
        <v>3854</v>
      </c>
      <c r="F376" s="2">
        <v>200</v>
      </c>
      <c r="G376" s="2" t="s">
        <v>3842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3843</v>
      </c>
      <c r="N376" s="4"/>
      <c r="O376" s="5"/>
      <c r="P376" s="4"/>
      <c r="Q376" s="21" t="str">
        <f>VLOOKUP(tblProductos[[#This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3853</v>
      </c>
      <c r="D377" s="2" t="s">
        <v>4023</v>
      </c>
      <c r="E377" s="2" t="s">
        <v>3854</v>
      </c>
      <c r="F377" s="2">
        <v>200</v>
      </c>
      <c r="G377" s="2" t="s">
        <v>3842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3843</v>
      </c>
      <c r="N377" s="4"/>
      <c r="O377" s="5"/>
      <c r="P377" s="4"/>
      <c r="Q377" s="21" t="str">
        <f>VLOOKUP(tblProductos[[#This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3853</v>
      </c>
      <c r="D378" s="2" t="s">
        <v>4024</v>
      </c>
      <c r="E378" s="2" t="s">
        <v>3854</v>
      </c>
      <c r="F378" s="2">
        <v>200</v>
      </c>
      <c r="G378" s="2" t="s">
        <v>3842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3843</v>
      </c>
      <c r="N378" s="4"/>
      <c r="O378" s="5"/>
      <c r="P378" s="4"/>
      <c r="Q378" s="21" t="str">
        <f>VLOOKUP(tblProductos[[#This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3855</v>
      </c>
      <c r="D379" s="2" t="s">
        <v>4017</v>
      </c>
      <c r="E379" s="2" t="s">
        <v>3856</v>
      </c>
      <c r="F379" s="2">
        <v>200</v>
      </c>
      <c r="G379" s="2" t="s">
        <v>3842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3843</v>
      </c>
      <c r="N379" s="4"/>
      <c r="O379" s="5"/>
      <c r="P379" s="4"/>
      <c r="Q379" s="21" t="str">
        <f>VLOOKUP(tblProductos[[#This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3855</v>
      </c>
      <c r="D380" s="2" t="s">
        <v>4011</v>
      </c>
      <c r="E380" s="2" t="s">
        <v>3856</v>
      </c>
      <c r="F380" s="2">
        <v>200</v>
      </c>
      <c r="G380" s="2" t="s">
        <v>3842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3843</v>
      </c>
      <c r="N380" s="4"/>
      <c r="O380" s="5"/>
      <c r="P380" s="4"/>
      <c r="Q380" s="21" t="str">
        <f>VLOOKUP(tblProductos[[#This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3855</v>
      </c>
      <c r="D381" s="2" t="s">
        <v>4018</v>
      </c>
      <c r="E381" s="2" t="s">
        <v>3856</v>
      </c>
      <c r="F381" s="2">
        <v>200</v>
      </c>
      <c r="G381" s="2" t="s">
        <v>3842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3843</v>
      </c>
      <c r="N381" s="4"/>
      <c r="O381" s="5"/>
      <c r="P381" s="4"/>
      <c r="Q381" s="21" t="str">
        <f>VLOOKUP(tblProductos[[#This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3855</v>
      </c>
      <c r="D382" s="2" t="s">
        <v>4009</v>
      </c>
      <c r="E382" s="2" t="s">
        <v>3856</v>
      </c>
      <c r="F382" s="2">
        <v>200</v>
      </c>
      <c r="G382" s="2" t="s">
        <v>3842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3843</v>
      </c>
      <c r="N382" s="4"/>
      <c r="O382" s="5"/>
      <c r="P382" s="4"/>
      <c r="Q382" s="21" t="str">
        <f>VLOOKUP(tblProductos[[#This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3855</v>
      </c>
      <c r="D383" s="2" t="s">
        <v>4012</v>
      </c>
      <c r="E383" s="2" t="s">
        <v>3856</v>
      </c>
      <c r="F383" s="2">
        <v>200</v>
      </c>
      <c r="G383" s="2" t="s">
        <v>3842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3843</v>
      </c>
      <c r="N383" s="4"/>
      <c r="O383" s="5"/>
      <c r="P383" s="4"/>
      <c r="Q383" s="21" t="str">
        <f>VLOOKUP(tblProductos[[#This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3855</v>
      </c>
      <c r="D384" s="2" t="s">
        <v>3923</v>
      </c>
      <c r="E384" s="2" t="s">
        <v>3856</v>
      </c>
      <c r="F384" s="2">
        <v>200</v>
      </c>
      <c r="G384" s="2" t="s">
        <v>3842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3843</v>
      </c>
      <c r="N384" s="4"/>
      <c r="O384" s="5"/>
      <c r="P384" s="4"/>
      <c r="Q384" s="21" t="str">
        <f>VLOOKUP(tblProductos[[#This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3855</v>
      </c>
      <c r="D385" s="2" t="s">
        <v>4019</v>
      </c>
      <c r="E385" s="2" t="s">
        <v>3856</v>
      </c>
      <c r="F385" s="2">
        <v>200</v>
      </c>
      <c r="G385" s="2" t="s">
        <v>3842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3843</v>
      </c>
      <c r="N385" s="4"/>
      <c r="O385" s="5"/>
      <c r="P385" s="4"/>
      <c r="Q385" s="21" t="str">
        <f>VLOOKUP(tblProductos[[#This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3855</v>
      </c>
      <c r="D386" s="2" t="s">
        <v>4007</v>
      </c>
      <c r="E386" s="2" t="s">
        <v>3856</v>
      </c>
      <c r="F386" s="2">
        <v>200</v>
      </c>
      <c r="G386" s="2" t="s">
        <v>3842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3843</v>
      </c>
      <c r="N386" s="4"/>
      <c r="O386" s="5"/>
      <c r="P386" s="4"/>
      <c r="Q386" s="21" t="str">
        <f>VLOOKUP(tblProductos[[#This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3855</v>
      </c>
      <c r="D387" s="2" t="s">
        <v>4008</v>
      </c>
      <c r="E387" s="2" t="s">
        <v>3856</v>
      </c>
      <c r="F387" s="2">
        <v>200</v>
      </c>
      <c r="G387" s="2" t="s">
        <v>3842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3843</v>
      </c>
      <c r="N387" s="4"/>
      <c r="O387" s="5"/>
      <c r="P387" s="4"/>
      <c r="Q387" s="21" t="str">
        <f>VLOOKUP(tblProductos[[#This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3855</v>
      </c>
      <c r="D388" s="2" t="s">
        <v>4020</v>
      </c>
      <c r="E388" s="2" t="s">
        <v>3856</v>
      </c>
      <c r="F388" s="2">
        <v>200</v>
      </c>
      <c r="G388" s="2" t="s">
        <v>3842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3843</v>
      </c>
      <c r="N388" s="4"/>
      <c r="O388" s="5"/>
      <c r="P388" s="4"/>
      <c r="Q388" s="21" t="str">
        <f>VLOOKUP(tblProductos[[#This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3855</v>
      </c>
      <c r="D389" s="2" t="s">
        <v>4021</v>
      </c>
      <c r="E389" s="2" t="s">
        <v>3856</v>
      </c>
      <c r="F389" s="2">
        <v>200</v>
      </c>
      <c r="G389" s="2" t="s">
        <v>3842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3843</v>
      </c>
      <c r="N389" s="4"/>
      <c r="O389" s="5"/>
      <c r="P389" s="4"/>
      <c r="Q389" s="21" t="str">
        <f>VLOOKUP(tblProductos[[#This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3855</v>
      </c>
      <c r="D390" s="2" t="s">
        <v>4022</v>
      </c>
      <c r="E390" s="2" t="s">
        <v>3856</v>
      </c>
      <c r="F390" s="2">
        <v>200</v>
      </c>
      <c r="G390" s="2" t="s">
        <v>3842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3843</v>
      </c>
      <c r="N390" s="4"/>
      <c r="O390" s="5"/>
      <c r="P390" s="4"/>
      <c r="Q390" s="21" t="str">
        <f>VLOOKUP(tblProductos[[#This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3855</v>
      </c>
      <c r="D391" s="2" t="s">
        <v>4023</v>
      </c>
      <c r="E391" s="2" t="s">
        <v>3856</v>
      </c>
      <c r="F391" s="2">
        <v>200</v>
      </c>
      <c r="G391" s="2" t="s">
        <v>3842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3843</v>
      </c>
      <c r="N391" s="4"/>
      <c r="O391" s="5"/>
      <c r="P391" s="4"/>
      <c r="Q391" s="21" t="str">
        <f>VLOOKUP(tblProductos[[#This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3855</v>
      </c>
      <c r="D392" s="2" t="s">
        <v>4024</v>
      </c>
      <c r="E392" s="2" t="s">
        <v>3856</v>
      </c>
      <c r="F392" s="2">
        <v>200</v>
      </c>
      <c r="G392" s="2" t="s">
        <v>3842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3843</v>
      </c>
      <c r="N392" s="4"/>
      <c r="O392" s="5"/>
      <c r="P392" s="4"/>
      <c r="Q392" s="21" t="str">
        <f>VLOOKUP(tblProductos[[#This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3857</v>
      </c>
      <c r="D393" s="2" t="s">
        <v>4017</v>
      </c>
      <c r="E393" s="2" t="s">
        <v>3858</v>
      </c>
      <c r="F393" s="2">
        <v>200</v>
      </c>
      <c r="G393" s="2" t="s">
        <v>3842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3843</v>
      </c>
      <c r="N393" s="4"/>
      <c r="O393" s="5"/>
      <c r="P393" s="4"/>
      <c r="Q393" s="21" t="str">
        <f>VLOOKUP(tblProductos[[#This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3857</v>
      </c>
      <c r="D394" s="2" t="s">
        <v>4011</v>
      </c>
      <c r="E394" s="2" t="s">
        <v>3858</v>
      </c>
      <c r="F394" s="2">
        <v>200</v>
      </c>
      <c r="G394" s="2" t="s">
        <v>3842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3843</v>
      </c>
      <c r="N394" s="4"/>
      <c r="O394" s="5"/>
      <c r="P394" s="4"/>
      <c r="Q394" s="21" t="str">
        <f>VLOOKUP(tblProductos[[#This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3857</v>
      </c>
      <c r="D395" s="2" t="s">
        <v>4018</v>
      </c>
      <c r="E395" s="2" t="s">
        <v>3858</v>
      </c>
      <c r="F395" s="2">
        <v>200</v>
      </c>
      <c r="G395" s="2" t="s">
        <v>3842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3843</v>
      </c>
      <c r="N395" s="4"/>
      <c r="O395" s="5"/>
      <c r="P395" s="4"/>
      <c r="Q395" s="21" t="str">
        <f>VLOOKUP(tblProductos[[#This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3857</v>
      </c>
      <c r="D396" s="2" t="s">
        <v>4009</v>
      </c>
      <c r="E396" s="2" t="s">
        <v>3858</v>
      </c>
      <c r="F396" s="2">
        <v>200</v>
      </c>
      <c r="G396" s="2" t="s">
        <v>3842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3843</v>
      </c>
      <c r="N396" s="4"/>
      <c r="O396" s="5"/>
      <c r="P396" s="4"/>
      <c r="Q396" s="21" t="str">
        <f>VLOOKUP(tblProductos[[#This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3857</v>
      </c>
      <c r="D397" s="2" t="s">
        <v>4012</v>
      </c>
      <c r="E397" s="2" t="s">
        <v>3858</v>
      </c>
      <c r="F397" s="2">
        <v>200</v>
      </c>
      <c r="G397" s="2" t="s">
        <v>3842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3843</v>
      </c>
      <c r="N397" s="4"/>
      <c r="O397" s="5"/>
      <c r="P397" s="4"/>
      <c r="Q397" s="21" t="str">
        <f>VLOOKUP(tblProductos[[#This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3857</v>
      </c>
      <c r="D398" s="2" t="s">
        <v>4019</v>
      </c>
      <c r="E398" s="2" t="s">
        <v>3858</v>
      </c>
      <c r="F398" s="2">
        <v>200</v>
      </c>
      <c r="G398" s="2" t="s">
        <v>3842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3843</v>
      </c>
      <c r="N398" s="4"/>
      <c r="O398" s="5"/>
      <c r="P398" s="4"/>
      <c r="Q398" s="21" t="str">
        <f>VLOOKUP(tblProductos[[#This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3857</v>
      </c>
      <c r="D399" s="2" t="s">
        <v>4007</v>
      </c>
      <c r="E399" s="2" t="s">
        <v>3858</v>
      </c>
      <c r="F399" s="2">
        <v>200</v>
      </c>
      <c r="G399" s="2" t="s">
        <v>3842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3843</v>
      </c>
      <c r="N399" s="4"/>
      <c r="O399" s="5"/>
      <c r="P399" s="4"/>
      <c r="Q399" s="21" t="str">
        <f>VLOOKUP(tblProductos[[#This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3857</v>
      </c>
      <c r="D400" s="2" t="s">
        <v>4008</v>
      </c>
      <c r="E400" s="2" t="s">
        <v>3858</v>
      </c>
      <c r="F400" s="2">
        <v>200</v>
      </c>
      <c r="G400" s="2" t="s">
        <v>3842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3843</v>
      </c>
      <c r="N400" s="4"/>
      <c r="O400" s="5"/>
      <c r="P400" s="4"/>
      <c r="Q400" s="21" t="str">
        <f>VLOOKUP(tblProductos[[#This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3857</v>
      </c>
      <c r="D401" s="2" t="s">
        <v>4020</v>
      </c>
      <c r="E401" s="2" t="s">
        <v>3858</v>
      </c>
      <c r="F401" s="2">
        <v>200</v>
      </c>
      <c r="G401" s="2" t="s">
        <v>3842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3843</v>
      </c>
      <c r="N401" s="4"/>
      <c r="O401" s="5"/>
      <c r="P401" s="4"/>
      <c r="Q401" s="21" t="str">
        <f>VLOOKUP(tblProductos[[#This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3857</v>
      </c>
      <c r="D402" s="2" t="s">
        <v>4021</v>
      </c>
      <c r="E402" s="2" t="s">
        <v>3858</v>
      </c>
      <c r="F402" s="2">
        <v>200</v>
      </c>
      <c r="G402" s="2" t="s">
        <v>3842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3843</v>
      </c>
      <c r="N402" s="4"/>
      <c r="O402" s="5"/>
      <c r="P402" s="4"/>
      <c r="Q402" s="21" t="str">
        <f>VLOOKUP(tblProductos[[#This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3857</v>
      </c>
      <c r="D403" s="2" t="s">
        <v>4022</v>
      </c>
      <c r="E403" s="2" t="s">
        <v>3858</v>
      </c>
      <c r="F403" s="2">
        <v>200</v>
      </c>
      <c r="G403" s="2" t="s">
        <v>3842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3843</v>
      </c>
      <c r="N403" s="4"/>
      <c r="O403" s="5"/>
      <c r="P403" s="4"/>
      <c r="Q403" s="21" t="str">
        <f>VLOOKUP(tblProductos[[#This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3857</v>
      </c>
      <c r="D404" s="2" t="s">
        <v>4023</v>
      </c>
      <c r="E404" s="2" t="s">
        <v>3858</v>
      </c>
      <c r="F404" s="2">
        <v>200</v>
      </c>
      <c r="G404" s="2" t="s">
        <v>3842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3843</v>
      </c>
      <c r="N404" s="4"/>
      <c r="O404" s="5"/>
      <c r="P404" s="4"/>
      <c r="Q404" s="21" t="str">
        <f>VLOOKUP(tblProductos[[#This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3857</v>
      </c>
      <c r="D405" s="2" t="s">
        <v>4024</v>
      </c>
      <c r="E405" s="2" t="s">
        <v>3858</v>
      </c>
      <c r="F405" s="2">
        <v>200</v>
      </c>
      <c r="G405" s="2" t="s">
        <v>3842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3843</v>
      </c>
      <c r="N405" s="4"/>
      <c r="O405" s="5"/>
      <c r="P405" s="4"/>
      <c r="Q405" s="21" t="str">
        <f>VLOOKUP(tblProductos[[#This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3859</v>
      </c>
      <c r="D406" s="2" t="s">
        <v>4017</v>
      </c>
      <c r="E406" s="2" t="s">
        <v>3860</v>
      </c>
      <c r="F406" s="2">
        <v>200</v>
      </c>
      <c r="G406" s="2" t="s">
        <v>3842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3843</v>
      </c>
      <c r="N406" s="4"/>
      <c r="O406" s="5"/>
      <c r="P406" s="4"/>
      <c r="Q406" s="21" t="str">
        <f>VLOOKUP(tblProductos[[#This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3859</v>
      </c>
      <c r="D407" s="2" t="s">
        <v>4011</v>
      </c>
      <c r="E407" s="2" t="s">
        <v>3860</v>
      </c>
      <c r="F407" s="2">
        <v>200</v>
      </c>
      <c r="G407" s="2" t="s">
        <v>3842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3843</v>
      </c>
      <c r="N407" s="4"/>
      <c r="O407" s="5"/>
      <c r="P407" s="4"/>
      <c r="Q407" s="21" t="str">
        <f>VLOOKUP(tblProductos[[#This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3859</v>
      </c>
      <c r="D408" s="2" t="s">
        <v>4018</v>
      </c>
      <c r="E408" s="2" t="s">
        <v>3860</v>
      </c>
      <c r="F408" s="2">
        <v>200</v>
      </c>
      <c r="G408" s="2" t="s">
        <v>3842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3843</v>
      </c>
      <c r="N408" s="4"/>
      <c r="O408" s="5"/>
      <c r="P408" s="4"/>
      <c r="Q408" s="21" t="str">
        <f>VLOOKUP(tblProductos[[#This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3859</v>
      </c>
      <c r="D409" s="2" t="s">
        <v>4009</v>
      </c>
      <c r="E409" s="2" t="s">
        <v>3860</v>
      </c>
      <c r="F409" s="2">
        <v>200</v>
      </c>
      <c r="G409" s="2" t="s">
        <v>3842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3843</v>
      </c>
      <c r="N409" s="4"/>
      <c r="O409" s="5"/>
      <c r="P409" s="4"/>
      <c r="Q409" s="21" t="str">
        <f>VLOOKUP(tblProductos[[#This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3859</v>
      </c>
      <c r="D410" s="2" t="s">
        <v>4012</v>
      </c>
      <c r="E410" s="2" t="s">
        <v>3860</v>
      </c>
      <c r="F410" s="2">
        <v>200</v>
      </c>
      <c r="G410" s="2" t="s">
        <v>3842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3843</v>
      </c>
      <c r="N410" s="4"/>
      <c r="O410" s="5"/>
      <c r="P410" s="4"/>
      <c r="Q410" s="21" t="str">
        <f>VLOOKUP(tblProductos[[#This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3859</v>
      </c>
      <c r="D411" s="2" t="s">
        <v>3923</v>
      </c>
      <c r="E411" s="2" t="s">
        <v>3860</v>
      </c>
      <c r="F411" s="2">
        <v>200</v>
      </c>
      <c r="G411" s="2" t="s">
        <v>3842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3843</v>
      </c>
      <c r="N411" s="4"/>
      <c r="O411" s="5"/>
      <c r="P411" s="4"/>
      <c r="Q411" s="21" t="str">
        <f>VLOOKUP(tblProductos[[#This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3859</v>
      </c>
      <c r="D412" s="2" t="s">
        <v>4019</v>
      </c>
      <c r="E412" s="2" t="s">
        <v>3860</v>
      </c>
      <c r="F412" s="2">
        <v>200</v>
      </c>
      <c r="G412" s="2" t="s">
        <v>3842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3843</v>
      </c>
      <c r="N412" s="4"/>
      <c r="O412" s="5"/>
      <c r="P412" s="4"/>
      <c r="Q412" s="21" t="str">
        <f>VLOOKUP(tblProductos[[#This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3859</v>
      </c>
      <c r="D413" s="2" t="s">
        <v>4007</v>
      </c>
      <c r="E413" s="2" t="s">
        <v>3860</v>
      </c>
      <c r="F413" s="2">
        <v>200</v>
      </c>
      <c r="G413" s="2" t="s">
        <v>3842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3843</v>
      </c>
      <c r="N413" s="4"/>
      <c r="O413" s="5"/>
      <c r="P413" s="4"/>
      <c r="Q413" s="21" t="str">
        <f>VLOOKUP(tblProductos[[#This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3859</v>
      </c>
      <c r="D414" s="2" t="s">
        <v>4008</v>
      </c>
      <c r="E414" s="2" t="s">
        <v>3860</v>
      </c>
      <c r="F414" s="2">
        <v>200</v>
      </c>
      <c r="G414" s="2" t="s">
        <v>3842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3843</v>
      </c>
      <c r="N414" s="4"/>
      <c r="O414" s="5"/>
      <c r="P414" s="4"/>
      <c r="Q414" s="21" t="str">
        <f>VLOOKUP(tblProductos[[#This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3859</v>
      </c>
      <c r="D415" s="2" t="s">
        <v>4020</v>
      </c>
      <c r="E415" s="2" t="s">
        <v>3860</v>
      </c>
      <c r="F415" s="2">
        <v>200</v>
      </c>
      <c r="G415" s="2" t="s">
        <v>3842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3843</v>
      </c>
      <c r="N415" s="4"/>
      <c r="O415" s="5"/>
      <c r="P415" s="4"/>
      <c r="Q415" s="21" t="str">
        <f>VLOOKUP(tblProductos[[#This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3859</v>
      </c>
      <c r="D416" s="2" t="s">
        <v>4021</v>
      </c>
      <c r="E416" s="2" t="s">
        <v>3860</v>
      </c>
      <c r="F416" s="2">
        <v>200</v>
      </c>
      <c r="G416" s="2" t="s">
        <v>3842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3843</v>
      </c>
      <c r="N416" s="4"/>
      <c r="O416" s="5"/>
      <c r="P416" s="4"/>
      <c r="Q416" s="21" t="str">
        <f>VLOOKUP(tblProductos[[#This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3859</v>
      </c>
      <c r="D417" s="2" t="s">
        <v>4022</v>
      </c>
      <c r="E417" s="2" t="s">
        <v>3860</v>
      </c>
      <c r="F417" s="2">
        <v>200</v>
      </c>
      <c r="G417" s="2" t="s">
        <v>3842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3843</v>
      </c>
      <c r="N417" s="4"/>
      <c r="O417" s="5"/>
      <c r="P417" s="4"/>
      <c r="Q417" s="21" t="str">
        <f>VLOOKUP(tblProductos[[#This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3859</v>
      </c>
      <c r="D418" s="2" t="s">
        <v>4023</v>
      </c>
      <c r="E418" s="2" t="s">
        <v>3860</v>
      </c>
      <c r="F418" s="2">
        <v>200</v>
      </c>
      <c r="G418" s="2" t="s">
        <v>3842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3843</v>
      </c>
      <c r="N418" s="4"/>
      <c r="O418" s="5"/>
      <c r="P418" s="4"/>
      <c r="Q418" s="21" t="str">
        <f>VLOOKUP(tblProductos[[#This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3859</v>
      </c>
      <c r="D419" s="2" t="s">
        <v>4024</v>
      </c>
      <c r="E419" s="2" t="s">
        <v>3860</v>
      </c>
      <c r="F419" s="2">
        <v>200</v>
      </c>
      <c r="G419" s="2" t="s">
        <v>3842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3843</v>
      </c>
      <c r="N419" s="4"/>
      <c r="O419" s="5"/>
      <c r="P419" s="4"/>
      <c r="Q419" s="21" t="str">
        <f>VLOOKUP(tblProductos[[#This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3861</v>
      </c>
      <c r="D420" s="2" t="s">
        <v>4017</v>
      </c>
      <c r="E420" s="2" t="s">
        <v>3862</v>
      </c>
      <c r="F420" s="2">
        <v>200</v>
      </c>
      <c r="G420" s="2" t="s">
        <v>3842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3843</v>
      </c>
      <c r="N420" s="4"/>
      <c r="O420" s="5"/>
      <c r="P420" s="4"/>
      <c r="Q420" s="21" t="str">
        <f>VLOOKUP(tblProductos[[#This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3861</v>
      </c>
      <c r="D421" s="2" t="s">
        <v>4011</v>
      </c>
      <c r="E421" s="2" t="s">
        <v>3862</v>
      </c>
      <c r="F421" s="2">
        <v>200</v>
      </c>
      <c r="G421" s="2" t="s">
        <v>3842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3843</v>
      </c>
      <c r="N421" s="4"/>
      <c r="O421" s="5"/>
      <c r="P421" s="4"/>
      <c r="Q421" s="21" t="str">
        <f>VLOOKUP(tblProductos[[#This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3861</v>
      </c>
      <c r="D422" s="2" t="s">
        <v>4018</v>
      </c>
      <c r="E422" s="2" t="s">
        <v>3862</v>
      </c>
      <c r="F422" s="2">
        <v>200</v>
      </c>
      <c r="G422" s="2" t="s">
        <v>3842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3843</v>
      </c>
      <c r="N422" s="4"/>
      <c r="O422" s="5"/>
      <c r="P422" s="4"/>
      <c r="Q422" s="21" t="str">
        <f>VLOOKUP(tblProductos[[#This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3861</v>
      </c>
      <c r="D423" s="2" t="s">
        <v>4009</v>
      </c>
      <c r="E423" s="2" t="s">
        <v>3862</v>
      </c>
      <c r="F423" s="2">
        <v>200</v>
      </c>
      <c r="G423" s="2" t="s">
        <v>3842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3843</v>
      </c>
      <c r="N423" s="4"/>
      <c r="O423" s="5"/>
      <c r="P423" s="4"/>
      <c r="Q423" s="21" t="str">
        <f>VLOOKUP(tblProductos[[#This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3861</v>
      </c>
      <c r="D424" s="2" t="s">
        <v>4012</v>
      </c>
      <c r="E424" s="2" t="s">
        <v>3862</v>
      </c>
      <c r="F424" s="2">
        <v>200</v>
      </c>
      <c r="G424" s="2" t="s">
        <v>3842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3843</v>
      </c>
      <c r="N424" s="4"/>
      <c r="O424" s="5"/>
      <c r="P424" s="4"/>
      <c r="Q424" s="21" t="str">
        <f>VLOOKUP(tblProductos[[#This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3861</v>
      </c>
      <c r="D425" s="2" t="s">
        <v>3923</v>
      </c>
      <c r="E425" s="2" t="s">
        <v>3862</v>
      </c>
      <c r="F425" s="2">
        <v>200</v>
      </c>
      <c r="G425" s="2" t="s">
        <v>3842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3843</v>
      </c>
      <c r="N425" s="4"/>
      <c r="O425" s="5"/>
      <c r="P425" s="4"/>
      <c r="Q425" s="21" t="str">
        <f>VLOOKUP(tblProductos[[#This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3861</v>
      </c>
      <c r="D426" s="2" t="s">
        <v>4019</v>
      </c>
      <c r="E426" s="2" t="s">
        <v>3862</v>
      </c>
      <c r="F426" s="2">
        <v>200</v>
      </c>
      <c r="G426" s="2" t="s">
        <v>3842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3843</v>
      </c>
      <c r="N426" s="4"/>
      <c r="O426" s="5"/>
      <c r="P426" s="4"/>
      <c r="Q426" s="21" t="str">
        <f>VLOOKUP(tblProductos[[#This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3861</v>
      </c>
      <c r="D427" s="2" t="s">
        <v>4007</v>
      </c>
      <c r="E427" s="2" t="s">
        <v>3862</v>
      </c>
      <c r="F427" s="2">
        <v>200</v>
      </c>
      <c r="G427" s="2" t="s">
        <v>3842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3843</v>
      </c>
      <c r="N427" s="4"/>
      <c r="O427" s="5"/>
      <c r="P427" s="4"/>
      <c r="Q427" s="21" t="str">
        <f>VLOOKUP(tblProductos[[#This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3861</v>
      </c>
      <c r="D428" s="2" t="s">
        <v>4008</v>
      </c>
      <c r="E428" s="2" t="s">
        <v>3862</v>
      </c>
      <c r="F428" s="2">
        <v>200</v>
      </c>
      <c r="G428" s="2" t="s">
        <v>3842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3843</v>
      </c>
      <c r="N428" s="4"/>
      <c r="O428" s="5"/>
      <c r="P428" s="4"/>
      <c r="Q428" s="21" t="str">
        <f>VLOOKUP(tblProductos[[#This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3861</v>
      </c>
      <c r="D429" s="2" t="s">
        <v>4020</v>
      </c>
      <c r="E429" s="2" t="s">
        <v>3862</v>
      </c>
      <c r="F429" s="2">
        <v>200</v>
      </c>
      <c r="G429" s="2" t="s">
        <v>3842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3843</v>
      </c>
      <c r="N429" s="4"/>
      <c r="O429" s="5"/>
      <c r="P429" s="4"/>
      <c r="Q429" s="21" t="str">
        <f>VLOOKUP(tblProductos[[#This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3861</v>
      </c>
      <c r="D430" s="2" t="s">
        <v>4021</v>
      </c>
      <c r="E430" s="2" t="s">
        <v>3862</v>
      </c>
      <c r="F430" s="2">
        <v>200</v>
      </c>
      <c r="G430" s="2" t="s">
        <v>3842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3843</v>
      </c>
      <c r="N430" s="4"/>
      <c r="O430" s="5"/>
      <c r="P430" s="4"/>
      <c r="Q430" s="21" t="str">
        <f>VLOOKUP(tblProductos[[#This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3861</v>
      </c>
      <c r="D431" s="2" t="s">
        <v>4022</v>
      </c>
      <c r="E431" s="2" t="s">
        <v>3862</v>
      </c>
      <c r="F431" s="2">
        <v>200</v>
      </c>
      <c r="G431" s="2" t="s">
        <v>3842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3843</v>
      </c>
      <c r="N431" s="4"/>
      <c r="O431" s="5"/>
      <c r="P431" s="4"/>
      <c r="Q431" s="21" t="str">
        <f>VLOOKUP(tblProductos[[#This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3861</v>
      </c>
      <c r="D432" s="2" t="s">
        <v>4023</v>
      </c>
      <c r="E432" s="2" t="s">
        <v>3862</v>
      </c>
      <c r="F432" s="2">
        <v>200</v>
      </c>
      <c r="G432" s="2" t="s">
        <v>3842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3843</v>
      </c>
      <c r="N432" s="4"/>
      <c r="O432" s="5"/>
      <c r="P432" s="4"/>
      <c r="Q432" s="21" t="str">
        <f>VLOOKUP(tblProductos[[#This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3861</v>
      </c>
      <c r="D433" s="2" t="s">
        <v>4024</v>
      </c>
      <c r="E433" s="2" t="s">
        <v>3862</v>
      </c>
      <c r="F433" s="2">
        <v>200</v>
      </c>
      <c r="G433" s="2" t="s">
        <v>3842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3843</v>
      </c>
      <c r="N433" s="4"/>
      <c r="O433" s="5"/>
      <c r="P433" s="4"/>
      <c r="Q433" s="21" t="str">
        <f>VLOOKUP(tblProductos[[#This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3863</v>
      </c>
      <c r="D434" s="2" t="s">
        <v>4017</v>
      </c>
      <c r="E434" s="2" t="s">
        <v>3864</v>
      </c>
      <c r="F434" s="2">
        <v>300</v>
      </c>
      <c r="G434" s="2" t="s">
        <v>3842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3843</v>
      </c>
      <c r="N434" s="4"/>
      <c r="O434" s="5"/>
      <c r="P434" s="4"/>
      <c r="Q434" s="21" t="str">
        <f>VLOOKUP(tblProductos[[#This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3863</v>
      </c>
      <c r="D435" s="2" t="s">
        <v>4011</v>
      </c>
      <c r="E435" s="2" t="s">
        <v>3864</v>
      </c>
      <c r="F435" s="2">
        <v>300</v>
      </c>
      <c r="G435" s="2" t="s">
        <v>3842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3843</v>
      </c>
      <c r="N435" s="4"/>
      <c r="O435" s="5"/>
      <c r="P435" s="4"/>
      <c r="Q435" s="21" t="str">
        <f>VLOOKUP(tblProductos[[#This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3863</v>
      </c>
      <c r="D436" s="2" t="s">
        <v>4018</v>
      </c>
      <c r="E436" s="2" t="s">
        <v>3864</v>
      </c>
      <c r="F436" s="2">
        <v>300</v>
      </c>
      <c r="G436" s="2" t="s">
        <v>3842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3843</v>
      </c>
      <c r="N436" s="4"/>
      <c r="O436" s="5"/>
      <c r="P436" s="4"/>
      <c r="Q436" s="21" t="str">
        <f>VLOOKUP(tblProductos[[#This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3863</v>
      </c>
      <c r="D437" s="2" t="s">
        <v>4009</v>
      </c>
      <c r="E437" s="2" t="s">
        <v>3864</v>
      </c>
      <c r="F437" s="2">
        <v>300</v>
      </c>
      <c r="G437" s="2" t="s">
        <v>3842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3843</v>
      </c>
      <c r="N437" s="4"/>
      <c r="O437" s="5"/>
      <c r="P437" s="4"/>
      <c r="Q437" s="21" t="str">
        <f>VLOOKUP(tblProductos[[#This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3863</v>
      </c>
      <c r="D438" s="2" t="s">
        <v>4012</v>
      </c>
      <c r="E438" s="2" t="s">
        <v>3864</v>
      </c>
      <c r="F438" s="2">
        <v>300</v>
      </c>
      <c r="G438" s="2" t="s">
        <v>3842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3843</v>
      </c>
      <c r="N438" s="4"/>
      <c r="O438" s="5"/>
      <c r="P438" s="4"/>
      <c r="Q438" s="21" t="str">
        <f>VLOOKUP(tblProductos[[#This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3863</v>
      </c>
      <c r="D439" s="2" t="s">
        <v>3923</v>
      </c>
      <c r="E439" s="2" t="s">
        <v>3864</v>
      </c>
      <c r="F439" s="2">
        <v>300</v>
      </c>
      <c r="G439" s="2" t="s">
        <v>3842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3843</v>
      </c>
      <c r="N439" s="4"/>
      <c r="O439" s="5"/>
      <c r="P439" s="4"/>
      <c r="Q439" s="21" t="str">
        <f>VLOOKUP(tblProductos[[#This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3863</v>
      </c>
      <c r="D440" s="2" t="s">
        <v>4019</v>
      </c>
      <c r="E440" s="2" t="s">
        <v>3864</v>
      </c>
      <c r="F440" s="2">
        <v>300</v>
      </c>
      <c r="G440" s="2" t="s">
        <v>3842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3843</v>
      </c>
      <c r="N440" s="4"/>
      <c r="O440" s="5"/>
      <c r="P440" s="4"/>
      <c r="Q440" s="21" t="str">
        <f>VLOOKUP(tblProductos[[#This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3863</v>
      </c>
      <c r="D441" s="2" t="s">
        <v>4007</v>
      </c>
      <c r="E441" s="2" t="s">
        <v>3864</v>
      </c>
      <c r="F441" s="2">
        <v>300</v>
      </c>
      <c r="G441" s="2" t="s">
        <v>3842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3843</v>
      </c>
      <c r="N441" s="4"/>
      <c r="O441" s="5"/>
      <c r="P441" s="4"/>
      <c r="Q441" s="21" t="str">
        <f>VLOOKUP(tblProductos[[#This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3863</v>
      </c>
      <c r="D442" s="2" t="s">
        <v>4008</v>
      </c>
      <c r="E442" s="2" t="s">
        <v>3864</v>
      </c>
      <c r="F442" s="2">
        <v>300</v>
      </c>
      <c r="G442" s="2" t="s">
        <v>3842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3843</v>
      </c>
      <c r="N442" s="4"/>
      <c r="O442" s="5"/>
      <c r="P442" s="4"/>
      <c r="Q442" s="21" t="str">
        <f>VLOOKUP(tblProductos[[#This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3863</v>
      </c>
      <c r="D443" s="2" t="s">
        <v>4020</v>
      </c>
      <c r="E443" s="2" t="s">
        <v>3864</v>
      </c>
      <c r="F443" s="2">
        <v>300</v>
      </c>
      <c r="G443" s="2" t="s">
        <v>3842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3843</v>
      </c>
      <c r="N443" s="4"/>
      <c r="O443" s="5"/>
      <c r="P443" s="4"/>
      <c r="Q443" s="21" t="str">
        <f>VLOOKUP(tblProductos[[#This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3863</v>
      </c>
      <c r="D444" s="2" t="s">
        <v>4021</v>
      </c>
      <c r="E444" s="2" t="s">
        <v>3864</v>
      </c>
      <c r="F444" s="2">
        <v>300</v>
      </c>
      <c r="G444" s="2" t="s">
        <v>3842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3843</v>
      </c>
      <c r="N444" s="4"/>
      <c r="O444" s="5"/>
      <c r="P444" s="4"/>
      <c r="Q444" s="21" t="str">
        <f>VLOOKUP(tblProductos[[#This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3863</v>
      </c>
      <c r="D445" s="2" t="s">
        <v>4022</v>
      </c>
      <c r="E445" s="2" t="s">
        <v>3864</v>
      </c>
      <c r="F445" s="2">
        <v>300</v>
      </c>
      <c r="G445" s="2" t="s">
        <v>3842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3843</v>
      </c>
      <c r="N445" s="4"/>
      <c r="O445" s="5"/>
      <c r="P445" s="4"/>
      <c r="Q445" s="21" t="str">
        <f>VLOOKUP(tblProductos[[#This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3863</v>
      </c>
      <c r="D446" s="2" t="s">
        <v>4023</v>
      </c>
      <c r="E446" s="2" t="s">
        <v>3864</v>
      </c>
      <c r="F446" s="2">
        <v>300</v>
      </c>
      <c r="G446" s="2" t="s">
        <v>3842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3843</v>
      </c>
      <c r="N446" s="4"/>
      <c r="O446" s="5"/>
      <c r="P446" s="4"/>
      <c r="Q446" s="21" t="str">
        <f>VLOOKUP(tblProductos[[#This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3863</v>
      </c>
      <c r="D447" s="2" t="s">
        <v>4024</v>
      </c>
      <c r="E447" s="2" t="s">
        <v>3864</v>
      </c>
      <c r="F447" s="2">
        <v>300</v>
      </c>
      <c r="G447" s="2" t="s">
        <v>3842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3843</v>
      </c>
      <c r="N447" s="4"/>
      <c r="O447" s="5"/>
      <c r="P447" s="4"/>
      <c r="Q447" s="21" t="str">
        <f>VLOOKUP(tblProductos[[#This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3851</v>
      </c>
      <c r="D448" s="2" t="s">
        <v>4017</v>
      </c>
      <c r="E448" s="2" t="s">
        <v>3848</v>
      </c>
      <c r="F448" s="2">
        <v>200</v>
      </c>
      <c r="G448" s="2" t="s">
        <v>3842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3843</v>
      </c>
      <c r="N448" s="4"/>
      <c r="O448" s="5"/>
      <c r="P448" s="4"/>
      <c r="Q448" s="21" t="str">
        <f>VLOOKUP(tblProductos[[#This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3851</v>
      </c>
      <c r="D449" s="2" t="s">
        <v>4011</v>
      </c>
      <c r="E449" s="2" t="s">
        <v>3848</v>
      </c>
      <c r="F449" s="2">
        <v>200</v>
      </c>
      <c r="G449" s="2" t="s">
        <v>3842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3843</v>
      </c>
      <c r="N449" s="4"/>
      <c r="O449" s="5"/>
      <c r="P449" s="4"/>
      <c r="Q449" s="21" t="str">
        <f>VLOOKUP(tblProductos[[#This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3851</v>
      </c>
      <c r="D450" s="2" t="s">
        <v>4018</v>
      </c>
      <c r="E450" s="2" t="s">
        <v>3848</v>
      </c>
      <c r="F450" s="2">
        <v>200</v>
      </c>
      <c r="G450" s="2" t="s">
        <v>3842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3843</v>
      </c>
      <c r="N450" s="4"/>
      <c r="O450" s="5"/>
      <c r="P450" s="4"/>
      <c r="Q450" s="21" t="str">
        <f>VLOOKUP(tblProductos[[#This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3851</v>
      </c>
      <c r="D451" s="2" t="s">
        <v>4009</v>
      </c>
      <c r="E451" s="2" t="s">
        <v>3848</v>
      </c>
      <c r="F451" s="2">
        <v>200</v>
      </c>
      <c r="G451" s="2" t="s">
        <v>3842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3843</v>
      </c>
      <c r="N451" s="4"/>
      <c r="O451" s="5"/>
      <c r="P451" s="4"/>
      <c r="Q451" s="21" t="str">
        <f>VLOOKUP(tblProductos[[#This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3851</v>
      </c>
      <c r="D452" s="2" t="s">
        <v>4012</v>
      </c>
      <c r="E452" s="2" t="s">
        <v>3848</v>
      </c>
      <c r="F452" s="2">
        <v>200</v>
      </c>
      <c r="G452" s="2" t="s">
        <v>3842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3843</v>
      </c>
      <c r="N452" s="4"/>
      <c r="O452" s="5"/>
      <c r="P452" s="4"/>
      <c r="Q452" s="21" t="str">
        <f>VLOOKUP(tblProductos[[#This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3851</v>
      </c>
      <c r="D453" s="2" t="s">
        <v>3923</v>
      </c>
      <c r="E453" s="2" t="s">
        <v>3848</v>
      </c>
      <c r="F453" s="2">
        <v>200</v>
      </c>
      <c r="G453" s="2" t="s">
        <v>3842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3843</v>
      </c>
      <c r="N453" s="4"/>
      <c r="O453" s="5"/>
      <c r="P453" s="4"/>
      <c r="Q453" s="21" t="str">
        <f>VLOOKUP(tblProductos[[#This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3851</v>
      </c>
      <c r="D454" s="2" t="s">
        <v>4019</v>
      </c>
      <c r="E454" s="2" t="s">
        <v>3848</v>
      </c>
      <c r="F454" s="2">
        <v>200</v>
      </c>
      <c r="G454" s="2" t="s">
        <v>3842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3843</v>
      </c>
      <c r="N454" s="4"/>
      <c r="O454" s="5"/>
      <c r="P454" s="4"/>
      <c r="Q454" s="21" t="str">
        <f>VLOOKUP(tblProductos[[#This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3851</v>
      </c>
      <c r="D455" s="2" t="s">
        <v>4007</v>
      </c>
      <c r="E455" s="2" t="s">
        <v>3848</v>
      </c>
      <c r="F455" s="2">
        <v>200</v>
      </c>
      <c r="G455" s="2" t="s">
        <v>3842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3843</v>
      </c>
      <c r="N455" s="4"/>
      <c r="O455" s="5"/>
      <c r="P455" s="4"/>
      <c r="Q455" s="21" t="str">
        <f>VLOOKUP(tblProductos[[#This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3851</v>
      </c>
      <c r="D456" s="2" t="s">
        <v>4008</v>
      </c>
      <c r="E456" s="2" t="s">
        <v>3848</v>
      </c>
      <c r="F456" s="2">
        <v>200</v>
      </c>
      <c r="G456" s="2" t="s">
        <v>3842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3843</v>
      </c>
      <c r="N456" s="4"/>
      <c r="O456" s="5"/>
      <c r="P456" s="4"/>
      <c r="Q456" s="21" t="str">
        <f>VLOOKUP(tblProductos[[#This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3851</v>
      </c>
      <c r="D457" s="2" t="s">
        <v>4020</v>
      </c>
      <c r="E457" s="2" t="s">
        <v>3848</v>
      </c>
      <c r="F457" s="2">
        <v>200</v>
      </c>
      <c r="G457" s="2" t="s">
        <v>3842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3843</v>
      </c>
      <c r="N457" s="4"/>
      <c r="O457" s="5"/>
      <c r="P457" s="4"/>
      <c r="Q457" s="21" t="str">
        <f>VLOOKUP(tblProductos[[#This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3851</v>
      </c>
      <c r="D458" s="2" t="s">
        <v>4021</v>
      </c>
      <c r="E458" s="2" t="s">
        <v>3848</v>
      </c>
      <c r="F458" s="2">
        <v>200</v>
      </c>
      <c r="G458" s="2" t="s">
        <v>3842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3843</v>
      </c>
      <c r="N458" s="4"/>
      <c r="O458" s="5"/>
      <c r="P458" s="4"/>
      <c r="Q458" s="21" t="str">
        <f>VLOOKUP(tblProductos[[#This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3851</v>
      </c>
      <c r="D459" s="2" t="s">
        <v>4022</v>
      </c>
      <c r="E459" s="2" t="s">
        <v>3848</v>
      </c>
      <c r="F459" s="2">
        <v>200</v>
      </c>
      <c r="G459" s="2" t="s">
        <v>3842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3843</v>
      </c>
      <c r="N459" s="4"/>
      <c r="O459" s="5"/>
      <c r="P459" s="4"/>
      <c r="Q459" s="21" t="str">
        <f>VLOOKUP(tblProductos[[#This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3851</v>
      </c>
      <c r="D460" s="2" t="s">
        <v>4023</v>
      </c>
      <c r="E460" s="2" t="s">
        <v>3848</v>
      </c>
      <c r="F460" s="2">
        <v>200</v>
      </c>
      <c r="G460" s="2" t="s">
        <v>3842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3843</v>
      </c>
      <c r="N460" s="4"/>
      <c r="O460" s="5"/>
      <c r="P460" s="4"/>
      <c r="Q460" s="21" t="str">
        <f>VLOOKUP(tblProductos[[#This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3851</v>
      </c>
      <c r="D461" s="2" t="s">
        <v>4024</v>
      </c>
      <c r="E461" s="2" t="s">
        <v>3848</v>
      </c>
      <c r="F461" s="2">
        <v>200</v>
      </c>
      <c r="G461" s="2" t="s">
        <v>3842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3843</v>
      </c>
      <c r="N461" s="4"/>
      <c r="O461" s="5"/>
      <c r="P461" s="4"/>
      <c r="Q461" s="21" t="str">
        <f>VLOOKUP(tblProductos[[#This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3847</v>
      </c>
      <c r="D462" s="2" t="s">
        <v>4017</v>
      </c>
      <c r="E462" s="2" t="s">
        <v>3854</v>
      </c>
      <c r="F462" s="2">
        <v>200</v>
      </c>
      <c r="G462" s="2" t="s">
        <v>3842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3843</v>
      </c>
      <c r="N462" s="4"/>
      <c r="O462" s="5"/>
      <c r="P462" s="4"/>
      <c r="Q462" s="21" t="str">
        <f>VLOOKUP(tblProductos[[#This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3847</v>
      </c>
      <c r="D463" s="2" t="s">
        <v>4011</v>
      </c>
      <c r="E463" s="2" t="s">
        <v>3854</v>
      </c>
      <c r="F463" s="2">
        <v>200</v>
      </c>
      <c r="G463" s="2" t="s">
        <v>3842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3843</v>
      </c>
      <c r="N463" s="4"/>
      <c r="O463" s="5"/>
      <c r="P463" s="4"/>
      <c r="Q463" s="21" t="str">
        <f>VLOOKUP(tblProductos[[#This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3847</v>
      </c>
      <c r="D464" s="2" t="s">
        <v>4018</v>
      </c>
      <c r="E464" s="2" t="s">
        <v>3854</v>
      </c>
      <c r="F464" s="2">
        <v>200</v>
      </c>
      <c r="G464" s="2" t="s">
        <v>3842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3843</v>
      </c>
      <c r="N464" s="4"/>
      <c r="O464" s="5"/>
      <c r="P464" s="4"/>
      <c r="Q464" s="21" t="str">
        <f>VLOOKUP(tblProductos[[#This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3847</v>
      </c>
      <c r="D465" s="2" t="s">
        <v>4009</v>
      </c>
      <c r="E465" s="2" t="s">
        <v>3854</v>
      </c>
      <c r="F465" s="2">
        <v>200</v>
      </c>
      <c r="G465" s="2" t="s">
        <v>3842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3843</v>
      </c>
      <c r="N465" s="4"/>
      <c r="O465" s="5"/>
      <c r="P465" s="4"/>
      <c r="Q465" s="21" t="str">
        <f>VLOOKUP(tblProductos[[#This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3847</v>
      </c>
      <c r="D466" s="2" t="s">
        <v>4012</v>
      </c>
      <c r="E466" s="2" t="s">
        <v>3854</v>
      </c>
      <c r="F466" s="2">
        <v>200</v>
      </c>
      <c r="G466" s="2" t="s">
        <v>3842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3843</v>
      </c>
      <c r="N466" s="4"/>
      <c r="O466" s="5"/>
      <c r="P466" s="4"/>
      <c r="Q466" s="21" t="str">
        <f>VLOOKUP(tblProductos[[#This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3847</v>
      </c>
      <c r="D467" s="2" t="s">
        <v>3923</v>
      </c>
      <c r="E467" s="2" t="s">
        <v>3854</v>
      </c>
      <c r="F467" s="2">
        <v>200</v>
      </c>
      <c r="G467" s="2" t="s">
        <v>3842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3843</v>
      </c>
      <c r="N467" s="4"/>
      <c r="O467" s="5"/>
      <c r="P467" s="4"/>
      <c r="Q467" s="21" t="str">
        <f>VLOOKUP(tblProductos[[#This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3847</v>
      </c>
      <c r="D468" s="2" t="s">
        <v>4019</v>
      </c>
      <c r="E468" s="2" t="s">
        <v>3854</v>
      </c>
      <c r="F468" s="2">
        <v>200</v>
      </c>
      <c r="G468" s="2" t="s">
        <v>3842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3843</v>
      </c>
      <c r="N468" s="4"/>
      <c r="O468" s="5"/>
      <c r="P468" s="4"/>
      <c r="Q468" s="21" t="str">
        <f>VLOOKUP(tblProductos[[#This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3847</v>
      </c>
      <c r="D469" s="2" t="s">
        <v>4007</v>
      </c>
      <c r="E469" s="2" t="s">
        <v>3854</v>
      </c>
      <c r="F469" s="2">
        <v>200</v>
      </c>
      <c r="G469" s="2" t="s">
        <v>3842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3843</v>
      </c>
      <c r="N469" s="4"/>
      <c r="O469" s="5"/>
      <c r="P469" s="4"/>
      <c r="Q469" s="21" t="str">
        <f>VLOOKUP(tblProductos[[#This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3847</v>
      </c>
      <c r="D470" s="2" t="s">
        <v>4008</v>
      </c>
      <c r="E470" s="2" t="s">
        <v>3854</v>
      </c>
      <c r="F470" s="2">
        <v>200</v>
      </c>
      <c r="G470" s="2" t="s">
        <v>3842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3843</v>
      </c>
      <c r="N470" s="4"/>
      <c r="O470" s="5"/>
      <c r="P470" s="4"/>
      <c r="Q470" s="21" t="str">
        <f>VLOOKUP(tblProductos[[#This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3847</v>
      </c>
      <c r="D471" s="2" t="s">
        <v>4020</v>
      </c>
      <c r="E471" s="2" t="s">
        <v>3854</v>
      </c>
      <c r="F471" s="2">
        <v>200</v>
      </c>
      <c r="G471" s="2" t="s">
        <v>3842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3843</v>
      </c>
      <c r="N471" s="4"/>
      <c r="O471" s="5"/>
      <c r="P471" s="4"/>
      <c r="Q471" s="21" t="str">
        <f>VLOOKUP(tblProductos[[#This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3847</v>
      </c>
      <c r="D472" s="2" t="s">
        <v>4021</v>
      </c>
      <c r="E472" s="2" t="s">
        <v>3854</v>
      </c>
      <c r="F472" s="2">
        <v>200</v>
      </c>
      <c r="G472" s="2" t="s">
        <v>3842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3843</v>
      </c>
      <c r="N472" s="4"/>
      <c r="O472" s="5"/>
      <c r="P472" s="4"/>
      <c r="Q472" s="21" t="str">
        <f>VLOOKUP(tblProductos[[#This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3847</v>
      </c>
      <c r="D473" s="2" t="s">
        <v>4022</v>
      </c>
      <c r="E473" s="2" t="s">
        <v>3854</v>
      </c>
      <c r="F473" s="2">
        <v>200</v>
      </c>
      <c r="G473" s="2" t="s">
        <v>3842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3843</v>
      </c>
      <c r="N473" s="4"/>
      <c r="O473" s="5"/>
      <c r="P473" s="4"/>
      <c r="Q473" s="21" t="str">
        <f>VLOOKUP(tblProductos[[#This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3847</v>
      </c>
      <c r="D474" s="2" t="s">
        <v>4023</v>
      </c>
      <c r="E474" s="2" t="s">
        <v>3854</v>
      </c>
      <c r="F474" s="2">
        <v>200</v>
      </c>
      <c r="G474" s="2" t="s">
        <v>3842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3843</v>
      </c>
      <c r="N474" s="4"/>
      <c r="O474" s="5"/>
      <c r="P474" s="4"/>
      <c r="Q474" s="21" t="str">
        <f>VLOOKUP(tblProductos[[#This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3847</v>
      </c>
      <c r="D475" s="2" t="s">
        <v>4024</v>
      </c>
      <c r="E475" s="2" t="s">
        <v>3854</v>
      </c>
      <c r="F475" s="2">
        <v>200</v>
      </c>
      <c r="G475" s="2" t="s">
        <v>3842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3843</v>
      </c>
      <c r="N475" s="4"/>
      <c r="O475" s="5"/>
      <c r="P475" s="4"/>
      <c r="Q475" s="21" t="str">
        <f>VLOOKUP(tblProductos[[#This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3853</v>
      </c>
      <c r="D476" s="2" t="s">
        <v>4017</v>
      </c>
      <c r="E476" s="2" t="s">
        <v>3856</v>
      </c>
      <c r="F476" s="2">
        <v>200</v>
      </c>
      <c r="G476" s="2" t="s">
        <v>3842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3843</v>
      </c>
      <c r="N476" s="4"/>
      <c r="O476" s="5"/>
      <c r="P476" s="4"/>
      <c r="Q476" s="21" t="str">
        <f>VLOOKUP(tblProductos[[#This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3853</v>
      </c>
      <c r="D477" s="2" t="s">
        <v>4011</v>
      </c>
      <c r="E477" s="2" t="s">
        <v>3856</v>
      </c>
      <c r="F477" s="2">
        <v>200</v>
      </c>
      <c r="G477" s="2" t="s">
        <v>3842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3843</v>
      </c>
      <c r="N477" s="4"/>
      <c r="O477" s="5"/>
      <c r="P477" s="4"/>
      <c r="Q477" s="21" t="str">
        <f>VLOOKUP(tblProductos[[#This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3853</v>
      </c>
      <c r="D478" s="2" t="s">
        <v>4018</v>
      </c>
      <c r="E478" s="2" t="s">
        <v>3856</v>
      </c>
      <c r="F478" s="2">
        <v>200</v>
      </c>
      <c r="G478" s="2" t="s">
        <v>3842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3843</v>
      </c>
      <c r="N478" s="4"/>
      <c r="O478" s="5"/>
      <c r="P478" s="4"/>
      <c r="Q478" s="21" t="str">
        <f>VLOOKUP(tblProductos[[#This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3853</v>
      </c>
      <c r="D479" s="2" t="s">
        <v>4009</v>
      </c>
      <c r="E479" s="2" t="s">
        <v>3856</v>
      </c>
      <c r="F479" s="2">
        <v>200</v>
      </c>
      <c r="G479" s="2" t="s">
        <v>3842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3843</v>
      </c>
      <c r="N479" s="4"/>
      <c r="O479" s="5"/>
      <c r="P479" s="4"/>
      <c r="Q479" s="21" t="str">
        <f>VLOOKUP(tblProductos[[#This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3853</v>
      </c>
      <c r="D480" s="2" t="s">
        <v>4012</v>
      </c>
      <c r="E480" s="2" t="s">
        <v>3856</v>
      </c>
      <c r="F480" s="2">
        <v>200</v>
      </c>
      <c r="G480" s="2" t="s">
        <v>3842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3843</v>
      </c>
      <c r="N480" s="4"/>
      <c r="O480" s="5"/>
      <c r="P480" s="4"/>
      <c r="Q480" s="21" t="str">
        <f>VLOOKUP(tblProductos[[#This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3853</v>
      </c>
      <c r="D481" s="2" t="s">
        <v>3923</v>
      </c>
      <c r="E481" s="2" t="s">
        <v>3856</v>
      </c>
      <c r="F481" s="2">
        <v>200</v>
      </c>
      <c r="G481" s="2" t="s">
        <v>3842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3843</v>
      </c>
      <c r="N481" s="4"/>
      <c r="O481" s="5"/>
      <c r="P481" s="4"/>
      <c r="Q481" s="21" t="str">
        <f>VLOOKUP(tblProductos[[#This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3853</v>
      </c>
      <c r="D482" s="2" t="s">
        <v>4019</v>
      </c>
      <c r="E482" s="2" t="s">
        <v>3856</v>
      </c>
      <c r="F482" s="2">
        <v>200</v>
      </c>
      <c r="G482" s="2" t="s">
        <v>3842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3843</v>
      </c>
      <c r="N482" s="4"/>
      <c r="O482" s="5"/>
      <c r="P482" s="4"/>
      <c r="Q482" s="21" t="str">
        <f>VLOOKUP(tblProductos[[#This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3853</v>
      </c>
      <c r="D483" s="2" t="s">
        <v>4007</v>
      </c>
      <c r="E483" s="2" t="s">
        <v>3856</v>
      </c>
      <c r="F483" s="2">
        <v>200</v>
      </c>
      <c r="G483" s="2" t="s">
        <v>3842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3843</v>
      </c>
      <c r="N483" s="4"/>
      <c r="O483" s="5"/>
      <c r="P483" s="4"/>
      <c r="Q483" s="21" t="str">
        <f>VLOOKUP(tblProductos[[#This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3853</v>
      </c>
      <c r="D484" s="2" t="s">
        <v>4008</v>
      </c>
      <c r="E484" s="2" t="s">
        <v>3856</v>
      </c>
      <c r="F484" s="2">
        <v>200</v>
      </c>
      <c r="G484" s="2" t="s">
        <v>3842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3843</v>
      </c>
      <c r="N484" s="4"/>
      <c r="O484" s="5"/>
      <c r="P484" s="4"/>
      <c r="Q484" s="21" t="str">
        <f>VLOOKUP(tblProductos[[#This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3853</v>
      </c>
      <c r="D485" s="2" t="s">
        <v>4020</v>
      </c>
      <c r="E485" s="2" t="s">
        <v>3856</v>
      </c>
      <c r="F485" s="2">
        <v>200</v>
      </c>
      <c r="G485" s="2" t="s">
        <v>3842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3843</v>
      </c>
      <c r="N485" s="4"/>
      <c r="O485" s="5"/>
      <c r="P485" s="4"/>
      <c r="Q485" s="21" t="str">
        <f>VLOOKUP(tblProductos[[#This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3853</v>
      </c>
      <c r="D486" s="2" t="s">
        <v>4021</v>
      </c>
      <c r="E486" s="2" t="s">
        <v>3856</v>
      </c>
      <c r="F486" s="2">
        <v>200</v>
      </c>
      <c r="G486" s="2" t="s">
        <v>3842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3843</v>
      </c>
      <c r="N486" s="4"/>
      <c r="O486" s="5"/>
      <c r="P486" s="4"/>
      <c r="Q486" s="21" t="str">
        <f>VLOOKUP(tblProductos[[#This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3853</v>
      </c>
      <c r="D487" s="2" t="s">
        <v>4022</v>
      </c>
      <c r="E487" s="2" t="s">
        <v>3856</v>
      </c>
      <c r="F487" s="2">
        <v>200</v>
      </c>
      <c r="G487" s="2" t="s">
        <v>3842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3843</v>
      </c>
      <c r="N487" s="4"/>
      <c r="O487" s="5"/>
      <c r="P487" s="4"/>
      <c r="Q487" s="21" t="str">
        <f>VLOOKUP(tblProductos[[#This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3853</v>
      </c>
      <c r="D488" s="2" t="s">
        <v>4023</v>
      </c>
      <c r="E488" s="2" t="s">
        <v>3856</v>
      </c>
      <c r="F488" s="2">
        <v>200</v>
      </c>
      <c r="G488" s="2" t="s">
        <v>3842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3843</v>
      </c>
      <c r="N488" s="4"/>
      <c r="O488" s="5"/>
      <c r="P488" s="4"/>
      <c r="Q488" s="21" t="str">
        <f>VLOOKUP(tblProductos[[#This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3853</v>
      </c>
      <c r="D489" s="2" t="s">
        <v>4024</v>
      </c>
      <c r="E489" s="2" t="s">
        <v>3856</v>
      </c>
      <c r="F489" s="2">
        <v>200</v>
      </c>
      <c r="G489" s="2" t="s">
        <v>3842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3843</v>
      </c>
      <c r="N489" s="4"/>
      <c r="O489" s="5"/>
      <c r="P489" s="4"/>
      <c r="Q489" s="21" t="str">
        <f>VLOOKUP(tblProductos[[#This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3855</v>
      </c>
      <c r="D490" s="2" t="s">
        <v>4017</v>
      </c>
      <c r="E490" s="2" t="s">
        <v>3858</v>
      </c>
      <c r="F490" s="2">
        <v>200</v>
      </c>
      <c r="G490" s="2" t="s">
        <v>3842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3843</v>
      </c>
      <c r="N490" s="4"/>
      <c r="O490" s="5"/>
      <c r="P490" s="4"/>
      <c r="Q490" s="21" t="str">
        <f>VLOOKUP(tblProductos[[#This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3855</v>
      </c>
      <c r="D491" s="2" t="s">
        <v>4011</v>
      </c>
      <c r="E491" s="2" t="s">
        <v>3858</v>
      </c>
      <c r="F491" s="2">
        <v>200</v>
      </c>
      <c r="G491" s="2" t="s">
        <v>3842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3843</v>
      </c>
      <c r="N491" s="4"/>
      <c r="O491" s="5"/>
      <c r="P491" s="4"/>
      <c r="Q491" s="21" t="str">
        <f>VLOOKUP(tblProductos[[#This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3855</v>
      </c>
      <c r="D492" s="2" t="s">
        <v>4018</v>
      </c>
      <c r="E492" s="2" t="s">
        <v>3858</v>
      </c>
      <c r="F492" s="2">
        <v>200</v>
      </c>
      <c r="G492" s="2" t="s">
        <v>3842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3843</v>
      </c>
      <c r="N492" s="4"/>
      <c r="O492" s="5"/>
      <c r="P492" s="4"/>
      <c r="Q492" s="21" t="str">
        <f>VLOOKUP(tblProductos[[#This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3855</v>
      </c>
      <c r="D493" s="2" t="s">
        <v>4009</v>
      </c>
      <c r="E493" s="2" t="s">
        <v>3858</v>
      </c>
      <c r="F493" s="2">
        <v>200</v>
      </c>
      <c r="G493" s="2" t="s">
        <v>3842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3843</v>
      </c>
      <c r="N493" s="4"/>
      <c r="O493" s="5"/>
      <c r="P493" s="4"/>
      <c r="Q493" s="21" t="str">
        <f>VLOOKUP(tblProductos[[#This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3855</v>
      </c>
      <c r="D494" s="2" t="s">
        <v>4012</v>
      </c>
      <c r="E494" s="2" t="s">
        <v>3858</v>
      </c>
      <c r="F494" s="2">
        <v>200</v>
      </c>
      <c r="G494" s="2" t="s">
        <v>3842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3843</v>
      </c>
      <c r="N494" s="4"/>
      <c r="O494" s="5"/>
      <c r="P494" s="4"/>
      <c r="Q494" s="21" t="str">
        <f>VLOOKUP(tblProductos[[#This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3855</v>
      </c>
      <c r="D495" s="2" t="s">
        <v>3923</v>
      </c>
      <c r="E495" s="2" t="s">
        <v>3858</v>
      </c>
      <c r="F495" s="2">
        <v>200</v>
      </c>
      <c r="G495" s="2" t="s">
        <v>3842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3843</v>
      </c>
      <c r="N495" s="4"/>
      <c r="O495" s="5"/>
      <c r="P495" s="4"/>
      <c r="Q495" s="21" t="str">
        <f>VLOOKUP(tblProductos[[#This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3855</v>
      </c>
      <c r="D496" s="2" t="s">
        <v>4019</v>
      </c>
      <c r="E496" s="2" t="s">
        <v>3858</v>
      </c>
      <c r="F496" s="2">
        <v>200</v>
      </c>
      <c r="G496" s="2" t="s">
        <v>3842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3843</v>
      </c>
      <c r="N496" s="4"/>
      <c r="O496" s="5"/>
      <c r="P496" s="4"/>
      <c r="Q496" s="21" t="str">
        <f>VLOOKUP(tblProductos[[#This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3855</v>
      </c>
      <c r="D497" s="2" t="s">
        <v>4007</v>
      </c>
      <c r="E497" s="2" t="s">
        <v>3858</v>
      </c>
      <c r="F497" s="2">
        <v>200</v>
      </c>
      <c r="G497" s="2" t="s">
        <v>3842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3843</v>
      </c>
      <c r="N497" s="4"/>
      <c r="O497" s="5"/>
      <c r="P497" s="4"/>
      <c r="Q497" s="21" t="str">
        <f>VLOOKUP(tblProductos[[#This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3855</v>
      </c>
      <c r="D498" s="2" t="s">
        <v>4008</v>
      </c>
      <c r="E498" s="2" t="s">
        <v>3858</v>
      </c>
      <c r="F498" s="2">
        <v>200</v>
      </c>
      <c r="G498" s="2" t="s">
        <v>3842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3843</v>
      </c>
      <c r="N498" s="4"/>
      <c r="O498" s="5"/>
      <c r="P498" s="4"/>
      <c r="Q498" s="21" t="str">
        <f>VLOOKUP(tblProductos[[#This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3855</v>
      </c>
      <c r="D499" s="2" t="s">
        <v>4020</v>
      </c>
      <c r="E499" s="2" t="s">
        <v>3858</v>
      </c>
      <c r="F499" s="2">
        <v>200</v>
      </c>
      <c r="G499" s="2" t="s">
        <v>3842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3843</v>
      </c>
      <c r="N499" s="4"/>
      <c r="O499" s="5"/>
      <c r="P499" s="4"/>
      <c r="Q499" s="21" t="str">
        <f>VLOOKUP(tblProductos[[#This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3855</v>
      </c>
      <c r="D500" s="2" t="s">
        <v>4021</v>
      </c>
      <c r="E500" s="2" t="s">
        <v>3858</v>
      </c>
      <c r="F500" s="2">
        <v>200</v>
      </c>
      <c r="G500" s="2" t="s">
        <v>3842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3843</v>
      </c>
      <c r="N500" s="4"/>
      <c r="O500" s="5"/>
      <c r="P500" s="4"/>
      <c r="Q500" s="21" t="str">
        <f>VLOOKUP(tblProductos[[#This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3855</v>
      </c>
      <c r="D501" s="2" t="s">
        <v>4022</v>
      </c>
      <c r="E501" s="2" t="s">
        <v>3858</v>
      </c>
      <c r="F501" s="2">
        <v>200</v>
      </c>
      <c r="G501" s="2" t="s">
        <v>3842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3843</v>
      </c>
      <c r="N501" s="4"/>
      <c r="O501" s="5"/>
      <c r="P501" s="4"/>
      <c r="Q501" s="21" t="str">
        <f>VLOOKUP(tblProductos[[#This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3855</v>
      </c>
      <c r="D502" s="2" t="s">
        <v>4023</v>
      </c>
      <c r="E502" s="2" t="s">
        <v>3858</v>
      </c>
      <c r="F502" s="2">
        <v>200</v>
      </c>
      <c r="G502" s="2" t="s">
        <v>3842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3843</v>
      </c>
      <c r="N502" s="4"/>
      <c r="O502" s="5"/>
      <c r="P502" s="4"/>
      <c r="Q502" s="21" t="str">
        <f>VLOOKUP(tblProductos[[#This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3855</v>
      </c>
      <c r="D503" s="2" t="s">
        <v>4024</v>
      </c>
      <c r="E503" s="2" t="s">
        <v>3858</v>
      </c>
      <c r="F503" s="2">
        <v>200</v>
      </c>
      <c r="G503" s="2" t="s">
        <v>3842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3843</v>
      </c>
      <c r="N503" s="4"/>
      <c r="O503" s="5"/>
      <c r="P503" s="4"/>
      <c r="Q503" s="21" t="str">
        <f>VLOOKUP(tblProductos[[#This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3857</v>
      </c>
      <c r="D504" s="2" t="s">
        <v>4017</v>
      </c>
      <c r="E504" s="2" t="s">
        <v>3858</v>
      </c>
      <c r="F504" s="2">
        <v>200</v>
      </c>
      <c r="G504" s="2" t="s">
        <v>3842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3843</v>
      </c>
      <c r="N504" s="4"/>
      <c r="O504" s="5"/>
      <c r="P504" s="4"/>
      <c r="Q504" s="21" t="str">
        <f>VLOOKUP(tblProductos[[#This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3857</v>
      </c>
      <c r="D505" s="2" t="s">
        <v>4011</v>
      </c>
      <c r="E505" s="2" t="s">
        <v>3858</v>
      </c>
      <c r="F505" s="2">
        <v>200</v>
      </c>
      <c r="G505" s="2" t="s">
        <v>3842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3843</v>
      </c>
      <c r="N505" s="4"/>
      <c r="O505" s="5"/>
      <c r="P505" s="4"/>
      <c r="Q505" s="21" t="str">
        <f>VLOOKUP(tblProductos[[#This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3857</v>
      </c>
      <c r="D506" s="2" t="s">
        <v>4018</v>
      </c>
      <c r="E506" s="2" t="s">
        <v>3858</v>
      </c>
      <c r="F506" s="2">
        <v>200</v>
      </c>
      <c r="G506" s="2" t="s">
        <v>3842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3843</v>
      </c>
      <c r="N506" s="4"/>
      <c r="O506" s="5"/>
      <c r="P506" s="4"/>
      <c r="Q506" s="21" t="str">
        <f>VLOOKUP(tblProductos[[#This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3857</v>
      </c>
      <c r="D507" s="2" t="s">
        <v>4009</v>
      </c>
      <c r="E507" s="2" t="s">
        <v>3858</v>
      </c>
      <c r="F507" s="2">
        <v>200</v>
      </c>
      <c r="G507" s="2" t="s">
        <v>3842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3843</v>
      </c>
      <c r="N507" s="4"/>
      <c r="O507" s="5"/>
      <c r="P507" s="4"/>
      <c r="Q507" s="21" t="str">
        <f>VLOOKUP(tblProductos[[#This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3857</v>
      </c>
      <c r="D508" s="2" t="s">
        <v>4012</v>
      </c>
      <c r="E508" s="2" t="s">
        <v>3858</v>
      </c>
      <c r="F508" s="2">
        <v>200</v>
      </c>
      <c r="G508" s="2" t="s">
        <v>3842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3843</v>
      </c>
      <c r="N508" s="4"/>
      <c r="O508" s="5"/>
      <c r="P508" s="4"/>
      <c r="Q508" s="21" t="str">
        <f>VLOOKUP(tblProductos[[#This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3857</v>
      </c>
      <c r="D509" s="2" t="s">
        <v>3923</v>
      </c>
      <c r="E509" s="2" t="s">
        <v>3858</v>
      </c>
      <c r="F509" s="2">
        <v>200</v>
      </c>
      <c r="G509" s="2" t="s">
        <v>3842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3843</v>
      </c>
      <c r="N509" s="4"/>
      <c r="O509" s="5"/>
      <c r="P509" s="4"/>
      <c r="Q509" s="21" t="str">
        <f>VLOOKUP(tblProductos[[#This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3857</v>
      </c>
      <c r="D510" s="2" t="s">
        <v>4019</v>
      </c>
      <c r="E510" s="2" t="s">
        <v>3858</v>
      </c>
      <c r="F510" s="2">
        <v>200</v>
      </c>
      <c r="G510" s="2" t="s">
        <v>3842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3843</v>
      </c>
      <c r="N510" s="4"/>
      <c r="O510" s="5"/>
      <c r="P510" s="4"/>
      <c r="Q510" s="21" t="str">
        <f>VLOOKUP(tblProductos[[#This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3857</v>
      </c>
      <c r="D511" s="2" t="s">
        <v>4007</v>
      </c>
      <c r="E511" s="2" t="s">
        <v>3858</v>
      </c>
      <c r="F511" s="2">
        <v>200</v>
      </c>
      <c r="G511" s="2" t="s">
        <v>3842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3843</v>
      </c>
      <c r="N511" s="4"/>
      <c r="O511" s="5"/>
      <c r="P511" s="4"/>
      <c r="Q511" s="21" t="str">
        <f>VLOOKUP(tblProductos[[#This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3857</v>
      </c>
      <c r="D512" s="2" t="s">
        <v>4008</v>
      </c>
      <c r="E512" s="2" t="s">
        <v>3858</v>
      </c>
      <c r="F512" s="2">
        <v>200</v>
      </c>
      <c r="G512" s="2" t="s">
        <v>3842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3843</v>
      </c>
      <c r="N512" s="4"/>
      <c r="O512" s="5"/>
      <c r="P512" s="4"/>
      <c r="Q512" s="21" t="str">
        <f>VLOOKUP(tblProductos[[#This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3857</v>
      </c>
      <c r="D513" s="2" t="s">
        <v>4020</v>
      </c>
      <c r="E513" s="2" t="s">
        <v>3858</v>
      </c>
      <c r="F513" s="2">
        <v>200</v>
      </c>
      <c r="G513" s="2" t="s">
        <v>3842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3843</v>
      </c>
      <c r="N513" s="4"/>
      <c r="O513" s="5"/>
      <c r="P513" s="4"/>
      <c r="Q513" s="21" t="str">
        <f>VLOOKUP(tblProductos[[#This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3857</v>
      </c>
      <c r="D514" s="2" t="s">
        <v>4021</v>
      </c>
      <c r="E514" s="2" t="s">
        <v>3858</v>
      </c>
      <c r="F514" s="2">
        <v>200</v>
      </c>
      <c r="G514" s="2" t="s">
        <v>3842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3843</v>
      </c>
      <c r="N514" s="4"/>
      <c r="O514" s="5"/>
      <c r="P514" s="4"/>
      <c r="Q514" s="21" t="str">
        <f>VLOOKUP(tblProductos[[#This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3857</v>
      </c>
      <c r="D515" s="2" t="s">
        <v>4022</v>
      </c>
      <c r="E515" s="2" t="s">
        <v>3858</v>
      </c>
      <c r="F515" s="2">
        <v>200</v>
      </c>
      <c r="G515" s="2" t="s">
        <v>3842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3843</v>
      </c>
      <c r="N515" s="4"/>
      <c r="O515" s="5"/>
      <c r="P515" s="4"/>
      <c r="Q515" s="21" t="str">
        <f>VLOOKUP(tblProductos[[#This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3857</v>
      </c>
      <c r="D516" s="2" t="s">
        <v>4023</v>
      </c>
      <c r="E516" s="2" t="s">
        <v>3858</v>
      </c>
      <c r="F516" s="2">
        <v>200</v>
      </c>
      <c r="G516" s="2" t="s">
        <v>3842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3843</v>
      </c>
      <c r="N516" s="4"/>
      <c r="O516" s="5"/>
      <c r="P516" s="4"/>
      <c r="Q516" s="21" t="str">
        <f>VLOOKUP(tblProductos[[#This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3857</v>
      </c>
      <c r="D517" s="2" t="s">
        <v>4024</v>
      </c>
      <c r="E517" s="2" t="s">
        <v>3858</v>
      </c>
      <c r="F517" s="2">
        <v>200</v>
      </c>
      <c r="G517" s="2" t="s">
        <v>3842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3843</v>
      </c>
      <c r="N517" s="4"/>
      <c r="O517" s="5"/>
      <c r="P517" s="4"/>
      <c r="Q517" s="21" t="str">
        <f>VLOOKUP(tblProductos[[#This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3859</v>
      </c>
      <c r="D518" s="2" t="s">
        <v>4017</v>
      </c>
      <c r="E518" s="2" t="s">
        <v>3860</v>
      </c>
      <c r="F518" s="2">
        <v>200</v>
      </c>
      <c r="G518" s="2" t="s">
        <v>3842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3843</v>
      </c>
      <c r="N518" s="4"/>
      <c r="O518" s="5"/>
      <c r="P518" s="4"/>
      <c r="Q518" s="21" t="str">
        <f>VLOOKUP(tblProductos[[#This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3859</v>
      </c>
      <c r="D519" s="2" t="s">
        <v>4011</v>
      </c>
      <c r="E519" s="2" t="s">
        <v>3860</v>
      </c>
      <c r="F519" s="2">
        <v>200</v>
      </c>
      <c r="G519" s="2" t="s">
        <v>3842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3843</v>
      </c>
      <c r="N519" s="4"/>
      <c r="O519" s="5"/>
      <c r="P519" s="4"/>
      <c r="Q519" s="21" t="str">
        <f>VLOOKUP(tblProductos[[#This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3859</v>
      </c>
      <c r="D520" s="2" t="s">
        <v>4018</v>
      </c>
      <c r="E520" s="2" t="s">
        <v>3860</v>
      </c>
      <c r="F520" s="2">
        <v>200</v>
      </c>
      <c r="G520" s="2" t="s">
        <v>3842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3843</v>
      </c>
      <c r="N520" s="4"/>
      <c r="O520" s="5"/>
      <c r="P520" s="4"/>
      <c r="Q520" s="21" t="str">
        <f>VLOOKUP(tblProductos[[#This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3859</v>
      </c>
      <c r="D521" s="2" t="s">
        <v>4009</v>
      </c>
      <c r="E521" s="2" t="s">
        <v>3860</v>
      </c>
      <c r="F521" s="2">
        <v>200</v>
      </c>
      <c r="G521" s="2" t="s">
        <v>3842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3843</v>
      </c>
      <c r="N521" s="4"/>
      <c r="O521" s="5"/>
      <c r="P521" s="4"/>
      <c r="Q521" s="21" t="str">
        <f>VLOOKUP(tblProductos[[#This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3859</v>
      </c>
      <c r="D522" s="2" t="s">
        <v>4012</v>
      </c>
      <c r="E522" s="2" t="s">
        <v>3860</v>
      </c>
      <c r="F522" s="2">
        <v>200</v>
      </c>
      <c r="G522" s="2" t="s">
        <v>3842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3843</v>
      </c>
      <c r="N522" s="4"/>
      <c r="O522" s="5"/>
      <c r="P522" s="4"/>
      <c r="Q522" s="21" t="str">
        <f>VLOOKUP(tblProductos[[#This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3859</v>
      </c>
      <c r="D523" s="2" t="s">
        <v>3923</v>
      </c>
      <c r="E523" s="2" t="s">
        <v>3860</v>
      </c>
      <c r="F523" s="2">
        <v>200</v>
      </c>
      <c r="G523" s="2" t="s">
        <v>3842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3843</v>
      </c>
      <c r="N523" s="4"/>
      <c r="O523" s="5"/>
      <c r="P523" s="4"/>
      <c r="Q523" s="21" t="str">
        <f>VLOOKUP(tblProductos[[#This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3859</v>
      </c>
      <c r="D524" s="2" t="s">
        <v>4019</v>
      </c>
      <c r="E524" s="2" t="s">
        <v>3860</v>
      </c>
      <c r="F524" s="2">
        <v>200</v>
      </c>
      <c r="G524" s="2" t="s">
        <v>3842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3843</v>
      </c>
      <c r="N524" s="4"/>
      <c r="O524" s="5"/>
      <c r="P524" s="4"/>
      <c r="Q524" s="21" t="str">
        <f>VLOOKUP(tblProductos[[#This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3859</v>
      </c>
      <c r="D525" s="2" t="s">
        <v>4007</v>
      </c>
      <c r="E525" s="2" t="s">
        <v>3860</v>
      </c>
      <c r="F525" s="2">
        <v>200</v>
      </c>
      <c r="G525" s="2" t="s">
        <v>3842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3843</v>
      </c>
      <c r="N525" s="4"/>
      <c r="O525" s="5"/>
      <c r="P525" s="4"/>
      <c r="Q525" s="21" t="str">
        <f>VLOOKUP(tblProductos[[#This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3859</v>
      </c>
      <c r="D526" s="2" t="s">
        <v>4008</v>
      </c>
      <c r="E526" s="2" t="s">
        <v>3860</v>
      </c>
      <c r="F526" s="2">
        <v>200</v>
      </c>
      <c r="G526" s="2" t="s">
        <v>3842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3843</v>
      </c>
      <c r="N526" s="4"/>
      <c r="O526" s="5"/>
      <c r="P526" s="4"/>
      <c r="Q526" s="21" t="str">
        <f>VLOOKUP(tblProductos[[#This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3859</v>
      </c>
      <c r="D527" s="2" t="s">
        <v>4020</v>
      </c>
      <c r="E527" s="2" t="s">
        <v>3860</v>
      </c>
      <c r="F527" s="2">
        <v>200</v>
      </c>
      <c r="G527" s="2" t="s">
        <v>3842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3843</v>
      </c>
      <c r="N527" s="4"/>
      <c r="O527" s="5"/>
      <c r="P527" s="4"/>
      <c r="Q527" s="21" t="str">
        <f>VLOOKUP(tblProductos[[#This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3859</v>
      </c>
      <c r="D528" s="2" t="s">
        <v>4021</v>
      </c>
      <c r="E528" s="2" t="s">
        <v>3860</v>
      </c>
      <c r="F528" s="2">
        <v>200</v>
      </c>
      <c r="G528" s="2" t="s">
        <v>3842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3843</v>
      </c>
      <c r="N528" s="4"/>
      <c r="O528" s="5"/>
      <c r="P528" s="4"/>
      <c r="Q528" s="21" t="str">
        <f>VLOOKUP(tblProductos[[#This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3859</v>
      </c>
      <c r="D529" s="2" t="s">
        <v>4022</v>
      </c>
      <c r="E529" s="2" t="s">
        <v>3860</v>
      </c>
      <c r="F529" s="2">
        <v>200</v>
      </c>
      <c r="G529" s="2" t="s">
        <v>3842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3843</v>
      </c>
      <c r="N529" s="4"/>
      <c r="O529" s="5"/>
      <c r="P529" s="4"/>
      <c r="Q529" s="21" t="str">
        <f>VLOOKUP(tblProductos[[#This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3859</v>
      </c>
      <c r="D530" s="2" t="s">
        <v>4023</v>
      </c>
      <c r="E530" s="2" t="s">
        <v>3860</v>
      </c>
      <c r="F530" s="2">
        <v>200</v>
      </c>
      <c r="G530" s="2" t="s">
        <v>3842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3843</v>
      </c>
      <c r="N530" s="4"/>
      <c r="O530" s="5"/>
      <c r="P530" s="4"/>
      <c r="Q530" s="21" t="str">
        <f>VLOOKUP(tblProductos[[#This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3861</v>
      </c>
      <c r="D531" s="2" t="s">
        <v>4024</v>
      </c>
      <c r="E531" s="2" t="s">
        <v>3862</v>
      </c>
      <c r="F531" s="2">
        <v>200</v>
      </c>
      <c r="G531" s="2" t="s">
        <v>3842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3843</v>
      </c>
      <c r="N531" s="4"/>
      <c r="O531" s="5"/>
      <c r="P531" s="4"/>
      <c r="Q531" s="21" t="str">
        <f>VLOOKUP(tblProductos[[#This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3865</v>
      </c>
      <c r="D532" s="2" t="s">
        <v>4007</v>
      </c>
      <c r="E532" s="2" t="s">
        <v>3866</v>
      </c>
      <c r="F532" s="2">
        <v>15</v>
      </c>
      <c r="G532" s="2" t="s">
        <v>3867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3868</v>
      </c>
      <c r="N532" s="4"/>
      <c r="O532" s="5"/>
      <c r="P532" s="4"/>
      <c r="Q532" s="21" t="str">
        <f>VLOOKUP(tblProductos[[#This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3865</v>
      </c>
      <c r="D533" s="2" t="s">
        <v>3919</v>
      </c>
      <c r="E533" s="2" t="s">
        <v>3866</v>
      </c>
      <c r="F533" s="2">
        <v>15</v>
      </c>
      <c r="G533" s="2" t="s">
        <v>3867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3868</v>
      </c>
      <c r="N533" s="4"/>
      <c r="O533" s="5"/>
      <c r="P533" s="4"/>
      <c r="Q533" s="21" t="str">
        <f>VLOOKUP(tblProductos[[#This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3869</v>
      </c>
      <c r="D534" s="2" t="s">
        <v>4007</v>
      </c>
      <c r="E534" s="2" t="s">
        <v>3870</v>
      </c>
      <c r="F534" s="2">
        <v>15</v>
      </c>
      <c r="G534" s="2" t="s">
        <v>3867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3868</v>
      </c>
      <c r="N534" s="4"/>
      <c r="O534" s="5"/>
      <c r="P534" s="4"/>
      <c r="Q534" s="21" t="str">
        <f>VLOOKUP(tblProductos[[#This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3869</v>
      </c>
      <c r="D535" s="2" t="s">
        <v>3919</v>
      </c>
      <c r="E535" s="2" t="s">
        <v>3870</v>
      </c>
      <c r="F535" s="2">
        <v>15</v>
      </c>
      <c r="G535" s="2" t="s">
        <v>3867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3868</v>
      </c>
      <c r="N535" s="4"/>
      <c r="O535" s="5"/>
      <c r="P535" s="4"/>
      <c r="Q535" s="21" t="str">
        <f>VLOOKUP(tblProductos[[#This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3881</v>
      </c>
      <c r="D536" s="2" t="s">
        <v>4006</v>
      </c>
      <c r="E536" s="2" t="s">
        <v>3875</v>
      </c>
      <c r="F536" s="2">
        <v>100</v>
      </c>
      <c r="G536" s="2" t="s">
        <v>3842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3882</v>
      </c>
      <c r="N536" s="4"/>
      <c r="O536" s="5"/>
      <c r="P536" s="4"/>
      <c r="Q536" s="21" t="str">
        <f>VLOOKUP(tblProductos[[#This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3881</v>
      </c>
      <c r="D537" s="2" t="s">
        <v>4009</v>
      </c>
      <c r="E537" s="2" t="s">
        <v>3875</v>
      </c>
      <c r="F537" s="2">
        <v>100</v>
      </c>
      <c r="G537" s="2" t="s">
        <v>3842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3882</v>
      </c>
      <c r="N537" s="4"/>
      <c r="O537" s="5"/>
      <c r="P537" s="4"/>
      <c r="Q537" s="21" t="str">
        <f>VLOOKUP(tblProductos[[#This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3881</v>
      </c>
      <c r="D538" s="2" t="s">
        <v>4007</v>
      </c>
      <c r="E538" s="2" t="s">
        <v>3875</v>
      </c>
      <c r="F538" s="2">
        <v>100</v>
      </c>
      <c r="G538" s="2" t="s">
        <v>3842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3882</v>
      </c>
      <c r="N538" s="4"/>
      <c r="O538" s="5"/>
      <c r="P538" s="4"/>
      <c r="Q538" s="21" t="str">
        <f>VLOOKUP(tblProductos[[#This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3881</v>
      </c>
      <c r="D539" s="2" t="s">
        <v>3888</v>
      </c>
      <c r="E539" s="2" t="s">
        <v>3875</v>
      </c>
      <c r="F539" s="2">
        <v>100</v>
      </c>
      <c r="G539" s="2" t="s">
        <v>3842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3882</v>
      </c>
      <c r="N539" s="4"/>
      <c r="O539" s="5"/>
      <c r="P539" s="4"/>
      <c r="Q539" s="21" t="str">
        <f>VLOOKUP(tblProductos[[#This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3881</v>
      </c>
      <c r="D540" s="2" t="s">
        <v>4008</v>
      </c>
      <c r="E540" s="2" t="s">
        <v>3875</v>
      </c>
      <c r="F540" s="2">
        <v>100</v>
      </c>
      <c r="G540" s="2" t="s">
        <v>3842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3882</v>
      </c>
      <c r="N540" s="4"/>
      <c r="O540" s="5"/>
      <c r="P540" s="4"/>
      <c r="Q540" s="21" t="str">
        <f>VLOOKUP(tblProductos[[#This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3881</v>
      </c>
      <c r="D541" s="2" t="s">
        <v>3923</v>
      </c>
      <c r="E541" s="2" t="s">
        <v>3875</v>
      </c>
      <c r="F541" s="2">
        <v>100</v>
      </c>
      <c r="G541" s="2" t="s">
        <v>3842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3882</v>
      </c>
      <c r="N541" s="4"/>
      <c r="O541" s="5"/>
      <c r="P541" s="4"/>
      <c r="Q541" s="21" t="str">
        <f>VLOOKUP(tblProductos[[#This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3883</v>
      </c>
      <c r="D542" s="2" t="s">
        <v>4006</v>
      </c>
      <c r="E542" s="2" t="s">
        <v>3884</v>
      </c>
      <c r="F542" s="2">
        <v>500</v>
      </c>
      <c r="G542" s="2" t="s">
        <v>3842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3882</v>
      </c>
      <c r="N542" s="4"/>
      <c r="O542" s="5"/>
      <c r="P542" s="4"/>
      <c r="Q542" s="21" t="str">
        <f>VLOOKUP(tblProductos[[#This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3883</v>
      </c>
      <c r="D543" s="2" t="s">
        <v>4009</v>
      </c>
      <c r="E543" s="2" t="s">
        <v>3884</v>
      </c>
      <c r="F543" s="2">
        <v>500</v>
      </c>
      <c r="G543" s="2" t="s">
        <v>3842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3882</v>
      </c>
      <c r="N543" s="4"/>
      <c r="O543" s="5"/>
      <c r="P543" s="4"/>
      <c r="Q543" s="21" t="str">
        <f>VLOOKUP(tblProductos[[#This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3883</v>
      </c>
      <c r="D544" s="2" t="s">
        <v>4007</v>
      </c>
      <c r="E544" s="2" t="s">
        <v>3884</v>
      </c>
      <c r="F544" s="2">
        <v>500</v>
      </c>
      <c r="G544" s="2" t="s">
        <v>3842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3882</v>
      </c>
      <c r="N544" s="4"/>
      <c r="O544" s="5"/>
      <c r="P544" s="4"/>
      <c r="Q544" s="21" t="str">
        <f>VLOOKUP(tblProductos[[#This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3883</v>
      </c>
      <c r="D545" s="2" t="s">
        <v>3888</v>
      </c>
      <c r="E545" s="2" t="s">
        <v>3884</v>
      </c>
      <c r="F545" s="2">
        <v>500</v>
      </c>
      <c r="G545" s="2" t="s">
        <v>3842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3882</v>
      </c>
      <c r="N545" s="4"/>
      <c r="O545" s="5"/>
      <c r="P545" s="4"/>
      <c r="Q545" s="21" t="str">
        <f>VLOOKUP(tblProductos[[#This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3883</v>
      </c>
      <c r="D546" s="2" t="s">
        <v>4008</v>
      </c>
      <c r="E546" s="2" t="s">
        <v>3884</v>
      </c>
      <c r="F546" s="2">
        <v>500</v>
      </c>
      <c r="G546" s="2" t="s">
        <v>3842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3882</v>
      </c>
      <c r="N546" s="4"/>
      <c r="O546" s="5"/>
      <c r="P546" s="4"/>
      <c r="Q546" s="21" t="str">
        <f>VLOOKUP(tblProductos[[#This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3883</v>
      </c>
      <c r="D547" s="2" t="s">
        <v>3919</v>
      </c>
      <c r="E547" s="2" t="s">
        <v>3884</v>
      </c>
      <c r="F547" s="2">
        <v>500</v>
      </c>
      <c r="G547" s="2" t="s">
        <v>3842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3882</v>
      </c>
      <c r="N547" s="4"/>
      <c r="O547" s="5"/>
      <c r="P547" s="4"/>
      <c r="Q547" s="21" t="str">
        <f>VLOOKUP(tblProductos[[#This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3885</v>
      </c>
      <c r="D548" s="2" t="s">
        <v>4006</v>
      </c>
      <c r="E548" s="2" t="s">
        <v>3872</v>
      </c>
      <c r="F548" s="2">
        <v>500</v>
      </c>
      <c r="G548" s="2" t="s">
        <v>3886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3882</v>
      </c>
      <c r="N548" s="4"/>
      <c r="O548" s="5"/>
      <c r="P548" s="4"/>
      <c r="Q548" s="21" t="str">
        <f>VLOOKUP(tblProductos[[#This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3885</v>
      </c>
      <c r="D549" s="2" t="s">
        <v>4009</v>
      </c>
      <c r="E549" s="2" t="s">
        <v>3872</v>
      </c>
      <c r="F549" s="2">
        <v>500</v>
      </c>
      <c r="G549" s="2" t="s">
        <v>3886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3882</v>
      </c>
      <c r="N549" s="4"/>
      <c r="O549" s="5"/>
      <c r="P549" s="4"/>
      <c r="Q549" s="21" t="str">
        <f>VLOOKUP(tblProductos[[#This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3885</v>
      </c>
      <c r="D550" s="2" t="s">
        <v>4007</v>
      </c>
      <c r="E550" s="2" t="s">
        <v>3872</v>
      </c>
      <c r="F550" s="2">
        <v>500</v>
      </c>
      <c r="G550" s="2" t="s">
        <v>3886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3882</v>
      </c>
      <c r="N550" s="4"/>
      <c r="O550" s="5"/>
      <c r="P550" s="4"/>
      <c r="Q550" s="21" t="str">
        <f>VLOOKUP(tblProductos[[#This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3885</v>
      </c>
      <c r="D551" s="2" t="s">
        <v>3888</v>
      </c>
      <c r="E551" s="2" t="s">
        <v>3872</v>
      </c>
      <c r="F551" s="2">
        <v>500</v>
      </c>
      <c r="G551" s="2" t="s">
        <v>3886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3882</v>
      </c>
      <c r="N551" s="4"/>
      <c r="O551" s="5"/>
      <c r="P551" s="4"/>
      <c r="Q551" s="21" t="str">
        <f>VLOOKUP(tblProductos[[#This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3885</v>
      </c>
      <c r="D552" s="2" t="s">
        <v>4008</v>
      </c>
      <c r="E552" s="2" t="s">
        <v>3872</v>
      </c>
      <c r="F552" s="2">
        <v>500</v>
      </c>
      <c r="G552" s="2" t="s">
        <v>3886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3882</v>
      </c>
      <c r="N552" s="4"/>
      <c r="O552" s="5"/>
      <c r="P552" s="4"/>
      <c r="Q552" s="21" t="str">
        <f>VLOOKUP(tblProductos[[#This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3885</v>
      </c>
      <c r="D553" s="2" t="s">
        <v>3919</v>
      </c>
      <c r="E553" s="2" t="s">
        <v>3872</v>
      </c>
      <c r="F553" s="2">
        <v>500</v>
      </c>
      <c r="G553" s="2" t="s">
        <v>3886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3882</v>
      </c>
      <c r="N553" s="4"/>
      <c r="O553" s="5"/>
      <c r="P553" s="4"/>
      <c r="Q553" s="21" t="str">
        <f>VLOOKUP(tblProductos[[#This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3881</v>
      </c>
      <c r="D554" s="2" t="s">
        <v>4006</v>
      </c>
      <c r="E554" s="2" t="s">
        <v>3875</v>
      </c>
      <c r="F554" s="2">
        <v>500</v>
      </c>
      <c r="G554" s="2" t="s">
        <v>3886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3882</v>
      </c>
      <c r="N554" s="4"/>
      <c r="O554" s="5"/>
      <c r="P554" s="4"/>
      <c r="Q554" s="21" t="str">
        <f>VLOOKUP(tblProductos[[#This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3881</v>
      </c>
      <c r="D555" s="2" t="s">
        <v>4009</v>
      </c>
      <c r="E555" s="2" t="s">
        <v>3875</v>
      </c>
      <c r="F555" s="2">
        <v>500</v>
      </c>
      <c r="G555" s="2" t="s">
        <v>3886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3882</v>
      </c>
      <c r="N555" s="4"/>
      <c r="O555" s="5"/>
      <c r="P555" s="4"/>
      <c r="Q555" s="21" t="str">
        <f>VLOOKUP(tblProductos[[#This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3881</v>
      </c>
      <c r="D556" s="2" t="s">
        <v>4007</v>
      </c>
      <c r="E556" s="2" t="s">
        <v>3875</v>
      </c>
      <c r="F556" s="2">
        <v>500</v>
      </c>
      <c r="G556" s="2" t="s">
        <v>3886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3882</v>
      </c>
      <c r="N556" s="4"/>
      <c r="O556" s="5"/>
      <c r="P556" s="4"/>
      <c r="Q556" s="21" t="str">
        <f>VLOOKUP(tblProductos[[#This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3881</v>
      </c>
      <c r="D557" s="2" t="s">
        <v>3888</v>
      </c>
      <c r="E557" s="2" t="s">
        <v>3875</v>
      </c>
      <c r="F557" s="2">
        <v>500</v>
      </c>
      <c r="G557" s="2" t="s">
        <v>3886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3882</v>
      </c>
      <c r="N557" s="4"/>
      <c r="O557" s="5"/>
      <c r="P557" s="4"/>
      <c r="Q557" s="21" t="str">
        <f>VLOOKUP(tblProductos[[#This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3881</v>
      </c>
      <c r="D558" s="2" t="s">
        <v>4008</v>
      </c>
      <c r="E558" s="2" t="s">
        <v>3875</v>
      </c>
      <c r="F558" s="2">
        <v>500</v>
      </c>
      <c r="G558" s="2" t="s">
        <v>3886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3882</v>
      </c>
      <c r="N558" s="4"/>
      <c r="O558" s="5"/>
      <c r="P558" s="4"/>
      <c r="Q558" s="21" t="str">
        <f>VLOOKUP(tblProductos[[#This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3881</v>
      </c>
      <c r="D559" s="2" t="s">
        <v>3919</v>
      </c>
      <c r="E559" s="2" t="s">
        <v>3875</v>
      </c>
      <c r="F559" s="2">
        <v>500</v>
      </c>
      <c r="G559" s="2" t="s">
        <v>3886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3882</v>
      </c>
      <c r="N559" s="4"/>
      <c r="O559" s="5"/>
      <c r="P559" s="4"/>
      <c r="Q559" s="21" t="str">
        <f>VLOOKUP(tblProductos[[#This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3893</v>
      </c>
      <c r="D560" s="2" t="s">
        <v>4006</v>
      </c>
      <c r="E560" s="2" t="s">
        <v>3894</v>
      </c>
      <c r="F560" s="2">
        <v>500</v>
      </c>
      <c r="G560" s="2" t="s">
        <v>3842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3895</v>
      </c>
      <c r="N560" s="4"/>
      <c r="O560" s="5"/>
      <c r="P560" s="4"/>
      <c r="Q560" s="21" t="str">
        <f>VLOOKUP(tblProductos[[#This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3893</v>
      </c>
      <c r="D561" s="2" t="s">
        <v>4009</v>
      </c>
      <c r="E561" s="2" t="s">
        <v>3894</v>
      </c>
      <c r="F561" s="2">
        <v>500</v>
      </c>
      <c r="G561" s="2" t="s">
        <v>3842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3895</v>
      </c>
      <c r="N561" s="4"/>
      <c r="O561" s="5"/>
      <c r="P561" s="4"/>
      <c r="Q561" s="21" t="str">
        <f>VLOOKUP(tblProductos[[#This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3893</v>
      </c>
      <c r="D562" s="2" t="s">
        <v>4007</v>
      </c>
      <c r="E562" s="2" t="s">
        <v>3894</v>
      </c>
      <c r="F562" s="2">
        <v>500</v>
      </c>
      <c r="G562" s="2" t="s">
        <v>3842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3895</v>
      </c>
      <c r="N562" s="4"/>
      <c r="O562" s="5"/>
      <c r="P562" s="4"/>
      <c r="Q562" s="21" t="str">
        <f>VLOOKUP(tblProductos[[#This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3893</v>
      </c>
      <c r="D563" s="2" t="s">
        <v>3888</v>
      </c>
      <c r="E563" s="2" t="s">
        <v>3894</v>
      </c>
      <c r="F563" s="2">
        <v>500</v>
      </c>
      <c r="G563" s="2" t="s">
        <v>3842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3895</v>
      </c>
      <c r="N563" s="4"/>
      <c r="O563" s="5"/>
      <c r="P563" s="4"/>
      <c r="Q563" s="21" t="str">
        <f>VLOOKUP(tblProductos[[#This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3893</v>
      </c>
      <c r="D564" s="2" t="s">
        <v>4008</v>
      </c>
      <c r="E564" s="2" t="s">
        <v>3894</v>
      </c>
      <c r="F564" s="2">
        <v>500</v>
      </c>
      <c r="G564" s="2" t="s">
        <v>3842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3895</v>
      </c>
      <c r="N564" s="4"/>
      <c r="O564" s="5"/>
      <c r="P564" s="4"/>
      <c r="Q564" s="21" t="str">
        <f>VLOOKUP(tblProductos[[#This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3893</v>
      </c>
      <c r="D565" s="2" t="s">
        <v>3919</v>
      </c>
      <c r="E565" s="2" t="s">
        <v>3894</v>
      </c>
      <c r="F565" s="2">
        <v>500</v>
      </c>
      <c r="G565" s="2" t="s">
        <v>3842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3895</v>
      </c>
      <c r="N565" s="4"/>
      <c r="O565" s="5"/>
      <c r="P565" s="4"/>
      <c r="Q565" s="21" t="str">
        <f>VLOOKUP(tblProductos[[#This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3896</v>
      </c>
      <c r="D566" s="2" t="s">
        <v>4006</v>
      </c>
      <c r="E566" s="2" t="s">
        <v>3897</v>
      </c>
      <c r="F566" s="2">
        <v>500</v>
      </c>
      <c r="G566" s="2" t="s">
        <v>3842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3895</v>
      </c>
      <c r="N566" s="4"/>
      <c r="O566" s="5"/>
      <c r="P566" s="4"/>
      <c r="Q566" s="21" t="str">
        <f>VLOOKUP(tblProductos[[#This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3896</v>
      </c>
      <c r="D567" s="2" t="s">
        <v>4009</v>
      </c>
      <c r="E567" s="2" t="s">
        <v>3897</v>
      </c>
      <c r="F567" s="2">
        <v>500</v>
      </c>
      <c r="G567" s="2" t="s">
        <v>3842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3895</v>
      </c>
      <c r="N567" s="4"/>
      <c r="O567" s="5"/>
      <c r="P567" s="4"/>
      <c r="Q567" s="21" t="str">
        <f>VLOOKUP(tblProductos[[#This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3896</v>
      </c>
      <c r="D568" s="2" t="s">
        <v>4007</v>
      </c>
      <c r="E568" s="2" t="s">
        <v>3897</v>
      </c>
      <c r="F568" s="2">
        <v>500</v>
      </c>
      <c r="G568" s="2" t="s">
        <v>3842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3895</v>
      </c>
      <c r="N568" s="4"/>
      <c r="O568" s="5"/>
      <c r="P568" s="4"/>
      <c r="Q568" s="21" t="str">
        <f>VLOOKUP(tblProductos[[#This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3896</v>
      </c>
      <c r="D569" s="2" t="s">
        <v>3888</v>
      </c>
      <c r="E569" s="2" t="s">
        <v>3897</v>
      </c>
      <c r="F569" s="2">
        <v>500</v>
      </c>
      <c r="G569" s="2" t="s">
        <v>3842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3895</v>
      </c>
      <c r="N569" s="4"/>
      <c r="O569" s="5"/>
      <c r="P569" s="4"/>
      <c r="Q569" s="21" t="str">
        <f>VLOOKUP(tblProductos[[#This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3896</v>
      </c>
      <c r="D570" s="2" t="s">
        <v>4008</v>
      </c>
      <c r="E570" s="2" t="s">
        <v>3897</v>
      </c>
      <c r="F570" s="2">
        <v>500</v>
      </c>
      <c r="G570" s="2" t="s">
        <v>3842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3895</v>
      </c>
      <c r="N570" s="4"/>
      <c r="O570" s="5"/>
      <c r="P570" s="4"/>
      <c r="Q570" s="21" t="str">
        <f>VLOOKUP(tblProductos[[#This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3896</v>
      </c>
      <c r="D571" s="2" t="s">
        <v>3919</v>
      </c>
      <c r="E571" s="2" t="s">
        <v>3897</v>
      </c>
      <c r="F571" s="2">
        <v>500</v>
      </c>
      <c r="G571" s="2" t="s">
        <v>3842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3895</v>
      </c>
      <c r="N571" s="4"/>
      <c r="O571" s="5"/>
      <c r="P571" s="4"/>
      <c r="Q571" s="21" t="str">
        <f>VLOOKUP(tblProductos[[#This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3899</v>
      </c>
      <c r="D572" s="2" t="s">
        <v>4006</v>
      </c>
      <c r="E572" s="2" t="s">
        <v>3897</v>
      </c>
      <c r="F572" s="2">
        <v>2000</v>
      </c>
      <c r="G572" s="2" t="s">
        <v>3873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3895</v>
      </c>
      <c r="N572" s="4"/>
      <c r="O572" s="5"/>
      <c r="P572" s="4"/>
      <c r="Q572" s="21" t="str">
        <f>VLOOKUP(tblProductos[[#This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3899</v>
      </c>
      <c r="D573" s="2" t="s">
        <v>4011</v>
      </c>
      <c r="E573" s="2" t="s">
        <v>3897</v>
      </c>
      <c r="F573" s="2">
        <v>2000</v>
      </c>
      <c r="G573" s="2" t="s">
        <v>3873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3895</v>
      </c>
      <c r="N573" s="4"/>
      <c r="O573" s="5"/>
      <c r="P573" s="4"/>
      <c r="Q573" s="21" t="str">
        <f>VLOOKUP(tblProductos[[#This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3899</v>
      </c>
      <c r="D574" s="2" t="s">
        <v>4009</v>
      </c>
      <c r="E574" s="2" t="s">
        <v>3897</v>
      </c>
      <c r="F574" s="2">
        <v>2000</v>
      </c>
      <c r="G574" s="2" t="s">
        <v>3873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3895</v>
      </c>
      <c r="N574" s="4"/>
      <c r="O574" s="5"/>
      <c r="P574" s="4"/>
      <c r="Q574" s="21" t="str">
        <f>VLOOKUP(tblProductos[[#This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3899</v>
      </c>
      <c r="D575" s="2" t="s">
        <v>4007</v>
      </c>
      <c r="E575" s="2" t="s">
        <v>3897</v>
      </c>
      <c r="F575" s="2">
        <v>2000</v>
      </c>
      <c r="G575" s="2" t="s">
        <v>3873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3895</v>
      </c>
      <c r="N575" s="4"/>
      <c r="O575" s="5"/>
      <c r="P575" s="4"/>
      <c r="Q575" s="21" t="str">
        <f>VLOOKUP(tblProductos[[#This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3899</v>
      </c>
      <c r="D576" s="2" t="s">
        <v>3888</v>
      </c>
      <c r="E576" s="2" t="s">
        <v>3897</v>
      </c>
      <c r="F576" s="2">
        <v>2000</v>
      </c>
      <c r="G576" s="2" t="s">
        <v>3873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3895</v>
      </c>
      <c r="N576" s="4"/>
      <c r="O576" s="5"/>
      <c r="P576" s="4"/>
      <c r="Q576" s="21" t="str">
        <f>VLOOKUP(tblProductos[[#This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3899</v>
      </c>
      <c r="D577" s="2" t="s">
        <v>4008</v>
      </c>
      <c r="E577" s="2" t="s">
        <v>3897</v>
      </c>
      <c r="F577" s="2">
        <v>2000</v>
      </c>
      <c r="G577" s="2" t="s">
        <v>3873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3895</v>
      </c>
      <c r="N577" s="4"/>
      <c r="O577" s="5"/>
      <c r="P577" s="4"/>
      <c r="Q577" s="21" t="str">
        <f>VLOOKUP(tblProductos[[#This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3899</v>
      </c>
      <c r="D578" s="2" t="s">
        <v>4021</v>
      </c>
      <c r="E578" s="2" t="s">
        <v>3897</v>
      </c>
      <c r="F578" s="2">
        <v>2000</v>
      </c>
      <c r="G578" s="2" t="s">
        <v>3873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3895</v>
      </c>
      <c r="N578" s="4"/>
      <c r="O578" s="5"/>
      <c r="P578" s="4"/>
      <c r="Q578" s="21" t="str">
        <f>VLOOKUP(tblProductos[[#This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3899</v>
      </c>
      <c r="D579" s="2" t="s">
        <v>3919</v>
      </c>
      <c r="E579" s="2" t="s">
        <v>3897</v>
      </c>
      <c r="F579" s="2">
        <v>2000</v>
      </c>
      <c r="G579" s="2" t="s">
        <v>3873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3895</v>
      </c>
      <c r="N579" s="4"/>
      <c r="O579" s="5"/>
      <c r="P579" s="4"/>
      <c r="Q579" s="21" t="str">
        <f>VLOOKUP(tblProductos[[#This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3900</v>
      </c>
      <c r="D580" s="2" t="s">
        <v>4006</v>
      </c>
      <c r="E580" s="2" t="s">
        <v>3901</v>
      </c>
      <c r="F580" s="2">
        <v>1000</v>
      </c>
      <c r="G580" s="2" t="s">
        <v>3873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3895</v>
      </c>
      <c r="N580" s="4"/>
      <c r="O580" s="5"/>
      <c r="P580" s="4"/>
      <c r="Q580" s="21" t="str">
        <f>VLOOKUP(tblProductos[[#This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3900</v>
      </c>
      <c r="D581" s="2" t="s">
        <v>4011</v>
      </c>
      <c r="E581" s="2" t="s">
        <v>3901</v>
      </c>
      <c r="F581" s="2">
        <v>1000</v>
      </c>
      <c r="G581" s="2" t="s">
        <v>3873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3895</v>
      </c>
      <c r="N581" s="4"/>
      <c r="O581" s="5">
        <v>5</v>
      </c>
      <c r="P581" s="4"/>
      <c r="Q581" s="21" t="str">
        <f>VLOOKUP(tblProductos[[#This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3900</v>
      </c>
      <c r="D582" s="2" t="s">
        <v>4009</v>
      </c>
      <c r="E582" s="2" t="s">
        <v>3901</v>
      </c>
      <c r="F582" s="2">
        <v>1000</v>
      </c>
      <c r="G582" s="2" t="s">
        <v>3873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3895</v>
      </c>
      <c r="N582" s="4"/>
      <c r="O582" s="5"/>
      <c r="P582" s="4"/>
      <c r="Q582" s="21" t="str">
        <f>VLOOKUP(tblProductos[[#This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3900</v>
      </c>
      <c r="D583" s="2" t="s">
        <v>4007</v>
      </c>
      <c r="E583" s="2" t="s">
        <v>3901</v>
      </c>
      <c r="F583" s="2">
        <v>1000</v>
      </c>
      <c r="G583" s="2" t="s">
        <v>3873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3895</v>
      </c>
      <c r="N583" s="4"/>
      <c r="O583" s="5">
        <v>5</v>
      </c>
      <c r="P583" s="4"/>
      <c r="Q583" s="21" t="str">
        <f>VLOOKUP(tblProductos[[#This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3900</v>
      </c>
      <c r="D584" s="2" t="s">
        <v>3888</v>
      </c>
      <c r="E584" s="2" t="s">
        <v>3901</v>
      </c>
      <c r="F584" s="2">
        <v>1000</v>
      </c>
      <c r="G584" s="2" t="s">
        <v>3873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3895</v>
      </c>
      <c r="N584" s="4"/>
      <c r="O584" s="5">
        <v>10</v>
      </c>
      <c r="P584" s="4"/>
      <c r="Q584" s="21" t="str">
        <f>VLOOKUP(tblProductos[[#This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3900</v>
      </c>
      <c r="D585" s="2" t="s">
        <v>4008</v>
      </c>
      <c r="E585" s="2" t="s">
        <v>3901</v>
      </c>
      <c r="F585" s="2">
        <v>1000</v>
      </c>
      <c r="G585" s="2" t="s">
        <v>3873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3895</v>
      </c>
      <c r="N585" s="4"/>
      <c r="O585" s="5"/>
      <c r="P585" s="4"/>
      <c r="Q585" s="21" t="str">
        <f>VLOOKUP(tblProductos[[#This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3900</v>
      </c>
      <c r="D586" s="2" t="s">
        <v>4021</v>
      </c>
      <c r="E586" s="2" t="s">
        <v>3901</v>
      </c>
      <c r="F586" s="2">
        <v>1000</v>
      </c>
      <c r="G586" s="2" t="s">
        <v>3873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3895</v>
      </c>
      <c r="N586" s="4"/>
      <c r="O586" s="5"/>
      <c r="P586" s="4"/>
      <c r="Q586" s="21" t="str">
        <f>VLOOKUP(tblProductos[[#This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3900</v>
      </c>
      <c r="D587" s="2" t="s">
        <v>3919</v>
      </c>
      <c r="E587" s="2" t="s">
        <v>3901</v>
      </c>
      <c r="F587" s="2">
        <v>1000</v>
      </c>
      <c r="G587" s="2" t="s">
        <v>3873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3895</v>
      </c>
      <c r="N587" s="4"/>
      <c r="O587" s="5">
        <v>5</v>
      </c>
      <c r="P587" s="4"/>
      <c r="Q587" s="21" t="str">
        <f>VLOOKUP(tblProductos[[#This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3902</v>
      </c>
      <c r="D588" s="2" t="s">
        <v>4006</v>
      </c>
      <c r="E588" s="2" t="s">
        <v>3897</v>
      </c>
      <c r="F588" s="2">
        <v>1600</v>
      </c>
      <c r="G588" s="2" t="s">
        <v>3867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3895</v>
      </c>
      <c r="N588" s="4"/>
      <c r="O588" s="5"/>
      <c r="P588" s="4"/>
      <c r="Q588" s="21" t="str">
        <f>VLOOKUP(tblProductos[[#This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3902</v>
      </c>
      <c r="D589" s="2" t="s">
        <v>4011</v>
      </c>
      <c r="E589" s="2" t="s">
        <v>3897</v>
      </c>
      <c r="F589" s="2">
        <v>1600</v>
      </c>
      <c r="G589" s="2" t="s">
        <v>3867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3895</v>
      </c>
      <c r="N589" s="4"/>
      <c r="O589" s="5"/>
      <c r="P589" s="4"/>
      <c r="Q589" s="21" t="str">
        <f>VLOOKUP(tblProductos[[#This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3902</v>
      </c>
      <c r="D590" s="2" t="s">
        <v>4009</v>
      </c>
      <c r="E590" s="2" t="s">
        <v>3897</v>
      </c>
      <c r="F590" s="2">
        <v>1600</v>
      </c>
      <c r="G590" s="2" t="s">
        <v>3867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3895</v>
      </c>
      <c r="N590" s="4"/>
      <c r="O590" s="5"/>
      <c r="P590" s="4"/>
      <c r="Q590" s="21" t="str">
        <f>VLOOKUP(tblProductos[[#This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3902</v>
      </c>
      <c r="D591" s="2" t="s">
        <v>4007</v>
      </c>
      <c r="E591" s="2" t="s">
        <v>3897</v>
      </c>
      <c r="F591" s="2">
        <v>1600</v>
      </c>
      <c r="G591" s="2" t="s">
        <v>3867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3895</v>
      </c>
      <c r="N591" s="4"/>
      <c r="O591" s="5"/>
      <c r="P591" s="4"/>
      <c r="Q591" s="21" t="str">
        <f>VLOOKUP(tblProductos[[#This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3902</v>
      </c>
      <c r="D592" s="2" t="s">
        <v>3888</v>
      </c>
      <c r="E592" s="2" t="s">
        <v>3897</v>
      </c>
      <c r="F592" s="2">
        <v>1600</v>
      </c>
      <c r="G592" s="2" t="s">
        <v>3867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3895</v>
      </c>
      <c r="N592" s="4"/>
      <c r="O592" s="5"/>
      <c r="P592" s="4"/>
      <c r="Q592" s="21" t="str">
        <f>VLOOKUP(tblProductos[[#This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3902</v>
      </c>
      <c r="D593" s="2" t="s">
        <v>4008</v>
      </c>
      <c r="E593" s="2" t="s">
        <v>3897</v>
      </c>
      <c r="F593" s="2">
        <v>1600</v>
      </c>
      <c r="G593" s="2" t="s">
        <v>3867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3895</v>
      </c>
      <c r="N593" s="4"/>
      <c r="O593" s="5"/>
      <c r="P593" s="4"/>
      <c r="Q593" s="21" t="str">
        <f>VLOOKUP(tblProductos[[#This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3902</v>
      </c>
      <c r="D594" s="2" t="s">
        <v>4021</v>
      </c>
      <c r="E594" s="2" t="s">
        <v>3897</v>
      </c>
      <c r="F594" s="2">
        <v>1600</v>
      </c>
      <c r="G594" s="2" t="s">
        <v>3867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3895</v>
      </c>
      <c r="N594" s="4"/>
      <c r="O594" s="5"/>
      <c r="P594" s="4"/>
      <c r="Q594" s="21" t="str">
        <f>VLOOKUP(tblProductos[[#This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3902</v>
      </c>
      <c r="D595" s="2" t="s">
        <v>3919</v>
      </c>
      <c r="E595" s="2" t="s">
        <v>3897</v>
      </c>
      <c r="F595" s="2">
        <v>1600</v>
      </c>
      <c r="G595" s="2" t="s">
        <v>3867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3895</v>
      </c>
      <c r="N595" s="4"/>
      <c r="O595" s="5"/>
      <c r="P595" s="4"/>
      <c r="Q595" s="21" t="str">
        <f>VLOOKUP(tblProductos[[#This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3911</v>
      </c>
      <c r="D596" s="2" t="s">
        <v>3888</v>
      </c>
      <c r="E596" s="2" t="s">
        <v>3912</v>
      </c>
      <c r="F596" s="2">
        <v>2500</v>
      </c>
      <c r="G596" s="2" t="s">
        <v>3873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3913</v>
      </c>
      <c r="N596" s="4"/>
      <c r="O596" s="5"/>
      <c r="P596" s="4"/>
      <c r="Q596" s="21" t="str">
        <f>VLOOKUP(tblProductos[[#This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3914</v>
      </c>
      <c r="D597" s="2" t="s">
        <v>3888</v>
      </c>
      <c r="E597" s="2" t="s">
        <v>3915</v>
      </c>
      <c r="F597" s="2">
        <v>2500</v>
      </c>
      <c r="G597" s="2" t="s">
        <v>3873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3913</v>
      </c>
      <c r="N597" s="4"/>
      <c r="O597" s="5"/>
      <c r="P597" s="4"/>
      <c r="Q597" s="21" t="str">
        <f>VLOOKUP(tblProductos[[#This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3916</v>
      </c>
      <c r="D598" s="2" t="s">
        <v>3888</v>
      </c>
      <c r="E598" s="2" t="s">
        <v>3917</v>
      </c>
      <c r="F598" s="2">
        <v>2500</v>
      </c>
      <c r="G598" s="2" t="s">
        <v>3873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3913</v>
      </c>
      <c r="N598" s="4"/>
      <c r="O598" s="5"/>
      <c r="P598" s="4"/>
      <c r="Q598" s="21" t="str">
        <f>VLOOKUP(tblProductos[[#This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3918</v>
      </c>
      <c r="D599" s="2" t="s">
        <v>4008</v>
      </c>
      <c r="E599" s="2"/>
      <c r="F599" s="2">
        <v>30</v>
      </c>
      <c r="G599" s="2" t="s">
        <v>3842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3843</v>
      </c>
      <c r="N599" s="4"/>
      <c r="O599" s="5"/>
      <c r="P599" s="4"/>
      <c r="Q599" s="21" t="str">
        <f>VLOOKUP(tblProductos[[#This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3918</v>
      </c>
      <c r="D600" s="2" t="s">
        <v>3841</v>
      </c>
      <c r="E600" s="2"/>
      <c r="F600" s="2">
        <v>30</v>
      </c>
      <c r="G600" s="2" t="s">
        <v>3842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3843</v>
      </c>
      <c r="N600" s="4"/>
      <c r="O600" s="5"/>
      <c r="P600" s="4"/>
      <c r="Q600" s="21" t="str">
        <f>VLOOKUP(tblProductos[[#This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4025</v>
      </c>
      <c r="D601" s="2" t="s">
        <v>4007</v>
      </c>
      <c r="E601" s="2"/>
      <c r="F601" s="2">
        <v>30</v>
      </c>
      <c r="G601" s="2" t="s">
        <v>3842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3843</v>
      </c>
      <c r="N601" s="4"/>
      <c r="O601" s="5"/>
      <c r="P601" s="4"/>
      <c r="Q601" s="21" t="str">
        <f>VLOOKUP(tblProductos[[#This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4025</v>
      </c>
      <c r="D602" s="2" t="s">
        <v>3919</v>
      </c>
      <c r="E602" s="2"/>
      <c r="F602" s="2">
        <v>30</v>
      </c>
      <c r="G602" s="2" t="s">
        <v>3842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3843</v>
      </c>
      <c r="N602" s="4"/>
      <c r="O602" s="5"/>
      <c r="P602" s="4"/>
      <c r="Q602" s="21" t="str">
        <f>VLOOKUP(tblProductos[[#This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4025</v>
      </c>
      <c r="D603" s="2" t="s">
        <v>4008</v>
      </c>
      <c r="E603" s="2"/>
      <c r="F603" s="2">
        <v>30</v>
      </c>
      <c r="G603" s="2" t="s">
        <v>3842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3843</v>
      </c>
      <c r="N603" s="4"/>
      <c r="O603" s="5"/>
      <c r="P603" s="4"/>
      <c r="Q603" s="21" t="str">
        <f>VLOOKUP(tblProductos[[#This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4025</v>
      </c>
      <c r="D604" s="2" t="s">
        <v>3841</v>
      </c>
      <c r="E604" s="2"/>
      <c r="F604" s="2">
        <v>30</v>
      </c>
      <c r="G604" s="2" t="s">
        <v>3842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3843</v>
      </c>
      <c r="N604" s="4"/>
      <c r="O604" s="5"/>
      <c r="P604" s="4"/>
      <c r="Q604" s="21" t="str">
        <f>VLOOKUP(tblProductos[[#This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4026</v>
      </c>
      <c r="D605" s="2" t="s">
        <v>4007</v>
      </c>
      <c r="E605" s="2"/>
      <c r="F605" s="2">
        <v>30</v>
      </c>
      <c r="G605" s="2" t="s">
        <v>3842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3843</v>
      </c>
      <c r="N605" s="4"/>
      <c r="O605" s="5"/>
      <c r="P605" s="4"/>
      <c r="Q605" s="21" t="str">
        <f>VLOOKUP(tblProductos[[#This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4026</v>
      </c>
      <c r="D606" s="2" t="s">
        <v>3919</v>
      </c>
      <c r="E606" s="2"/>
      <c r="F606" s="2">
        <v>30</v>
      </c>
      <c r="G606" s="2" t="s">
        <v>3842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3843</v>
      </c>
      <c r="N606" s="4"/>
      <c r="O606" s="5"/>
      <c r="P606" s="4"/>
      <c r="Q606" s="21" t="str">
        <f>VLOOKUP(tblProductos[[#This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3920</v>
      </c>
      <c r="D607" s="2" t="s">
        <v>4010</v>
      </c>
      <c r="E607" s="2"/>
      <c r="F607" s="2">
        <v>50</v>
      </c>
      <c r="G607" s="2" t="s">
        <v>3842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3843</v>
      </c>
      <c r="N607" s="4"/>
      <c r="O607" s="5"/>
      <c r="P607" s="4"/>
      <c r="Q607" s="21" t="str">
        <f>VLOOKUP(tblProductos[[#This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3920</v>
      </c>
      <c r="D608" s="2" t="s">
        <v>4011</v>
      </c>
      <c r="E608" s="2"/>
      <c r="F608" s="2">
        <v>50</v>
      </c>
      <c r="G608" s="2" t="s">
        <v>3842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3843</v>
      </c>
      <c r="N608" s="4"/>
      <c r="O608" s="5">
        <v>20</v>
      </c>
      <c r="P608" s="4"/>
      <c r="Q608" s="21" t="str">
        <f>VLOOKUP(tblProductos[[#This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4026</v>
      </c>
      <c r="D609" s="2" t="s">
        <v>4008</v>
      </c>
      <c r="E609" s="2"/>
      <c r="F609" s="2">
        <v>30</v>
      </c>
      <c r="G609" s="2" t="s">
        <v>3842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3843</v>
      </c>
      <c r="N609" s="4"/>
      <c r="O609" s="5"/>
      <c r="P609" s="4"/>
      <c r="Q609" s="21" t="str">
        <f>VLOOKUP(tblProductos[[#This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4026</v>
      </c>
      <c r="D610" s="2" t="s">
        <v>3841</v>
      </c>
      <c r="E610" s="2"/>
      <c r="F610" s="2">
        <v>30</v>
      </c>
      <c r="G610" s="2" t="s">
        <v>3842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3843</v>
      </c>
      <c r="N610" s="4"/>
      <c r="O610" s="5"/>
      <c r="P610" s="4"/>
      <c r="Q610" s="21" t="str">
        <f>VLOOKUP(tblProductos[[#This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4027</v>
      </c>
      <c r="D611" s="2" t="s">
        <v>4007</v>
      </c>
      <c r="E611" s="2"/>
      <c r="F611" s="2">
        <v>30</v>
      </c>
      <c r="G611" s="2" t="s">
        <v>3842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3843</v>
      </c>
      <c r="N611" s="4"/>
      <c r="O611" s="5"/>
      <c r="P611" s="4"/>
      <c r="Q611" s="21" t="str">
        <f>VLOOKUP(tblProductos[[#This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4027</v>
      </c>
      <c r="D612" s="2" t="s">
        <v>3919</v>
      </c>
      <c r="E612" s="2"/>
      <c r="F612" s="2">
        <v>30</v>
      </c>
      <c r="G612" s="2" t="s">
        <v>3842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3843</v>
      </c>
      <c r="N612" s="4"/>
      <c r="O612" s="5"/>
      <c r="P612" s="4"/>
      <c r="Q612" s="21" t="str">
        <f>VLOOKUP(tblProductos[[#This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4027</v>
      </c>
      <c r="D613" s="2" t="s">
        <v>4008</v>
      </c>
      <c r="E613" s="2"/>
      <c r="F613" s="2">
        <v>30</v>
      </c>
      <c r="G613" s="2" t="s">
        <v>3842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3843</v>
      </c>
      <c r="N613" s="4"/>
      <c r="O613" s="5"/>
      <c r="P613" s="4"/>
      <c r="Q613" s="21" t="str">
        <f>VLOOKUP(tblProductos[[#This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3920</v>
      </c>
      <c r="D614" s="2" t="s">
        <v>4012</v>
      </c>
      <c r="E614" s="2"/>
      <c r="F614" s="2">
        <v>50</v>
      </c>
      <c r="G614" s="2" t="s">
        <v>3842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3843</v>
      </c>
      <c r="N614" s="4"/>
      <c r="O614" s="5"/>
      <c r="P614" s="4"/>
      <c r="Q614" s="21" t="str">
        <f>VLOOKUP(tblProductos[[#This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3920</v>
      </c>
      <c r="D615" s="2" t="s">
        <v>4013</v>
      </c>
      <c r="E615" s="2"/>
      <c r="F615" s="2">
        <v>50</v>
      </c>
      <c r="G615" s="2" t="s">
        <v>3842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3843</v>
      </c>
      <c r="N615" s="4"/>
      <c r="O615" s="5"/>
      <c r="P615" s="4"/>
      <c r="Q615" s="21" t="str">
        <f>VLOOKUP(tblProductos[[#This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4027</v>
      </c>
      <c r="D616" s="2" t="s">
        <v>3841</v>
      </c>
      <c r="E616" s="2"/>
      <c r="F616" s="2">
        <v>30</v>
      </c>
      <c r="G616" s="2" t="s">
        <v>3842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3843</v>
      </c>
      <c r="N616" s="4"/>
      <c r="O616" s="5"/>
      <c r="P616" s="4"/>
      <c r="Q616" s="21" t="str">
        <f>VLOOKUP(tblProductos[[#This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4028</v>
      </c>
      <c r="D617" s="2" t="s">
        <v>4020</v>
      </c>
      <c r="E617" s="2"/>
      <c r="F617" s="2">
        <v>30</v>
      </c>
      <c r="G617" s="2" t="s">
        <v>3842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3843</v>
      </c>
      <c r="N617" s="4"/>
      <c r="O617" s="5"/>
      <c r="P617" s="4"/>
      <c r="Q617" s="21" t="str">
        <f>VLOOKUP(tblProductos[[#This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3920</v>
      </c>
      <c r="D618" s="2" t="s">
        <v>3888</v>
      </c>
      <c r="E618" s="2"/>
      <c r="F618" s="2">
        <v>50</v>
      </c>
      <c r="G618" s="2" t="s">
        <v>3842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3843</v>
      </c>
      <c r="N618" s="4"/>
      <c r="O618" s="5">
        <v>20</v>
      </c>
      <c r="P618" s="4"/>
      <c r="Q618" s="21" t="str">
        <f>VLOOKUP(tblProductos[[#This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4028</v>
      </c>
      <c r="D619" s="2" t="s">
        <v>4023</v>
      </c>
      <c r="E619" s="2"/>
      <c r="F619" s="2">
        <v>30</v>
      </c>
      <c r="G619" s="2" t="s">
        <v>3842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3843</v>
      </c>
      <c r="N619" s="4"/>
      <c r="O619" s="5"/>
      <c r="P619" s="4"/>
      <c r="Q619" s="21" t="str">
        <f>VLOOKUP(tblProductos[[#This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3920</v>
      </c>
      <c r="D620" s="2" t="s">
        <v>4014</v>
      </c>
      <c r="E620" s="2"/>
      <c r="F620" s="2">
        <v>50</v>
      </c>
      <c r="G620" s="2" t="s">
        <v>3842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3843</v>
      </c>
      <c r="N620" s="4"/>
      <c r="O620" s="5"/>
      <c r="P620" s="4"/>
      <c r="Q620" s="21" t="str">
        <f>VLOOKUP(tblProductos[[#This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3920</v>
      </c>
      <c r="D621" s="2" t="s">
        <v>4008</v>
      </c>
      <c r="E621" s="2"/>
      <c r="F621" s="2">
        <v>50</v>
      </c>
      <c r="G621" s="2" t="s">
        <v>3842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3843</v>
      </c>
      <c r="N621" s="4"/>
      <c r="O621" s="5"/>
      <c r="P621" s="4"/>
      <c r="Q621" s="21" t="str">
        <f>VLOOKUP(tblProductos[[#This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4028</v>
      </c>
      <c r="D622" s="2" t="s">
        <v>4021</v>
      </c>
      <c r="E622" s="2"/>
      <c r="F622" s="2">
        <v>30</v>
      </c>
      <c r="G622" s="2" t="s">
        <v>3842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3843</v>
      </c>
      <c r="N622" s="4"/>
      <c r="O622" s="5"/>
      <c r="P622" s="4"/>
      <c r="Q622" s="21" t="str">
        <f>VLOOKUP(tblProductos[[#This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4028</v>
      </c>
      <c r="D623" s="2" t="s">
        <v>4009</v>
      </c>
      <c r="E623" s="2"/>
      <c r="F623" s="2">
        <v>30</v>
      </c>
      <c r="G623" s="2" t="s">
        <v>3842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3843</v>
      </c>
      <c r="N623" s="4"/>
      <c r="O623" s="5"/>
      <c r="P623" s="4"/>
      <c r="Q623" s="21" t="str">
        <f>VLOOKUP(tblProductos[[#This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3920</v>
      </c>
      <c r="D624" s="2" t="s">
        <v>4016</v>
      </c>
      <c r="E624" s="2"/>
      <c r="F624" s="2">
        <v>50</v>
      </c>
      <c r="G624" s="2" t="s">
        <v>3842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3843</v>
      </c>
      <c r="N624" s="4"/>
      <c r="O624" s="5"/>
      <c r="P624" s="4"/>
      <c r="Q624" s="21" t="str">
        <f>VLOOKUP(tblProductos[[#This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3920</v>
      </c>
      <c r="D625" s="2" t="s">
        <v>4015</v>
      </c>
      <c r="E625" s="2"/>
      <c r="F625" s="2">
        <v>50</v>
      </c>
      <c r="G625" s="2" t="s">
        <v>3842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3843</v>
      </c>
      <c r="N625" s="4"/>
      <c r="O625" s="5"/>
      <c r="P625" s="4"/>
      <c r="Q625" s="21" t="str">
        <f>VLOOKUP(tblProductos[[#This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3920</v>
      </c>
      <c r="D626" s="2" t="s">
        <v>3919</v>
      </c>
      <c r="E626" s="2"/>
      <c r="F626" s="2">
        <v>50</v>
      </c>
      <c r="G626" s="2" t="s">
        <v>3842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3843</v>
      </c>
      <c r="N626" s="4"/>
      <c r="O626" s="5"/>
      <c r="P626" s="4"/>
      <c r="Q626" s="21" t="str">
        <f>VLOOKUP(tblProductos[[#This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3920</v>
      </c>
      <c r="D627" s="2" t="s">
        <v>4029</v>
      </c>
      <c r="E627" s="2"/>
      <c r="F627" s="2">
        <v>50</v>
      </c>
      <c r="G627" s="2" t="s">
        <v>3842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3843</v>
      </c>
      <c r="N627" s="4"/>
      <c r="O627" s="5"/>
      <c r="P627" s="4"/>
      <c r="Q627" s="21" t="str">
        <f>VLOOKUP(tblProductos[[#This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3921</v>
      </c>
      <c r="D628" s="2" t="s">
        <v>4010</v>
      </c>
      <c r="E628" s="2"/>
      <c r="F628" s="2">
        <v>50</v>
      </c>
      <c r="G628" s="2" t="s">
        <v>3842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3843</v>
      </c>
      <c r="N628" s="4"/>
      <c r="O628" s="5"/>
      <c r="P628" s="4"/>
      <c r="Q628" s="21" t="str">
        <f>VLOOKUP(tblProductos[[#This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3921</v>
      </c>
      <c r="D629" s="2" t="s">
        <v>4011</v>
      </c>
      <c r="E629" s="2"/>
      <c r="F629" s="2">
        <v>50</v>
      </c>
      <c r="G629" s="2" t="s">
        <v>3842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3843</v>
      </c>
      <c r="N629" s="4"/>
      <c r="O629" s="5"/>
      <c r="P629" s="4"/>
      <c r="Q629" s="21" t="str">
        <f>VLOOKUP(tblProductos[[#This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3921</v>
      </c>
      <c r="D630" s="2" t="s">
        <v>4012</v>
      </c>
      <c r="E630" s="2"/>
      <c r="F630" s="2">
        <v>50</v>
      </c>
      <c r="G630" s="2" t="s">
        <v>3842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3843</v>
      </c>
      <c r="N630" s="4"/>
      <c r="O630" s="5"/>
      <c r="P630" s="4"/>
      <c r="Q630" s="21" t="str">
        <f>VLOOKUP(tblProductos[[#This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3921</v>
      </c>
      <c r="D631" s="2" t="s">
        <v>4013</v>
      </c>
      <c r="E631" s="2"/>
      <c r="F631" s="2">
        <v>50</v>
      </c>
      <c r="G631" s="2" t="s">
        <v>3842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3843</v>
      </c>
      <c r="N631" s="4"/>
      <c r="O631" s="5"/>
      <c r="P631" s="4"/>
      <c r="Q631" s="21" t="str">
        <f>VLOOKUP(tblProductos[[#This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3921</v>
      </c>
      <c r="D632" s="2" t="s">
        <v>3888</v>
      </c>
      <c r="E632" s="2"/>
      <c r="F632" s="2">
        <v>50</v>
      </c>
      <c r="G632" s="2" t="s">
        <v>3842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3843</v>
      </c>
      <c r="N632" s="4"/>
      <c r="O632" s="5"/>
      <c r="P632" s="4"/>
      <c r="Q632" s="21" t="str">
        <f>VLOOKUP(tblProductos[[#This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3921</v>
      </c>
      <c r="D633" s="2" t="s">
        <v>4014</v>
      </c>
      <c r="E633" s="2"/>
      <c r="F633" s="2">
        <v>50</v>
      </c>
      <c r="G633" s="2" t="s">
        <v>3842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3843</v>
      </c>
      <c r="N633" s="4"/>
      <c r="O633" s="5"/>
      <c r="P633" s="4"/>
      <c r="Q633" s="21" t="str">
        <f>VLOOKUP(tblProductos[[#This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3921</v>
      </c>
      <c r="D634" s="2" t="s">
        <v>4008</v>
      </c>
      <c r="E634" s="2"/>
      <c r="F634" s="2">
        <v>50</v>
      </c>
      <c r="G634" s="2" t="s">
        <v>3842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3843</v>
      </c>
      <c r="N634" s="4"/>
      <c r="O634" s="5"/>
      <c r="P634" s="4"/>
      <c r="Q634" s="21" t="str">
        <f>VLOOKUP(tblProductos[[#This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3921</v>
      </c>
      <c r="D635" s="2" t="s">
        <v>4016</v>
      </c>
      <c r="E635" s="2"/>
      <c r="F635" s="2">
        <v>50</v>
      </c>
      <c r="G635" s="2" t="s">
        <v>3842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3843</v>
      </c>
      <c r="N635" s="4"/>
      <c r="O635" s="5"/>
      <c r="P635" s="4"/>
      <c r="Q635" s="21" t="str">
        <f>VLOOKUP(tblProductos[[#This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3921</v>
      </c>
      <c r="D636" s="2" t="s">
        <v>3919</v>
      </c>
      <c r="E636" s="2"/>
      <c r="F636" s="2">
        <v>50</v>
      </c>
      <c r="G636" s="2" t="s">
        <v>3842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3843</v>
      </c>
      <c r="N636" s="4"/>
      <c r="O636" s="5"/>
      <c r="P636" s="4"/>
      <c r="Q636" s="21" t="str">
        <f>VLOOKUP(tblProductos[[#This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3942</v>
      </c>
      <c r="D637" s="2" t="s">
        <v>4010</v>
      </c>
      <c r="E637" s="2"/>
      <c r="F637" s="2">
        <v>50</v>
      </c>
      <c r="G637" s="2" t="s">
        <v>3842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3943</v>
      </c>
      <c r="N637" s="4"/>
      <c r="O637" s="5"/>
      <c r="P637" s="4"/>
      <c r="Q637" s="21" t="str">
        <f>VLOOKUP(tblProductos[[#This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3942</v>
      </c>
      <c r="D638" s="2" t="s">
        <v>4006</v>
      </c>
      <c r="E638" s="2"/>
      <c r="F638" s="2">
        <v>50</v>
      </c>
      <c r="G638" s="2" t="s">
        <v>3842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3943</v>
      </c>
      <c r="N638" s="4"/>
      <c r="O638" s="5"/>
      <c r="P638" s="4"/>
      <c r="Q638" s="21" t="str">
        <f>VLOOKUP(tblProductos[[#This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3942</v>
      </c>
      <c r="D639" s="2" t="s">
        <v>4011</v>
      </c>
      <c r="E639" s="2"/>
      <c r="F639" s="2">
        <v>50</v>
      </c>
      <c r="G639" s="2" t="s">
        <v>3842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3943</v>
      </c>
      <c r="N639" s="4"/>
      <c r="O639" s="5"/>
      <c r="P639" s="4"/>
      <c r="Q639" s="21" t="str">
        <f>VLOOKUP(tblProductos[[#This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3942</v>
      </c>
      <c r="D640" s="2" t="s">
        <v>4009</v>
      </c>
      <c r="E640" s="2"/>
      <c r="F640" s="2">
        <v>50</v>
      </c>
      <c r="G640" s="2" t="s">
        <v>3842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3943</v>
      </c>
      <c r="N640" s="4"/>
      <c r="O640" s="5"/>
      <c r="P640" s="4"/>
      <c r="Q640" s="21" t="str">
        <f>VLOOKUP(tblProductos[[#This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3942</v>
      </c>
      <c r="D641" s="2" t="s">
        <v>4007</v>
      </c>
      <c r="E641" s="2"/>
      <c r="F641" s="2">
        <v>50</v>
      </c>
      <c r="G641" s="2" t="s">
        <v>3842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3943</v>
      </c>
      <c r="N641" s="4"/>
      <c r="O641" s="5"/>
      <c r="P641" s="4"/>
      <c r="Q641" s="21" t="str">
        <f>VLOOKUP(tblProductos[[#This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3942</v>
      </c>
      <c r="D642" s="2" t="s">
        <v>3888</v>
      </c>
      <c r="E642" s="2"/>
      <c r="F642" s="2">
        <v>50</v>
      </c>
      <c r="G642" s="2" t="s">
        <v>3842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3943</v>
      </c>
      <c r="N642" s="4"/>
      <c r="O642" s="5"/>
      <c r="P642" s="4"/>
      <c r="Q642" s="21" t="str">
        <f>VLOOKUP(tblProductos[[#This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3942</v>
      </c>
      <c r="D643" s="2" t="s">
        <v>4008</v>
      </c>
      <c r="E643" s="2"/>
      <c r="F643" s="2">
        <v>50</v>
      </c>
      <c r="G643" s="2" t="s">
        <v>3842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3943</v>
      </c>
      <c r="N643" s="4"/>
      <c r="O643" s="5"/>
      <c r="P643" s="4"/>
      <c r="Q643" s="21" t="str">
        <f>VLOOKUP(tblProductos[[#This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3942</v>
      </c>
      <c r="D644" s="2" t="s">
        <v>4016</v>
      </c>
      <c r="E644" s="2"/>
      <c r="F644" s="2">
        <v>50</v>
      </c>
      <c r="G644" s="2" t="s">
        <v>3842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3943</v>
      </c>
      <c r="N644" s="4"/>
      <c r="O644" s="5"/>
      <c r="P644" s="4"/>
      <c r="Q644" s="21" t="str">
        <f>VLOOKUP(tblProductos[[#This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3942</v>
      </c>
      <c r="D645" s="2" t="s">
        <v>3919</v>
      </c>
      <c r="E645" s="2"/>
      <c r="F645" s="2">
        <v>50</v>
      </c>
      <c r="G645" s="2" t="s">
        <v>3842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3943</v>
      </c>
      <c r="N645" s="4"/>
      <c r="O645" s="5"/>
      <c r="P645" s="4"/>
      <c r="Q645" s="21" t="str">
        <f>VLOOKUP(tblProductos[[#This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3944</v>
      </c>
      <c r="D646" s="2" t="s">
        <v>4019</v>
      </c>
      <c r="E646" s="2"/>
      <c r="F646" s="2">
        <v>100</v>
      </c>
      <c r="G646" s="2" t="s">
        <v>3842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3943</v>
      </c>
      <c r="N646" s="4"/>
      <c r="O646" s="5"/>
      <c r="P646" s="4"/>
      <c r="Q646" s="21" t="str">
        <f>VLOOKUP(tblProductos[[#This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3945</v>
      </c>
      <c r="D647" s="2" t="s">
        <v>4006</v>
      </c>
      <c r="E647" s="2"/>
      <c r="F647" s="2">
        <v>50</v>
      </c>
      <c r="G647" s="2" t="s">
        <v>3842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3943</v>
      </c>
      <c r="N647" s="4"/>
      <c r="O647" s="5"/>
      <c r="P647" s="4"/>
      <c r="Q647" s="21" t="str">
        <f>VLOOKUP(tblProductos[[#This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3945</v>
      </c>
      <c r="D648" s="2" t="s">
        <v>4011</v>
      </c>
      <c r="E648" s="2"/>
      <c r="F648" s="2">
        <v>50</v>
      </c>
      <c r="G648" s="2" t="s">
        <v>3842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3943</v>
      </c>
      <c r="N648" s="4"/>
      <c r="O648" s="5"/>
      <c r="P648" s="4"/>
      <c r="Q648" s="21" t="str">
        <f>VLOOKUP(tblProductos[[#This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3945</v>
      </c>
      <c r="D649" s="2" t="s">
        <v>4009</v>
      </c>
      <c r="E649" s="2"/>
      <c r="F649" s="2">
        <v>50</v>
      </c>
      <c r="G649" s="2" t="s">
        <v>3842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3943</v>
      </c>
      <c r="N649" s="4"/>
      <c r="O649" s="5"/>
      <c r="P649" s="4"/>
      <c r="Q649" s="21" t="str">
        <f>VLOOKUP(tblProductos[[#This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3945</v>
      </c>
      <c r="D650" s="2" t="s">
        <v>4013</v>
      </c>
      <c r="E650" s="2"/>
      <c r="F650" s="2">
        <v>50</v>
      </c>
      <c r="G650" s="2" t="s">
        <v>3842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3943</v>
      </c>
      <c r="N650" s="4"/>
      <c r="O650" s="5"/>
      <c r="P650" s="4"/>
      <c r="Q650" s="21" t="str">
        <f>VLOOKUP(tblProductos[[#This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3945</v>
      </c>
      <c r="D651" s="2" t="s">
        <v>4007</v>
      </c>
      <c r="E651" s="2"/>
      <c r="F651" s="2">
        <v>50</v>
      </c>
      <c r="G651" s="2" t="s">
        <v>3842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3943</v>
      </c>
      <c r="N651" s="4"/>
      <c r="O651" s="5"/>
      <c r="P651" s="4"/>
      <c r="Q651" s="21" t="str">
        <f>VLOOKUP(tblProductos[[#This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3945</v>
      </c>
      <c r="D652" s="2" t="s">
        <v>3888</v>
      </c>
      <c r="E652" s="2"/>
      <c r="F652" s="2">
        <v>50</v>
      </c>
      <c r="G652" s="2" t="s">
        <v>3842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3943</v>
      </c>
      <c r="N652" s="4"/>
      <c r="O652" s="5"/>
      <c r="P652" s="4"/>
      <c r="Q652" s="21" t="str">
        <f>VLOOKUP(tblProductos[[#This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3945</v>
      </c>
      <c r="D653" s="2" t="s">
        <v>4008</v>
      </c>
      <c r="E653" s="2"/>
      <c r="F653" s="2">
        <v>50</v>
      </c>
      <c r="G653" s="2" t="s">
        <v>3842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3943</v>
      </c>
      <c r="N653" s="4"/>
      <c r="O653" s="5"/>
      <c r="P653" s="4"/>
      <c r="Q653" s="21" t="str">
        <f>VLOOKUP(tblProductos[[#This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3945</v>
      </c>
      <c r="D654" s="2" t="s">
        <v>4021</v>
      </c>
      <c r="E654" s="2"/>
      <c r="F654" s="2">
        <v>50</v>
      </c>
      <c r="G654" s="2" t="s">
        <v>3842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3943</v>
      </c>
      <c r="N654" s="4"/>
      <c r="O654" s="5"/>
      <c r="P654" s="4"/>
      <c r="Q654" s="21" t="str">
        <f>VLOOKUP(tblProductos[[#This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3945</v>
      </c>
      <c r="D655" s="2" t="s">
        <v>3919</v>
      </c>
      <c r="E655" s="2"/>
      <c r="F655" s="2">
        <v>50</v>
      </c>
      <c r="G655" s="2" t="s">
        <v>3842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3943</v>
      </c>
      <c r="N655" s="4"/>
      <c r="O655" s="5"/>
      <c r="P655" s="4"/>
      <c r="Q655" s="21" t="str">
        <f>VLOOKUP(tblProductos[[#This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3945</v>
      </c>
      <c r="D656" s="2" t="s">
        <v>4029</v>
      </c>
      <c r="E656" s="2"/>
      <c r="F656" s="2">
        <v>50</v>
      </c>
      <c r="G656" s="2" t="s">
        <v>3842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3943</v>
      </c>
      <c r="N656" s="4"/>
      <c r="O656" s="5"/>
      <c r="P656" s="4"/>
      <c r="Q656" s="21" t="str">
        <f>VLOOKUP(tblProductos[[#This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3952</v>
      </c>
      <c r="D657" s="2" t="s">
        <v>4010</v>
      </c>
      <c r="E657" s="2"/>
      <c r="F657" s="2">
        <v>50</v>
      </c>
      <c r="G657" s="2" t="s">
        <v>3842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3843</v>
      </c>
      <c r="N657" s="4"/>
      <c r="O657" s="5"/>
      <c r="P657" s="4"/>
      <c r="Q657" s="21" t="str">
        <f>VLOOKUP(tblProductos[[#This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3952</v>
      </c>
      <c r="D658" s="2" t="s">
        <v>4011</v>
      </c>
      <c r="E658" s="2"/>
      <c r="F658" s="2">
        <v>50</v>
      </c>
      <c r="G658" s="2" t="s">
        <v>3842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3843</v>
      </c>
      <c r="N658" s="4"/>
      <c r="O658" s="5"/>
      <c r="P658" s="4"/>
      <c r="Q658" s="21" t="str">
        <f>VLOOKUP(tblProductos[[#This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3952</v>
      </c>
      <c r="D659" s="2" t="s">
        <v>4009</v>
      </c>
      <c r="E659" s="2"/>
      <c r="F659" s="2">
        <v>50</v>
      </c>
      <c r="G659" s="2" t="s">
        <v>3842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3843</v>
      </c>
      <c r="N659" s="4"/>
      <c r="O659" s="5"/>
      <c r="P659" s="4"/>
      <c r="Q659" s="21" t="str">
        <f>VLOOKUP(tblProductos[[#This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3952</v>
      </c>
      <c r="D660" s="2" t="s">
        <v>4030</v>
      </c>
      <c r="E660" s="2"/>
      <c r="F660" s="2">
        <v>50</v>
      </c>
      <c r="G660" s="2" t="s">
        <v>3842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3843</v>
      </c>
      <c r="N660" s="4"/>
      <c r="O660" s="5"/>
      <c r="P660" s="4"/>
      <c r="Q660" s="21" t="str">
        <f>VLOOKUP(tblProductos[[#This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3952</v>
      </c>
      <c r="D661" s="2" t="s">
        <v>4006</v>
      </c>
      <c r="E661" s="2"/>
      <c r="F661" s="2">
        <v>50</v>
      </c>
      <c r="G661" s="2" t="s">
        <v>3842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3843</v>
      </c>
      <c r="N661" s="4"/>
      <c r="O661" s="5"/>
      <c r="P661" s="4"/>
      <c r="Q661" s="21" t="str">
        <f>VLOOKUP(tblProductos[[#This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3952</v>
      </c>
      <c r="D662" s="2" t="s">
        <v>4031</v>
      </c>
      <c r="E662" s="2"/>
      <c r="F662" s="2">
        <v>50</v>
      </c>
      <c r="G662" s="2" t="s">
        <v>3842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3843</v>
      </c>
      <c r="N662" s="4"/>
      <c r="O662" s="5"/>
      <c r="P662" s="4"/>
      <c r="Q662" s="21" t="str">
        <f>VLOOKUP(tblProductos[[#This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3952</v>
      </c>
      <c r="D663" s="2" t="s">
        <v>4012</v>
      </c>
      <c r="E663" s="2"/>
      <c r="F663" s="2">
        <v>50</v>
      </c>
      <c r="G663" s="2" t="s">
        <v>3842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3843</v>
      </c>
      <c r="N663" s="4"/>
      <c r="O663" s="5"/>
      <c r="P663" s="4"/>
      <c r="Q663" s="21" t="str">
        <f>VLOOKUP(tblProductos[[#This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3952</v>
      </c>
      <c r="D664" s="2" t="s">
        <v>4013</v>
      </c>
      <c r="E664" s="2"/>
      <c r="F664" s="2">
        <v>50</v>
      </c>
      <c r="G664" s="2" t="s">
        <v>3842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3843</v>
      </c>
      <c r="N664" s="4"/>
      <c r="O664" s="5"/>
      <c r="P664" s="4"/>
      <c r="Q664" s="21" t="str">
        <f>VLOOKUP(tblProductos[[#This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3952</v>
      </c>
      <c r="D665" s="2" t="s">
        <v>4032</v>
      </c>
      <c r="E665" s="2"/>
      <c r="F665" s="2">
        <v>50</v>
      </c>
      <c r="G665" s="2" t="s">
        <v>3842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3843</v>
      </c>
      <c r="N665" s="4"/>
      <c r="O665" s="5"/>
      <c r="P665" s="4"/>
      <c r="Q665" s="21" t="str">
        <f>VLOOKUP(tblProductos[[#This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3952</v>
      </c>
      <c r="D666" s="2" t="s">
        <v>4007</v>
      </c>
      <c r="E666" s="2"/>
      <c r="F666" s="2">
        <v>50</v>
      </c>
      <c r="G666" s="2" t="s">
        <v>3842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3843</v>
      </c>
      <c r="N666" s="4"/>
      <c r="O666" s="5"/>
      <c r="P666" s="4"/>
      <c r="Q666" s="21" t="str">
        <f>VLOOKUP(tblProductos[[#This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3952</v>
      </c>
      <c r="D667" s="2" t="s">
        <v>3888</v>
      </c>
      <c r="E667" s="2"/>
      <c r="F667" s="2">
        <v>50</v>
      </c>
      <c r="G667" s="2" t="s">
        <v>3842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3843</v>
      </c>
      <c r="N667" s="4"/>
      <c r="O667" s="5"/>
      <c r="P667" s="4"/>
      <c r="Q667" s="21" t="str">
        <f>VLOOKUP(tblProductos[[#This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3952</v>
      </c>
      <c r="D668" s="2" t="s">
        <v>4033</v>
      </c>
      <c r="E668" s="2"/>
      <c r="F668" s="2">
        <v>50</v>
      </c>
      <c r="G668" s="2" t="s">
        <v>3842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3843</v>
      </c>
      <c r="N668" s="4"/>
      <c r="O668" s="5"/>
      <c r="P668" s="4"/>
      <c r="Q668" s="21" t="str">
        <f>VLOOKUP(tblProductos[[#This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3952</v>
      </c>
      <c r="D669" s="2" t="s">
        <v>4014</v>
      </c>
      <c r="E669" s="2"/>
      <c r="F669" s="2">
        <v>50</v>
      </c>
      <c r="G669" s="2" t="s">
        <v>3842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3843</v>
      </c>
      <c r="N669" s="4"/>
      <c r="O669" s="5"/>
      <c r="P669" s="4"/>
      <c r="Q669" s="21" t="str">
        <f>VLOOKUP(tblProductos[[#This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3952</v>
      </c>
      <c r="D670" s="2" t="s">
        <v>4008</v>
      </c>
      <c r="E670" s="2"/>
      <c r="F670" s="2">
        <v>50</v>
      </c>
      <c r="G670" s="2" t="s">
        <v>3842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3843</v>
      </c>
      <c r="N670" s="4"/>
      <c r="O670" s="5"/>
      <c r="P670" s="4"/>
      <c r="Q670" s="21" t="str">
        <f>VLOOKUP(tblProductos[[#This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3952</v>
      </c>
      <c r="D671" s="2" t="s">
        <v>4020</v>
      </c>
      <c r="E671" s="2"/>
      <c r="F671" s="2">
        <v>50</v>
      </c>
      <c r="G671" s="2" t="s">
        <v>3842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3843</v>
      </c>
      <c r="N671" s="4"/>
      <c r="O671" s="5"/>
      <c r="P671" s="4"/>
      <c r="Q671" s="21" t="str">
        <f>VLOOKUP(tblProductos[[#This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3952</v>
      </c>
      <c r="D672" s="2" t="s">
        <v>4016</v>
      </c>
      <c r="E672" s="2"/>
      <c r="F672" s="2">
        <v>50</v>
      </c>
      <c r="G672" s="2" t="s">
        <v>3842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3843</v>
      </c>
      <c r="N672" s="4"/>
      <c r="O672" s="5"/>
      <c r="P672" s="4"/>
      <c r="Q672" s="21" t="str">
        <f>VLOOKUP(tblProductos[[#This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3952</v>
      </c>
      <c r="D673" s="2" t="s">
        <v>4021</v>
      </c>
      <c r="E673" s="2"/>
      <c r="F673" s="2">
        <v>50</v>
      </c>
      <c r="G673" s="2" t="s">
        <v>3842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3843</v>
      </c>
      <c r="N673" s="4"/>
      <c r="O673" s="5"/>
      <c r="P673" s="4"/>
      <c r="Q673" s="21" t="str">
        <f>VLOOKUP(tblProductos[[#This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3952</v>
      </c>
      <c r="D674" s="2" t="s">
        <v>4015</v>
      </c>
      <c r="E674" s="2"/>
      <c r="F674" s="2">
        <v>50</v>
      </c>
      <c r="G674" s="2" t="s">
        <v>3842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3843</v>
      </c>
      <c r="N674" s="4"/>
      <c r="O674" s="5"/>
      <c r="P674" s="4"/>
      <c r="Q674" s="21" t="str">
        <f>VLOOKUP(tblProductos[[#This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3952</v>
      </c>
      <c r="D675" s="2" t="s">
        <v>3919</v>
      </c>
      <c r="E675" s="2"/>
      <c r="F675" s="2">
        <v>50</v>
      </c>
      <c r="G675" s="2" t="s">
        <v>3842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3843</v>
      </c>
      <c r="N675" s="4"/>
      <c r="O675" s="5"/>
      <c r="P675" s="4"/>
      <c r="Q675" s="21" t="str">
        <f>VLOOKUP(tblProductos[[#This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3952</v>
      </c>
      <c r="D676" s="2" t="s">
        <v>4034</v>
      </c>
      <c r="E676" s="2"/>
      <c r="F676" s="2">
        <v>50</v>
      </c>
      <c r="G676" s="2" t="s">
        <v>3842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3843</v>
      </c>
      <c r="N676" s="4"/>
      <c r="O676" s="5"/>
      <c r="P676" s="4"/>
      <c r="Q676" s="21" t="str">
        <f>VLOOKUP(tblProductos[[#This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3952</v>
      </c>
      <c r="D677" s="2" t="s">
        <v>4023</v>
      </c>
      <c r="E677" s="2"/>
      <c r="F677" s="2">
        <v>50</v>
      </c>
      <c r="G677" s="2" t="s">
        <v>3842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3843</v>
      </c>
      <c r="N677" s="4"/>
      <c r="O677" s="5"/>
      <c r="P677" s="4"/>
      <c r="Q677" s="21" t="str">
        <f>VLOOKUP(tblProductos[[#This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3952</v>
      </c>
      <c r="D678" s="2" t="s">
        <v>4029</v>
      </c>
      <c r="E678" s="2"/>
      <c r="F678" s="2">
        <v>50</v>
      </c>
      <c r="G678" s="2" t="s">
        <v>3842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3843</v>
      </c>
      <c r="N678" s="4"/>
      <c r="O678" s="5"/>
      <c r="P678" s="4"/>
      <c r="Q678" s="21" t="str">
        <f>VLOOKUP(tblProductos[[#This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3952</v>
      </c>
      <c r="D679" s="2" t="s">
        <v>4024</v>
      </c>
      <c r="E679" s="2"/>
      <c r="F679" s="2">
        <v>50</v>
      </c>
      <c r="G679" s="2" t="s">
        <v>3842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3843</v>
      </c>
      <c r="N679" s="4"/>
      <c r="O679" s="5"/>
      <c r="P679" s="4"/>
      <c r="Q679" s="21" t="str">
        <f>VLOOKUP(tblProductos[[#This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3952</v>
      </c>
      <c r="D680" s="2" t="s">
        <v>4035</v>
      </c>
      <c r="E680" s="2"/>
      <c r="F680" s="2">
        <v>50</v>
      </c>
      <c r="G680" s="2" t="s">
        <v>3842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3843</v>
      </c>
      <c r="N680" s="4"/>
      <c r="O680" s="5"/>
      <c r="P680" s="4"/>
      <c r="Q680" s="21" t="str">
        <f>VLOOKUP(tblProductos[[#This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3957</v>
      </c>
      <c r="D681" s="2" t="s">
        <v>4029</v>
      </c>
      <c r="E681" s="2"/>
      <c r="F681" s="2">
        <v>50</v>
      </c>
      <c r="G681" s="2" t="s">
        <v>3842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3843</v>
      </c>
      <c r="N681" s="4"/>
      <c r="O681" s="5"/>
      <c r="P681" s="4"/>
      <c r="Q681" s="21" t="str">
        <f>VLOOKUP(tblProductos[[#This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3957</v>
      </c>
      <c r="D682" s="2" t="s">
        <v>4012</v>
      </c>
      <c r="E682" s="2"/>
      <c r="F682" s="2">
        <v>50</v>
      </c>
      <c r="G682" s="2" t="s">
        <v>3842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3843</v>
      </c>
      <c r="N682" s="4"/>
      <c r="O682" s="5"/>
      <c r="P682" s="4"/>
      <c r="Q682" s="21" t="str">
        <f>VLOOKUP(tblProductos[[#This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3971</v>
      </c>
      <c r="D683" s="2" t="s">
        <v>4010</v>
      </c>
      <c r="E683" s="2"/>
      <c r="F683" s="2">
        <v>50</v>
      </c>
      <c r="G683" s="2" t="s">
        <v>3842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3843</v>
      </c>
      <c r="N683" s="4"/>
      <c r="O683" s="5"/>
      <c r="P683" s="4"/>
      <c r="Q683" s="21" t="str">
        <f>VLOOKUP(tblProductos[[#This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3971</v>
      </c>
      <c r="D684" s="2" t="s">
        <v>4011</v>
      </c>
      <c r="E684" s="2"/>
      <c r="F684" s="2">
        <v>50</v>
      </c>
      <c r="G684" s="2" t="s">
        <v>3842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3843</v>
      </c>
      <c r="N684" s="4"/>
      <c r="O684" s="5"/>
      <c r="P684" s="4"/>
      <c r="Q684" s="21" t="str">
        <f>VLOOKUP(tblProductos[[#This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3971</v>
      </c>
      <c r="D685" s="2" t="s">
        <v>4009</v>
      </c>
      <c r="E685" s="2"/>
      <c r="F685" s="2">
        <v>50</v>
      </c>
      <c r="G685" s="2" t="s">
        <v>3842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3843</v>
      </c>
      <c r="N685" s="4"/>
      <c r="O685" s="5"/>
      <c r="P685" s="4"/>
      <c r="Q685" s="21" t="str">
        <f>VLOOKUP(tblProductos[[#This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3971</v>
      </c>
      <c r="D686" s="2" t="s">
        <v>4030</v>
      </c>
      <c r="E686" s="2"/>
      <c r="F686" s="2">
        <v>50</v>
      </c>
      <c r="G686" s="2" t="s">
        <v>3842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3843</v>
      </c>
      <c r="N686" s="4"/>
      <c r="O686" s="5"/>
      <c r="P686" s="4"/>
      <c r="Q686" s="21" t="str">
        <f>VLOOKUP(tblProductos[[#This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3971</v>
      </c>
      <c r="D687" s="2" t="s">
        <v>4006</v>
      </c>
      <c r="E687" s="2"/>
      <c r="F687" s="2">
        <v>50</v>
      </c>
      <c r="G687" s="2" t="s">
        <v>3842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3843</v>
      </c>
      <c r="N687" s="4"/>
      <c r="O687" s="5"/>
      <c r="P687" s="4"/>
      <c r="Q687" s="21" t="str">
        <f>VLOOKUP(tblProductos[[#This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3971</v>
      </c>
      <c r="D688" s="2" t="s">
        <v>4012</v>
      </c>
      <c r="E688" s="2"/>
      <c r="F688" s="2">
        <v>50</v>
      </c>
      <c r="G688" s="2" t="s">
        <v>3842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3843</v>
      </c>
      <c r="N688" s="4"/>
      <c r="O688" s="5"/>
      <c r="P688" s="4"/>
      <c r="Q688" s="21" t="str">
        <f>VLOOKUP(tblProductos[[#This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3971</v>
      </c>
      <c r="D689" s="2" t="s">
        <v>4013</v>
      </c>
      <c r="E689" s="2"/>
      <c r="F689" s="2">
        <v>50</v>
      </c>
      <c r="G689" s="2" t="s">
        <v>3842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3843</v>
      </c>
      <c r="N689" s="4"/>
      <c r="O689" s="5"/>
      <c r="P689" s="4"/>
      <c r="Q689" s="21" t="str">
        <f>VLOOKUP(tblProductos[[#This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3971</v>
      </c>
      <c r="D690" s="2" t="s">
        <v>4032</v>
      </c>
      <c r="E690" s="2"/>
      <c r="F690" s="2">
        <v>50</v>
      </c>
      <c r="G690" s="2" t="s">
        <v>3842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3843</v>
      </c>
      <c r="N690" s="4"/>
      <c r="O690" s="5"/>
      <c r="P690" s="4"/>
      <c r="Q690" s="21" t="str">
        <f>VLOOKUP(tblProductos[[#This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3971</v>
      </c>
      <c r="D691" s="2" t="s">
        <v>3888</v>
      </c>
      <c r="E691" s="2"/>
      <c r="F691" s="2">
        <v>50</v>
      </c>
      <c r="G691" s="2" t="s">
        <v>3842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3843</v>
      </c>
      <c r="N691" s="4"/>
      <c r="O691" s="5"/>
      <c r="P691" s="4"/>
      <c r="Q691" s="21" t="str">
        <f>VLOOKUP(tblProductos[[#This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3971</v>
      </c>
      <c r="D692" s="2" t="s">
        <v>4033</v>
      </c>
      <c r="E692" s="2"/>
      <c r="F692" s="2">
        <v>50</v>
      </c>
      <c r="G692" s="2" t="s">
        <v>3842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3843</v>
      </c>
      <c r="N692" s="4"/>
      <c r="O692" s="5"/>
      <c r="P692" s="4"/>
      <c r="Q692" s="21" t="str">
        <f>VLOOKUP(tblProductos[[#This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3971</v>
      </c>
      <c r="D693" s="2" t="s">
        <v>4014</v>
      </c>
      <c r="E693" s="2"/>
      <c r="F693" s="2">
        <v>50</v>
      </c>
      <c r="G693" s="2" t="s">
        <v>3842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3843</v>
      </c>
      <c r="N693" s="4"/>
      <c r="O693" s="5"/>
      <c r="P693" s="4"/>
      <c r="Q693" s="21" t="str">
        <f>VLOOKUP(tblProductos[[#This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3971</v>
      </c>
      <c r="D694" s="2" t="s">
        <v>4008</v>
      </c>
      <c r="E694" s="2"/>
      <c r="F694" s="2">
        <v>50</v>
      </c>
      <c r="G694" s="2" t="s">
        <v>3842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3843</v>
      </c>
      <c r="N694" s="4"/>
      <c r="O694" s="5"/>
      <c r="P694" s="4"/>
      <c r="Q694" s="21" t="str">
        <f>VLOOKUP(tblProductos[[#This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3971</v>
      </c>
      <c r="D695" s="2" t="s">
        <v>4008</v>
      </c>
      <c r="E695" s="2"/>
      <c r="F695" s="2">
        <v>50</v>
      </c>
      <c r="G695" s="2" t="s">
        <v>3842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3843</v>
      </c>
      <c r="N695" s="4"/>
      <c r="O695" s="5"/>
      <c r="P695" s="4"/>
      <c r="Q695" s="21" t="str">
        <f>VLOOKUP(tblProductos[[#This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3971</v>
      </c>
      <c r="D696" s="2" t="s">
        <v>4020</v>
      </c>
      <c r="E696" s="2"/>
      <c r="F696" s="2">
        <v>50</v>
      </c>
      <c r="G696" s="2" t="s">
        <v>3842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3843</v>
      </c>
      <c r="N696" s="4"/>
      <c r="O696" s="5"/>
      <c r="P696" s="4"/>
      <c r="Q696" s="21" t="str">
        <f>VLOOKUP(tblProductos[[#This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3971</v>
      </c>
      <c r="D697" s="2" t="s">
        <v>4016</v>
      </c>
      <c r="E697" s="2"/>
      <c r="F697" s="2">
        <v>50</v>
      </c>
      <c r="G697" s="2" t="s">
        <v>3842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3843</v>
      </c>
      <c r="N697" s="4"/>
      <c r="O697" s="5"/>
      <c r="P697" s="4"/>
      <c r="Q697" s="21" t="str">
        <f>VLOOKUP(tblProductos[[#This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3971</v>
      </c>
      <c r="D698" s="2" t="s">
        <v>4021</v>
      </c>
      <c r="E698" s="2"/>
      <c r="F698" s="2">
        <v>50</v>
      </c>
      <c r="G698" s="2" t="s">
        <v>3842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3843</v>
      </c>
      <c r="N698" s="4"/>
      <c r="O698" s="5"/>
      <c r="P698" s="4"/>
      <c r="Q698" s="21" t="str">
        <f>VLOOKUP(tblProductos[[#This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3971</v>
      </c>
      <c r="D699" s="2" t="s">
        <v>4015</v>
      </c>
      <c r="E699" s="2"/>
      <c r="F699" s="2">
        <v>50</v>
      </c>
      <c r="G699" s="2" t="s">
        <v>3842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3843</v>
      </c>
      <c r="N699" s="4"/>
      <c r="O699" s="5"/>
      <c r="P699" s="4"/>
      <c r="Q699" s="21" t="str">
        <f>VLOOKUP(tblProductos[[#This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3971</v>
      </c>
      <c r="D700" s="2" t="s">
        <v>3919</v>
      </c>
      <c r="E700" s="2"/>
      <c r="F700" s="2">
        <v>50</v>
      </c>
      <c r="G700" s="2" t="s">
        <v>3842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3843</v>
      </c>
      <c r="N700" s="4"/>
      <c r="O700" s="5"/>
      <c r="P700" s="4"/>
      <c r="Q700" s="21" t="str">
        <f>VLOOKUP(tblProductos[[#This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3971</v>
      </c>
      <c r="D701" s="2" t="s">
        <v>4022</v>
      </c>
      <c r="E701" s="2"/>
      <c r="F701" s="2">
        <v>50</v>
      </c>
      <c r="G701" s="2" t="s">
        <v>3842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3843</v>
      </c>
      <c r="N701" s="4"/>
      <c r="O701" s="5"/>
      <c r="P701" s="4"/>
      <c r="Q701" s="21" t="str">
        <f>VLOOKUP(tblProductos[[#This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3971</v>
      </c>
      <c r="D702" s="2" t="s">
        <v>4023</v>
      </c>
      <c r="E702" s="2"/>
      <c r="F702" s="2">
        <v>50</v>
      </c>
      <c r="G702" s="2" t="s">
        <v>3842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3843</v>
      </c>
      <c r="N702" s="4"/>
      <c r="O702" s="5"/>
      <c r="P702" s="4"/>
      <c r="Q702" s="21" t="str">
        <f>VLOOKUP(tblProductos[[#This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3971</v>
      </c>
      <c r="D703" s="2" t="s">
        <v>4034</v>
      </c>
      <c r="E703" s="2"/>
      <c r="F703" s="2">
        <v>50</v>
      </c>
      <c r="G703" s="2" t="s">
        <v>3842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3843</v>
      </c>
      <c r="N703" s="4"/>
      <c r="O703" s="5"/>
      <c r="P703" s="4"/>
      <c r="Q703" s="21" t="str">
        <f>VLOOKUP(tblProductos[[#This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3971</v>
      </c>
      <c r="D704" s="2" t="s">
        <v>4024</v>
      </c>
      <c r="E704" s="2"/>
      <c r="F704" s="2">
        <v>50</v>
      </c>
      <c r="G704" s="2" t="s">
        <v>3842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3843</v>
      </c>
      <c r="N704" s="4"/>
      <c r="O704" s="5"/>
      <c r="P704" s="4"/>
      <c r="Q704" s="21" t="str">
        <f>VLOOKUP(tblProductos[[#This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3971</v>
      </c>
      <c r="D705" s="2" t="s">
        <v>4035</v>
      </c>
      <c r="E705" s="2"/>
      <c r="F705" s="2">
        <v>50</v>
      </c>
      <c r="G705" s="2" t="s">
        <v>3842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3843</v>
      </c>
      <c r="N705" s="4"/>
      <c r="O705" s="5"/>
      <c r="P705" s="4"/>
      <c r="Q705" s="21" t="str">
        <f>VLOOKUP(tblProductos[[#This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3902</v>
      </c>
      <c r="D706" s="2" t="s">
        <v>4011</v>
      </c>
      <c r="E706" s="2" t="s">
        <v>3897</v>
      </c>
      <c r="F706" s="2">
        <v>2000</v>
      </c>
      <c r="G706" s="2" t="s">
        <v>3873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3895</v>
      </c>
      <c r="N706" s="4"/>
      <c r="O706" s="5"/>
      <c r="P706" s="4"/>
      <c r="Q706" s="21" t="str">
        <f>VLOOKUP(tblProductos[[#This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3114</v>
      </c>
      <c r="D707" s="2" t="s">
        <v>4014</v>
      </c>
      <c r="E707" s="2"/>
      <c r="F707" s="2">
        <v>100</v>
      </c>
      <c r="G707" s="2" t="s">
        <v>3842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3843</v>
      </c>
      <c r="N707" s="4"/>
      <c r="O707" s="5"/>
      <c r="P707" s="4"/>
      <c r="Q707" s="21" t="str">
        <f>VLOOKUP(tblProductos[[#This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3965</v>
      </c>
      <c r="D708" s="2" t="s">
        <v>4029</v>
      </c>
      <c r="E708" s="2" t="s">
        <v>3875</v>
      </c>
      <c r="F708" s="2">
        <v>500</v>
      </c>
      <c r="G708" s="2" t="s">
        <v>3886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3882</v>
      </c>
      <c r="N708" s="4"/>
      <c r="O708" s="5"/>
      <c r="P708" s="4"/>
      <c r="Q708" s="21" t="str">
        <f>VLOOKUP(tblProductos[[#This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4036</v>
      </c>
      <c r="D709" s="2" t="s">
        <v>4033</v>
      </c>
      <c r="E709" s="2"/>
      <c r="F709" s="2">
        <v>1</v>
      </c>
      <c r="G709" s="2" t="s">
        <v>3842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4037</v>
      </c>
      <c r="N709" s="4"/>
      <c r="O709" s="5"/>
      <c r="P709" s="4"/>
      <c r="Q709" s="21" t="str">
        <f>VLOOKUP(tblProductos[[#This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3970</v>
      </c>
      <c r="D710" s="2" t="s">
        <v>4006</v>
      </c>
      <c r="E710" s="2" t="s">
        <v>3875</v>
      </c>
      <c r="F710" s="2">
        <v>500</v>
      </c>
      <c r="G710" s="2" t="s">
        <v>3886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3882</v>
      </c>
      <c r="N710" s="4"/>
      <c r="O710" s="5"/>
      <c r="P710" s="4"/>
      <c r="Q710" s="21" t="str">
        <f>VLOOKUP(tblProductos[[#This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3865</v>
      </c>
      <c r="D711" s="2" t="s">
        <v>4008</v>
      </c>
      <c r="E711" s="2" t="s">
        <v>3866</v>
      </c>
      <c r="F711" s="2">
        <v>15</v>
      </c>
      <c r="G711" s="2" t="s">
        <v>3867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3868</v>
      </c>
      <c r="N711" s="4"/>
      <c r="O711" s="5"/>
      <c r="P711" s="4"/>
      <c r="Q711" s="21" t="str">
        <f>VLOOKUP(tblProductos[[#This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3114</v>
      </c>
      <c r="D712" s="2" t="s">
        <v>4029</v>
      </c>
      <c r="E712" s="2"/>
      <c r="F712" s="2">
        <v>100</v>
      </c>
      <c r="G712" s="2" t="s">
        <v>3842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3843</v>
      </c>
      <c r="N712" s="4"/>
      <c r="O712" s="5"/>
      <c r="P712" s="4"/>
      <c r="Q712" s="21" t="str">
        <f>VLOOKUP(tblProductos[[#This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4038</v>
      </c>
      <c r="D713" s="2" t="s">
        <v>3841</v>
      </c>
      <c r="E713" s="2" t="s">
        <v>4039</v>
      </c>
      <c r="F713" s="2">
        <v>1</v>
      </c>
      <c r="G713" s="2" t="s">
        <v>3842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4037</v>
      </c>
      <c r="N713" s="4"/>
      <c r="O713" s="5"/>
      <c r="P713" s="4"/>
      <c r="Q713" s="21" t="str">
        <f>VLOOKUP(tblProductos[[#This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3114</v>
      </c>
      <c r="D714" s="2" t="s">
        <v>4021</v>
      </c>
      <c r="E714" s="2"/>
      <c r="F714" s="2">
        <v>100</v>
      </c>
      <c r="G714" s="2" t="s">
        <v>3842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3843</v>
      </c>
      <c r="N714" s="4"/>
      <c r="O714" s="5"/>
      <c r="P714" s="4"/>
      <c r="Q714" s="21" t="str">
        <f>VLOOKUP(tblProductos[[#This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3114</v>
      </c>
      <c r="D715" s="2" t="s">
        <v>4010</v>
      </c>
      <c r="E715" s="2"/>
      <c r="F715" s="2">
        <v>100</v>
      </c>
      <c r="G715" s="2" t="s">
        <v>3842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3843</v>
      </c>
      <c r="N715" s="4"/>
      <c r="O715" s="5"/>
      <c r="P715" s="4"/>
      <c r="Q715" s="21" t="str">
        <f>VLOOKUP(tblProductos[[#This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3958</v>
      </c>
      <c r="D716" s="2" t="s">
        <v>4009</v>
      </c>
      <c r="E716" s="2" t="s">
        <v>3875</v>
      </c>
      <c r="F716" s="2">
        <v>1000</v>
      </c>
      <c r="G716" s="2" t="s">
        <v>3886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3882</v>
      </c>
      <c r="N716" s="4"/>
      <c r="O716" s="5"/>
      <c r="P716" s="4"/>
      <c r="Q716" s="21" t="str">
        <f>VLOOKUP(tblProductos[[#This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3984</v>
      </c>
      <c r="D717" s="2" t="s">
        <v>4010</v>
      </c>
      <c r="E717" s="2"/>
      <c r="F717" s="2">
        <v>100</v>
      </c>
      <c r="G717" s="2" t="s">
        <v>3842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3843</v>
      </c>
      <c r="N717" s="4"/>
      <c r="O717" s="5"/>
      <c r="P717" s="4"/>
      <c r="Q717" s="21" t="str">
        <f>VLOOKUP(tblProductos[[#This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3969</v>
      </c>
      <c r="D718" s="2" t="s">
        <v>4029</v>
      </c>
      <c r="E718" s="2" t="s">
        <v>3872</v>
      </c>
      <c r="F718" s="2">
        <v>500</v>
      </c>
      <c r="G718" s="2" t="s">
        <v>3886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3882</v>
      </c>
      <c r="N718" s="4"/>
      <c r="O718" s="5"/>
      <c r="P718" s="4"/>
      <c r="Q718" s="21" t="str">
        <f>VLOOKUP(tblProductos[[#This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3970</v>
      </c>
      <c r="D719" s="2" t="s">
        <v>4029</v>
      </c>
      <c r="E719" s="2" t="s">
        <v>3875</v>
      </c>
      <c r="F719" s="2">
        <v>500</v>
      </c>
      <c r="G719" s="2" t="s">
        <v>3886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3882</v>
      </c>
      <c r="N719" s="4"/>
      <c r="O719" s="5"/>
      <c r="P719" s="4"/>
      <c r="Q719" s="21" t="str">
        <f>VLOOKUP(tblProductos[[#This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4040</v>
      </c>
      <c r="D720" s="2" t="s">
        <v>3841</v>
      </c>
      <c r="E720" s="2" t="s">
        <v>3875</v>
      </c>
      <c r="F720" s="2">
        <v>500</v>
      </c>
      <c r="G720" s="2" t="s">
        <v>3867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3895</v>
      </c>
      <c r="N720" s="4"/>
      <c r="O720" s="5"/>
      <c r="P720" s="4"/>
      <c r="Q720" s="21" t="str">
        <f>VLOOKUP(tblProductos[[#This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4040</v>
      </c>
      <c r="D721" s="2" t="s">
        <v>3923</v>
      </c>
      <c r="E721" s="2" t="s">
        <v>3875</v>
      </c>
      <c r="F721" s="2">
        <v>500</v>
      </c>
      <c r="G721" s="2" t="s">
        <v>3867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3895</v>
      </c>
      <c r="N721" s="4"/>
      <c r="O721" s="5"/>
      <c r="P721" s="4"/>
      <c r="Q721" s="21" t="str">
        <f>VLOOKUP(tblProductos[[#This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3990</v>
      </c>
      <c r="D722" s="2" t="s">
        <v>3923</v>
      </c>
      <c r="E722" s="2" t="s">
        <v>3889</v>
      </c>
      <c r="F722" s="2">
        <v>250</v>
      </c>
      <c r="G722" s="2" t="s">
        <v>3867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3895</v>
      </c>
      <c r="N722" s="4"/>
      <c r="O722" s="5"/>
      <c r="P722" s="4"/>
      <c r="Q722" s="21" t="str">
        <f>VLOOKUP(tblProductos[[#This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4040</v>
      </c>
      <c r="D723" s="2" t="s">
        <v>4029</v>
      </c>
      <c r="E723" s="2" t="s">
        <v>3875</v>
      </c>
      <c r="F723" s="2">
        <v>500</v>
      </c>
      <c r="G723" s="2" t="s">
        <v>3867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3895</v>
      </c>
      <c r="N723" s="4"/>
      <c r="O723" s="5"/>
      <c r="P723" s="4"/>
      <c r="Q723" s="21" t="str">
        <f>VLOOKUP(tblProductos[[#This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4040</v>
      </c>
      <c r="D724" s="2" t="s">
        <v>4012</v>
      </c>
      <c r="E724" s="2" t="s">
        <v>3875</v>
      </c>
      <c r="F724" s="2">
        <v>500</v>
      </c>
      <c r="G724" s="2" t="s">
        <v>3867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3895</v>
      </c>
      <c r="N724" s="4"/>
      <c r="O724" s="5"/>
      <c r="P724" s="4"/>
      <c r="Q724" s="21" t="str">
        <f>VLOOKUP(tblProductos[[#This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3990</v>
      </c>
      <c r="D725" s="2" t="s">
        <v>4012</v>
      </c>
      <c r="E725" s="2" t="s">
        <v>3889</v>
      </c>
      <c r="F725" s="2">
        <v>250</v>
      </c>
      <c r="G725" s="2" t="s">
        <v>3867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3895</v>
      </c>
      <c r="N725" s="4"/>
      <c r="O725" s="5"/>
      <c r="P725" s="4"/>
      <c r="Q725" s="21" t="str">
        <f>VLOOKUP(tblProductos[[#This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3990</v>
      </c>
      <c r="D726" s="2" t="s">
        <v>4033</v>
      </c>
      <c r="E726" s="2" t="s">
        <v>3889</v>
      </c>
      <c r="F726" s="2">
        <v>250</v>
      </c>
      <c r="G726" s="2" t="s">
        <v>3867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3895</v>
      </c>
      <c r="N726" s="4"/>
      <c r="O726" s="5"/>
      <c r="P726" s="4"/>
      <c r="Q726" s="21" t="str">
        <f>VLOOKUP(tblProductos[[#This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3114</v>
      </c>
      <c r="D727" s="2" t="s">
        <v>4007</v>
      </c>
      <c r="E727" s="2"/>
      <c r="F727" s="2">
        <v>100</v>
      </c>
      <c r="G727" s="2" t="s">
        <v>3842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3843</v>
      </c>
      <c r="N727" s="4"/>
      <c r="O727" s="5"/>
      <c r="P727" s="4"/>
      <c r="Q727" s="21" t="str">
        <f>VLOOKUP(tblProductos[[#This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4041</v>
      </c>
      <c r="D728" s="2" t="s">
        <v>3841</v>
      </c>
      <c r="E728" s="2" t="s">
        <v>3897</v>
      </c>
      <c r="F728" s="2">
        <v>1600</v>
      </c>
      <c r="G728" s="2" t="s">
        <v>3867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3895</v>
      </c>
      <c r="N728" s="4"/>
      <c r="O728" s="5"/>
      <c r="P728" s="4"/>
      <c r="Q728" s="21" t="str">
        <f>VLOOKUP(tblProductos[[#This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3945</v>
      </c>
      <c r="D729" s="2" t="s">
        <v>3923</v>
      </c>
      <c r="E729" s="2"/>
      <c r="F729" s="2">
        <v>50</v>
      </c>
      <c r="G729" s="2" t="s">
        <v>3842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3943</v>
      </c>
      <c r="N729" s="4"/>
      <c r="O729" s="5"/>
      <c r="P729" s="4"/>
      <c r="Q729" s="21" t="str">
        <f>VLOOKUP(tblProductos[[#This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3918</v>
      </c>
      <c r="D730" s="2" t="s">
        <v>4007</v>
      </c>
      <c r="E730" s="2"/>
      <c r="F730" s="2">
        <v>30</v>
      </c>
      <c r="G730" s="2" t="s">
        <v>3842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3843</v>
      </c>
      <c r="N730" s="4"/>
      <c r="O730" s="5"/>
      <c r="P730" s="4"/>
      <c r="Q730" s="21" t="str">
        <f>VLOOKUP(tblProductos[[#This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3902</v>
      </c>
      <c r="D731" s="2" t="s">
        <v>4019</v>
      </c>
      <c r="E731" s="2" t="s">
        <v>3897</v>
      </c>
      <c r="F731" s="2">
        <v>1600</v>
      </c>
      <c r="G731" s="2" t="s">
        <v>3867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3895</v>
      </c>
      <c r="N731" s="4"/>
      <c r="O731" s="5"/>
      <c r="P731" s="4"/>
      <c r="Q731" s="21" t="str">
        <f>VLOOKUP(tblProductos[[#This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3902</v>
      </c>
      <c r="D732" s="2" t="s">
        <v>4032</v>
      </c>
      <c r="E732" s="2" t="s">
        <v>3897</v>
      </c>
      <c r="F732" s="2">
        <v>1600</v>
      </c>
      <c r="G732" s="2" t="s">
        <v>3867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3895</v>
      </c>
      <c r="N732" s="4"/>
      <c r="O732" s="5"/>
      <c r="P732" s="4"/>
      <c r="Q732" s="21" t="str">
        <f>VLOOKUP(tblProductos[[#This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3114</v>
      </c>
      <c r="D733" s="2" t="s">
        <v>3919</v>
      </c>
      <c r="E733" s="2"/>
      <c r="F733" s="2">
        <v>100</v>
      </c>
      <c r="G733" s="2" t="s">
        <v>3842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3843</v>
      </c>
      <c r="N733" s="4"/>
      <c r="O733" s="5"/>
      <c r="P733" s="4"/>
      <c r="Q733" s="21" t="str">
        <f>VLOOKUP(tblProductos[[#This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3114</v>
      </c>
      <c r="D734" s="2" t="s">
        <v>3923</v>
      </c>
      <c r="E734" s="2"/>
      <c r="F734" s="2">
        <v>100</v>
      </c>
      <c r="G734" s="2" t="s">
        <v>3842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3843</v>
      </c>
      <c r="N734" s="4"/>
      <c r="O734" s="5"/>
      <c r="P734" s="4"/>
      <c r="Q734" s="21" t="str">
        <f>VLOOKUP(tblProductos[[#This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3114</v>
      </c>
      <c r="D735" s="2" t="s">
        <v>4008</v>
      </c>
      <c r="E735" s="2"/>
      <c r="F735" s="2">
        <v>100</v>
      </c>
      <c r="G735" s="2" t="s">
        <v>3842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3843</v>
      </c>
      <c r="N735" s="4"/>
      <c r="O735" s="5"/>
      <c r="P735" s="4"/>
      <c r="Q735" s="21" t="str">
        <f>VLOOKUP(tblProductos[[#This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3114</v>
      </c>
      <c r="D736" s="2" t="s">
        <v>4009</v>
      </c>
      <c r="E736" s="2"/>
      <c r="F736" s="2">
        <v>100</v>
      </c>
      <c r="G736" s="2" t="s">
        <v>3842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3843</v>
      </c>
      <c r="N736" s="4"/>
      <c r="O736" s="5"/>
      <c r="P736" s="4"/>
      <c r="Q736" s="21" t="str">
        <f>VLOOKUP(tblProductos[[#This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3114</v>
      </c>
      <c r="D737" s="2" t="s">
        <v>3888</v>
      </c>
      <c r="E737" s="2"/>
      <c r="F737" s="2">
        <v>100</v>
      </c>
      <c r="G737" s="2" t="s">
        <v>3842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3843</v>
      </c>
      <c r="N737" s="4"/>
      <c r="O737" s="5"/>
      <c r="P737" s="4"/>
      <c r="Q737" s="21" t="str">
        <f>VLOOKUP(tblProductos[[#This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3114</v>
      </c>
      <c r="D738" s="2" t="s">
        <v>4016</v>
      </c>
      <c r="E738" s="2"/>
      <c r="F738" s="2">
        <v>100</v>
      </c>
      <c r="G738" s="2" t="s">
        <v>3842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3843</v>
      </c>
      <c r="N738" s="4"/>
      <c r="O738" s="5"/>
      <c r="P738" s="4"/>
      <c r="Q738" s="21" t="str">
        <f>VLOOKUP(tblProductos[[#This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3114</v>
      </c>
      <c r="D739" s="2" t="s">
        <v>4006</v>
      </c>
      <c r="E739" s="2"/>
      <c r="F739" s="2">
        <v>100</v>
      </c>
      <c r="G739" s="2" t="s">
        <v>3842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3843</v>
      </c>
      <c r="N739" s="4"/>
      <c r="O739" s="5"/>
      <c r="P739" s="4"/>
      <c r="Q739" s="21" t="str">
        <f>VLOOKUP(tblProductos[[#This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3114</v>
      </c>
      <c r="D740" s="2" t="s">
        <v>4011</v>
      </c>
      <c r="E740" s="2"/>
      <c r="F740" s="2">
        <v>100</v>
      </c>
      <c r="G740" s="2" t="s">
        <v>3842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3843</v>
      </c>
      <c r="N740" s="4"/>
      <c r="O740" s="5"/>
      <c r="P740" s="4"/>
      <c r="Q740" s="21" t="str">
        <f>VLOOKUP(tblProductos[[#This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3150</v>
      </c>
      <c r="D741" s="2" t="s">
        <v>4029</v>
      </c>
      <c r="E741" s="2"/>
      <c r="F741" s="2">
        <v>50</v>
      </c>
      <c r="G741" s="2" t="s">
        <v>3842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3843</v>
      </c>
      <c r="N741" s="4"/>
      <c r="O741" s="5"/>
      <c r="P741" s="4"/>
      <c r="Q741" s="21" t="str">
        <f>VLOOKUP(tblProductos[[#This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3150</v>
      </c>
      <c r="D742" s="2" t="s">
        <v>3923</v>
      </c>
      <c r="E742" s="2"/>
      <c r="F742" s="2">
        <v>50</v>
      </c>
      <c r="G742" s="2" t="s">
        <v>3842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3843</v>
      </c>
      <c r="N742" s="4"/>
      <c r="O742" s="5"/>
      <c r="P742" s="4"/>
      <c r="Q742" s="21" t="str">
        <f>VLOOKUP(tblProductos[[#This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4042</v>
      </c>
      <c r="D743" s="2" t="s">
        <v>4029</v>
      </c>
      <c r="E743" s="2"/>
      <c r="F743" s="2">
        <v>50</v>
      </c>
      <c r="G743" s="2" t="s">
        <v>3842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3843</v>
      </c>
      <c r="N743" s="4"/>
      <c r="O743" s="5"/>
      <c r="P743" s="4"/>
      <c r="Q743" s="21" t="str">
        <f>VLOOKUP(tblProductos[[#This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3114</v>
      </c>
      <c r="D744" s="2" t="s">
        <v>4019</v>
      </c>
      <c r="E744" s="2"/>
      <c r="F744" s="2">
        <v>100</v>
      </c>
      <c r="G744" s="2" t="s">
        <v>3842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3843</v>
      </c>
      <c r="N744" s="4"/>
      <c r="O744" s="5"/>
      <c r="P744" s="4"/>
      <c r="Q744" s="21" t="str">
        <f>VLOOKUP(tblProductos[[#This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3972</v>
      </c>
      <c r="D745" s="2" t="s">
        <v>4031</v>
      </c>
      <c r="E745" s="2"/>
      <c r="F745" s="2">
        <v>50</v>
      </c>
      <c r="G745" s="2" t="s">
        <v>3842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3843</v>
      </c>
      <c r="N745" s="4"/>
      <c r="O745" s="5"/>
      <c r="P745" s="4"/>
      <c r="Q745" s="21" t="str">
        <f>VLOOKUP(tblProductos[[#This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3972</v>
      </c>
      <c r="D746" s="2" t="s">
        <v>3919</v>
      </c>
      <c r="E746" s="2"/>
      <c r="F746" s="2">
        <v>50</v>
      </c>
      <c r="G746" s="2" t="s">
        <v>3842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3843</v>
      </c>
      <c r="N746" s="4"/>
      <c r="O746" s="5"/>
      <c r="P746" s="4"/>
      <c r="Q746" s="21" t="str">
        <f>VLOOKUP(tblProductos[[#This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4043</v>
      </c>
      <c r="D747" s="2" t="s">
        <v>3841</v>
      </c>
      <c r="E747" s="2">
        <v>2.8</v>
      </c>
      <c r="F747" s="2">
        <v>1</v>
      </c>
      <c r="G747" s="2" t="s">
        <v>3842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4037</v>
      </c>
      <c r="N747" s="4"/>
      <c r="O747" s="5"/>
      <c r="P747" s="4"/>
      <c r="Q747" s="21" t="str">
        <f>VLOOKUP(tblProductos[[#This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3984</v>
      </c>
      <c r="D748" s="2" t="s">
        <v>3888</v>
      </c>
      <c r="E748" s="2"/>
      <c r="F748" s="2">
        <v>100</v>
      </c>
      <c r="G748" s="2" t="s">
        <v>3842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3843</v>
      </c>
      <c r="N748" s="4"/>
      <c r="O748" s="5"/>
      <c r="P748" s="4"/>
      <c r="Q748" s="21" t="str">
        <f>VLOOKUP(tblProductos[[#This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3972</v>
      </c>
      <c r="D749" s="2" t="s">
        <v>4007</v>
      </c>
      <c r="E749" s="2"/>
      <c r="F749" s="2">
        <v>50</v>
      </c>
      <c r="G749" s="2" t="s">
        <v>3842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3843</v>
      </c>
      <c r="N749" s="4"/>
      <c r="O749" s="5"/>
      <c r="P749" s="4"/>
      <c r="Q749" s="21" t="str">
        <f>VLOOKUP(tblProductos[[#This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3972</v>
      </c>
      <c r="D750" s="2" t="s">
        <v>3888</v>
      </c>
      <c r="E750" s="2"/>
      <c r="F750" s="2">
        <v>50</v>
      </c>
      <c r="G750" s="2" t="s">
        <v>3842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3843</v>
      </c>
      <c r="N750" s="4"/>
      <c r="O750" s="5"/>
      <c r="P750" s="4"/>
      <c r="Q750" s="21" t="str">
        <f>VLOOKUP(tblProductos[[#This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3972</v>
      </c>
      <c r="D751" s="2" t="s">
        <v>4013</v>
      </c>
      <c r="E751" s="2"/>
      <c r="F751" s="2">
        <v>50</v>
      </c>
      <c r="G751" s="2" t="s">
        <v>3842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3843</v>
      </c>
      <c r="N751" s="4"/>
      <c r="O751" s="5"/>
      <c r="P751" s="4"/>
      <c r="Q751" s="21" t="str">
        <f>VLOOKUP(tblProductos[[#This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3972</v>
      </c>
      <c r="D752" s="2" t="s">
        <v>4008</v>
      </c>
      <c r="E752" s="2"/>
      <c r="F752" s="2">
        <v>50</v>
      </c>
      <c r="G752" s="2" t="s">
        <v>3842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3843</v>
      </c>
      <c r="N752" s="4"/>
      <c r="O752" s="5"/>
      <c r="P752" s="4"/>
      <c r="Q752" s="21" t="str">
        <f>VLOOKUP(tblProductos[[#This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3972</v>
      </c>
      <c r="D753" s="2" t="s">
        <v>4006</v>
      </c>
      <c r="E753" s="2"/>
      <c r="F753" s="2">
        <v>50</v>
      </c>
      <c r="G753" s="2" t="s">
        <v>3842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3843</v>
      </c>
      <c r="N753" s="4"/>
      <c r="O753" s="5"/>
      <c r="P753" s="4"/>
      <c r="Q753" s="21" t="str">
        <f>VLOOKUP(tblProductos[[#This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3972</v>
      </c>
      <c r="D754" s="2" t="s">
        <v>4024</v>
      </c>
      <c r="E754" s="2"/>
      <c r="F754" s="2">
        <v>50</v>
      </c>
      <c r="G754" s="2" t="s">
        <v>3842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3843</v>
      </c>
      <c r="N754" s="4"/>
      <c r="O754" s="5"/>
      <c r="P754" s="4"/>
      <c r="Q754" s="21" t="str">
        <f>VLOOKUP(tblProductos[[#This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3972</v>
      </c>
      <c r="D755" s="2" t="s">
        <v>4021</v>
      </c>
      <c r="E755" s="2"/>
      <c r="F755" s="2">
        <v>50</v>
      </c>
      <c r="G755" s="2" t="s">
        <v>3842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3843</v>
      </c>
      <c r="N755" s="4"/>
      <c r="O755" s="5"/>
      <c r="P755" s="4"/>
      <c r="Q755" s="21" t="str">
        <f>VLOOKUP(tblProductos[[#This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3857</v>
      </c>
      <c r="D756" s="2" t="s">
        <v>4007</v>
      </c>
      <c r="E756" s="2" t="s">
        <v>3856</v>
      </c>
      <c r="F756" s="2">
        <v>200</v>
      </c>
      <c r="G756" s="2" t="s">
        <v>3842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3843</v>
      </c>
      <c r="N756" s="4"/>
      <c r="O756" s="5"/>
      <c r="P756" s="4"/>
      <c r="Q756" s="21" t="str">
        <f>VLOOKUP(tblProductos[[#This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3953</v>
      </c>
      <c r="D757" s="2" t="s">
        <v>4034</v>
      </c>
      <c r="E757" s="2" t="s">
        <v>3875</v>
      </c>
      <c r="F757" s="2">
        <v>3000</v>
      </c>
      <c r="G757" s="2" t="s">
        <v>3873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3868</v>
      </c>
      <c r="N757" s="4"/>
      <c r="O757" s="5"/>
      <c r="P757" s="4"/>
      <c r="Q757" s="21" t="str">
        <f>VLOOKUP(tblProductos[[#This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3857</v>
      </c>
      <c r="D758" s="2" t="s">
        <v>4012</v>
      </c>
      <c r="E758" s="2" t="s">
        <v>3856</v>
      </c>
      <c r="F758" s="2">
        <v>200</v>
      </c>
      <c r="G758" s="2" t="s">
        <v>3842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3843</v>
      </c>
      <c r="N758" s="4"/>
      <c r="O758" s="5"/>
      <c r="P758" s="4"/>
      <c r="Q758" s="21" t="str">
        <f>VLOOKUP(tblProductos[[#This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3984</v>
      </c>
      <c r="D759" s="2" t="s">
        <v>4019</v>
      </c>
      <c r="E759" s="2"/>
      <c r="F759" s="2">
        <v>100</v>
      </c>
      <c r="G759" s="2" t="s">
        <v>3842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3843</v>
      </c>
      <c r="N759" s="4"/>
      <c r="O759" s="5"/>
      <c r="P759" s="4"/>
      <c r="Q759" s="21" t="str">
        <f>VLOOKUP(tblProductos[[#This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3857</v>
      </c>
      <c r="D760" s="2" t="s">
        <v>3923</v>
      </c>
      <c r="E760" s="2" t="s">
        <v>3856</v>
      </c>
      <c r="F760" s="2">
        <v>200</v>
      </c>
      <c r="G760" s="2" t="s">
        <v>3842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3843</v>
      </c>
      <c r="N760" s="4"/>
      <c r="O760" s="5"/>
      <c r="P760" s="4"/>
      <c r="Q760" s="21" t="str">
        <f>VLOOKUP(tblProductos[[#This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3947</v>
      </c>
      <c r="D761" s="2" t="s">
        <v>4007</v>
      </c>
      <c r="E761" s="2"/>
      <c r="F761" s="2">
        <v>500</v>
      </c>
      <c r="G761" s="2" t="s">
        <v>3873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3868</v>
      </c>
      <c r="N761" s="4"/>
      <c r="O761" s="5"/>
      <c r="P761" s="4"/>
      <c r="Q761" s="21" t="str">
        <f>VLOOKUP(tblProductos[[#This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3947</v>
      </c>
      <c r="D762" s="2" t="s">
        <v>3919</v>
      </c>
      <c r="E762" s="2"/>
      <c r="F762" s="2">
        <v>500</v>
      </c>
      <c r="G762" s="2" t="s">
        <v>3873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3868</v>
      </c>
      <c r="N762" s="4"/>
      <c r="O762" s="5"/>
      <c r="P762" s="4"/>
      <c r="Q762" s="21" t="str">
        <f>VLOOKUP(tblProductos[[#This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3947</v>
      </c>
      <c r="D763" s="2" t="s">
        <v>4029</v>
      </c>
      <c r="E763" s="2"/>
      <c r="F763" s="2">
        <v>500</v>
      </c>
      <c r="G763" s="2" t="s">
        <v>3873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3868</v>
      </c>
      <c r="N763" s="4"/>
      <c r="O763" s="5"/>
      <c r="P763" s="4"/>
      <c r="Q763" s="21" t="str">
        <f>VLOOKUP(tblProductos[[#This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3857</v>
      </c>
      <c r="D764" s="2" t="s">
        <v>3841</v>
      </c>
      <c r="E764" s="2" t="s">
        <v>3856</v>
      </c>
      <c r="F764" s="2">
        <v>200</v>
      </c>
      <c r="G764" s="2" t="s">
        <v>3842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3843</v>
      </c>
      <c r="N764" s="4"/>
      <c r="O764" s="5"/>
      <c r="P764" s="4"/>
      <c r="Q764" s="21" t="str">
        <f>VLOOKUP(tblProductos[[#This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4044</v>
      </c>
      <c r="D765" s="2" t="s">
        <v>3841</v>
      </c>
      <c r="E765" s="2" t="s">
        <v>3879</v>
      </c>
      <c r="F765" s="2">
        <v>120</v>
      </c>
      <c r="G765" s="2" t="s">
        <v>3873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3868</v>
      </c>
      <c r="N765" s="4"/>
      <c r="O765" s="5"/>
      <c r="P765" s="4"/>
      <c r="Q765" s="21" t="str">
        <f>VLOOKUP(tblProductos[[#This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4045</v>
      </c>
      <c r="D766" s="2" t="s">
        <v>3841</v>
      </c>
      <c r="E766" s="2"/>
      <c r="F766" s="2">
        <v>50</v>
      </c>
      <c r="G766" s="2" t="s">
        <v>3842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3843</v>
      </c>
      <c r="N766" s="4"/>
      <c r="O766" s="5"/>
      <c r="P766" s="4"/>
      <c r="Q766" s="21" t="str">
        <f>VLOOKUP(tblProductos[[#This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3963</v>
      </c>
      <c r="D767" s="2" t="s">
        <v>4029</v>
      </c>
      <c r="E767" s="2" t="s">
        <v>3879</v>
      </c>
      <c r="F767" s="2">
        <v>500</v>
      </c>
      <c r="G767" s="2" t="s">
        <v>3886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3882</v>
      </c>
      <c r="N767" s="4"/>
      <c r="O767" s="5"/>
      <c r="P767" s="4"/>
      <c r="Q767" s="21" t="str">
        <f>VLOOKUP(tblProductos[[#This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3958</v>
      </c>
      <c r="D768" s="2" t="s">
        <v>4029</v>
      </c>
      <c r="E768" s="2" t="s">
        <v>3875</v>
      </c>
      <c r="F768" s="2">
        <v>1000</v>
      </c>
      <c r="G768" s="2" t="s">
        <v>3886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3882</v>
      </c>
      <c r="N768" s="4"/>
      <c r="O768" s="5"/>
      <c r="P768" s="4"/>
      <c r="Q768" s="21" t="str">
        <f>VLOOKUP(tblProductos[[#This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3928</v>
      </c>
      <c r="D769" s="2" t="s">
        <v>3923</v>
      </c>
      <c r="E769" s="2" t="s">
        <v>3927</v>
      </c>
      <c r="F769" s="2">
        <v>300</v>
      </c>
      <c r="G769" s="2" t="s">
        <v>3842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3925</v>
      </c>
      <c r="N769" s="4"/>
      <c r="O769" s="5"/>
      <c r="P769" s="4"/>
      <c r="Q769" s="21" t="str">
        <f>VLOOKUP(tblProductos[[#This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3929</v>
      </c>
      <c r="D770" s="2" t="s">
        <v>3923</v>
      </c>
      <c r="E770" s="2" t="s">
        <v>3930</v>
      </c>
      <c r="F770" s="2">
        <v>150</v>
      </c>
      <c r="G770" s="2" t="s">
        <v>3842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3925</v>
      </c>
      <c r="N770" s="4"/>
      <c r="O770" s="5"/>
      <c r="P770" s="4"/>
      <c r="Q770" s="21" t="str">
        <f>VLOOKUP(tblProductos[[#This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3931</v>
      </c>
      <c r="D771" s="2" t="s">
        <v>3923</v>
      </c>
      <c r="E771" s="2" t="s">
        <v>3894</v>
      </c>
      <c r="F771" s="2">
        <v>100</v>
      </c>
      <c r="G771" s="2" t="s">
        <v>3842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3925</v>
      </c>
      <c r="N771" s="4"/>
      <c r="O771" s="5"/>
      <c r="P771" s="4"/>
      <c r="Q771" s="21" t="str">
        <f>VLOOKUP(tblProductos[[#This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3934</v>
      </c>
      <c r="D772" s="2" t="s">
        <v>3923</v>
      </c>
      <c r="E772" s="2" t="s">
        <v>3935</v>
      </c>
      <c r="F772" s="2">
        <v>50</v>
      </c>
      <c r="G772" s="2" t="s">
        <v>3842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3925</v>
      </c>
      <c r="N772" s="4"/>
      <c r="O772" s="5"/>
      <c r="P772" s="4"/>
      <c r="Q772" s="21" t="str">
        <f>VLOOKUP(tblProductos[[#This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3934</v>
      </c>
      <c r="D773" s="2" t="s">
        <v>3841</v>
      </c>
      <c r="E773" s="2" t="s">
        <v>3935</v>
      </c>
      <c r="F773" s="2">
        <v>50</v>
      </c>
      <c r="G773" s="2" t="s">
        <v>3842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3925</v>
      </c>
      <c r="N773" s="4"/>
      <c r="O773" s="5"/>
      <c r="P773" s="4"/>
      <c r="Q773" s="21" t="str">
        <f>VLOOKUP(tblProductos[[#This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3936</v>
      </c>
      <c r="D774" s="2" t="s">
        <v>3923</v>
      </c>
      <c r="E774" s="2" t="s">
        <v>3935</v>
      </c>
      <c r="F774" s="2">
        <v>50</v>
      </c>
      <c r="G774" s="2" t="s">
        <v>3842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3925</v>
      </c>
      <c r="N774" s="4"/>
      <c r="O774" s="5"/>
      <c r="P774" s="4"/>
      <c r="Q774" s="21" t="str">
        <f>VLOOKUP(tblProductos[[#This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3936</v>
      </c>
      <c r="D775" s="2" t="s">
        <v>3841</v>
      </c>
      <c r="E775" s="2" t="s">
        <v>3935</v>
      </c>
      <c r="F775" s="2">
        <v>50</v>
      </c>
      <c r="G775" s="2" t="s">
        <v>3842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3925</v>
      </c>
      <c r="N775" s="4"/>
      <c r="O775" s="5"/>
      <c r="P775" s="4"/>
      <c r="Q775" s="21" t="str">
        <f>VLOOKUP(tblProductos[[#This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3937</v>
      </c>
      <c r="D776" s="2" t="s">
        <v>3923</v>
      </c>
      <c r="E776" s="2" t="s">
        <v>3938</v>
      </c>
      <c r="F776" s="2">
        <v>30</v>
      </c>
      <c r="G776" s="2" t="s">
        <v>3842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3925</v>
      </c>
      <c r="N776" s="4"/>
      <c r="O776" s="5"/>
      <c r="P776" s="4"/>
      <c r="Q776" s="21" t="str">
        <f>VLOOKUP(tblProductos[[#This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3939</v>
      </c>
      <c r="D777" s="2" t="s">
        <v>3923</v>
      </c>
      <c r="E777" s="2" t="s">
        <v>3938</v>
      </c>
      <c r="F777" s="2">
        <v>30</v>
      </c>
      <c r="G777" s="2" t="s">
        <v>3842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3925</v>
      </c>
      <c r="N777" s="4"/>
      <c r="O777" s="5"/>
      <c r="P777" s="4"/>
      <c r="Q777" s="21" t="str">
        <f>VLOOKUP(tblProductos[[#This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3939</v>
      </c>
      <c r="D778" s="2" t="s">
        <v>3841</v>
      </c>
      <c r="E778" s="2" t="s">
        <v>3938</v>
      </c>
      <c r="F778" s="2">
        <v>30</v>
      </c>
      <c r="G778" s="2" t="s">
        <v>3842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3925</v>
      </c>
      <c r="N778" s="4"/>
      <c r="O778" s="5"/>
      <c r="P778" s="4"/>
      <c r="Q778" s="21" t="str">
        <f>VLOOKUP(tblProductos[[#This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4046</v>
      </c>
      <c r="D779" s="2" t="s">
        <v>3923</v>
      </c>
      <c r="E779" s="2" t="s">
        <v>3901</v>
      </c>
      <c r="F779" s="2">
        <v>25</v>
      </c>
      <c r="G779" s="2" t="s">
        <v>3842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3925</v>
      </c>
      <c r="N779" s="4"/>
      <c r="O779" s="5"/>
      <c r="P779" s="4"/>
      <c r="Q779" s="21" t="str">
        <f>VLOOKUP(tblProductos[[#This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4046</v>
      </c>
      <c r="D780" s="2" t="s">
        <v>3841</v>
      </c>
      <c r="E780" s="2" t="s">
        <v>3901</v>
      </c>
      <c r="F780" s="2">
        <v>25</v>
      </c>
      <c r="G780" s="2" t="s">
        <v>3842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3925</v>
      </c>
      <c r="N780" s="4"/>
      <c r="O780" s="5"/>
      <c r="P780" s="4"/>
      <c r="Q780" s="21" t="str">
        <f>VLOOKUP(tblProductos[[#This Row],[id_proveedor]],tblProveedores[[#All],[id]:[nombre]],2,0)</f>
        <v>BERNARDO ABRIL</v>
      </c>
    </row>
    <row r="781" spans="1:17" x14ac:dyDescent="0.25">
      <c r="A781" s="1">
        <v>1352</v>
      </c>
      <c r="B781" s="1">
        <v>58</v>
      </c>
      <c r="C781" s="2" t="s">
        <v>3934</v>
      </c>
      <c r="D781" s="2" t="s">
        <v>3841</v>
      </c>
      <c r="E781" s="2" t="s">
        <v>3935</v>
      </c>
      <c r="F781" s="2">
        <v>50</v>
      </c>
      <c r="G781" s="2" t="s">
        <v>3842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3925</v>
      </c>
      <c r="N781" s="4"/>
      <c r="O781" s="5"/>
      <c r="P781" s="4"/>
      <c r="Q781" s="21" t="str">
        <f>VLOOKUP(tblProductos[[#This Row],[id_proveedor]],tblProveedores[[#All],[id]:[nombre]],2,0)</f>
        <v>WILSON ROJAS</v>
      </c>
    </row>
    <row r="782" spans="1:17" x14ac:dyDescent="0.25">
      <c r="A782" s="1">
        <v>1353</v>
      </c>
      <c r="B782" s="1">
        <v>58</v>
      </c>
      <c r="C782" s="2" t="s">
        <v>3936</v>
      </c>
      <c r="D782" s="2" t="s">
        <v>3841</v>
      </c>
      <c r="E782" s="2" t="s">
        <v>3935</v>
      </c>
      <c r="F782" s="2">
        <v>50</v>
      </c>
      <c r="G782" s="2" t="s">
        <v>3842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3925</v>
      </c>
      <c r="N782" s="4"/>
      <c r="O782" s="5"/>
      <c r="P782" s="4"/>
      <c r="Q782" s="21" t="str">
        <f>VLOOKUP(tblProductos[[#This Row],[id_proveedor]],tblProveedores[[#All],[id]:[nombre]],2,0)</f>
        <v>WILSON ROJAS</v>
      </c>
    </row>
    <row r="783" spans="1:17" x14ac:dyDescent="0.25">
      <c r="A783" s="1">
        <v>1354</v>
      </c>
      <c r="B783" s="1">
        <v>58</v>
      </c>
      <c r="C783" s="2" t="s">
        <v>3939</v>
      </c>
      <c r="D783" s="2" t="s">
        <v>3841</v>
      </c>
      <c r="E783" s="2" t="s">
        <v>3938</v>
      </c>
      <c r="F783" s="2">
        <v>30</v>
      </c>
      <c r="G783" s="2" t="s">
        <v>3842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3925</v>
      </c>
      <c r="N783" s="4"/>
      <c r="O783" s="5"/>
      <c r="P783" s="4"/>
      <c r="Q783" s="21" t="str">
        <f>VLOOKUP(tblProductos[[#This Row],[id_proveedor]],tblProveedores[[#All],[id]:[nombre]],2,0)</f>
        <v>WILSON ROJAS</v>
      </c>
    </row>
    <row r="784" spans="1:17" x14ac:dyDescent="0.25">
      <c r="A784" s="1">
        <v>1355</v>
      </c>
      <c r="B784" s="1">
        <v>58</v>
      </c>
      <c r="C784" s="2" t="s">
        <v>4047</v>
      </c>
      <c r="D784" s="2" t="s">
        <v>3923</v>
      </c>
      <c r="E784" s="2" t="s">
        <v>4048</v>
      </c>
      <c r="F784" s="2">
        <v>8</v>
      </c>
      <c r="G784" s="2" t="s">
        <v>3886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3925</v>
      </c>
      <c r="N784" s="4"/>
      <c r="O784" s="5"/>
      <c r="P784" s="4"/>
      <c r="Q784" s="21" t="str">
        <f>VLOOKUP(tblProductos[[#This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4049</v>
      </c>
      <c r="D785" s="2" t="s">
        <v>3841</v>
      </c>
      <c r="E785" s="2" t="s">
        <v>3875</v>
      </c>
      <c r="F785" s="2">
        <v>1000</v>
      </c>
      <c r="G785" s="2" t="s">
        <v>3873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3868</v>
      </c>
      <c r="N785" s="4"/>
      <c r="O785" s="5">
        <v>2</v>
      </c>
      <c r="P785" s="4"/>
      <c r="Q785" s="21" t="str">
        <f>VLOOKUP(tblProductos[[#This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4049</v>
      </c>
      <c r="D786" s="2" t="s">
        <v>4008</v>
      </c>
      <c r="E786" s="2" t="s">
        <v>3875</v>
      </c>
      <c r="F786" s="2">
        <v>1000</v>
      </c>
      <c r="G786" s="2" t="s">
        <v>3873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3868</v>
      </c>
      <c r="N786" s="4"/>
      <c r="O786" s="5"/>
      <c r="P786" s="4"/>
      <c r="Q786" s="21" t="str">
        <f>VLOOKUP(tblProductos[[#This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4049</v>
      </c>
      <c r="D787" s="2" t="s">
        <v>4006</v>
      </c>
      <c r="E787" s="2" t="s">
        <v>3875</v>
      </c>
      <c r="F787" s="2">
        <v>1000</v>
      </c>
      <c r="G787" s="2" t="s">
        <v>3873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3868</v>
      </c>
      <c r="N787" s="4"/>
      <c r="O787" s="5"/>
      <c r="P787" s="4"/>
      <c r="Q787" s="21" t="str">
        <f>VLOOKUP(tblProductos[[#This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4049</v>
      </c>
      <c r="D788" s="2" t="s">
        <v>4009</v>
      </c>
      <c r="E788" s="2" t="s">
        <v>3875</v>
      </c>
      <c r="F788" s="2">
        <v>1000</v>
      </c>
      <c r="G788" s="2" t="s">
        <v>3873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3868</v>
      </c>
      <c r="N788" s="4"/>
      <c r="O788" s="5"/>
      <c r="P788" s="4"/>
      <c r="Q788" s="21" t="str">
        <f>VLOOKUP(tblProductos[[#This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4049</v>
      </c>
      <c r="D789" s="2" t="s">
        <v>3919</v>
      </c>
      <c r="E789" s="2" t="s">
        <v>3875</v>
      </c>
      <c r="F789" s="2">
        <v>1000</v>
      </c>
      <c r="G789" s="2" t="s">
        <v>3873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3868</v>
      </c>
      <c r="N789" s="4"/>
      <c r="O789" s="5"/>
      <c r="P789" s="4"/>
      <c r="Q789" s="21" t="str">
        <f>VLOOKUP(tblProductos[[#This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4049</v>
      </c>
      <c r="D790" s="2" t="s">
        <v>4021</v>
      </c>
      <c r="E790" s="2" t="s">
        <v>3875</v>
      </c>
      <c r="F790" s="2">
        <v>1000</v>
      </c>
      <c r="G790" s="2" t="s">
        <v>3873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3868</v>
      </c>
      <c r="N790" s="4"/>
      <c r="O790" s="5"/>
      <c r="P790" s="4"/>
      <c r="Q790" s="21" t="str">
        <f>VLOOKUP(tblProductos[[#This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4049</v>
      </c>
      <c r="D791" s="2" t="s">
        <v>4007</v>
      </c>
      <c r="E791" s="2" t="s">
        <v>3875</v>
      </c>
      <c r="F791" s="2">
        <v>1000</v>
      </c>
      <c r="G791" s="2" t="s">
        <v>3873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3868</v>
      </c>
      <c r="N791" s="4"/>
      <c r="O791" s="5"/>
      <c r="P791" s="4"/>
      <c r="Q791" s="21" t="str">
        <f>VLOOKUP(tblProductos[[#This Row],[id_proveedor]],tblProveedores[[#All],[id]:[nombre]],2,0)</f>
        <v>JORGE MEDINA</v>
      </c>
    </row>
    <row r="792" spans="1:17" x14ac:dyDescent="0.25">
      <c r="A792" s="1">
        <v>1363</v>
      </c>
      <c r="B792" s="1">
        <v>58</v>
      </c>
      <c r="C792" s="2" t="s">
        <v>4050</v>
      </c>
      <c r="D792" s="2" t="s">
        <v>3841</v>
      </c>
      <c r="E792" s="2" t="s">
        <v>4051</v>
      </c>
      <c r="F792" s="2">
        <v>7</v>
      </c>
      <c r="G792" s="2" t="s">
        <v>3886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3925</v>
      </c>
      <c r="N792" s="4"/>
      <c r="O792" s="5"/>
      <c r="P792" s="4"/>
      <c r="Q792" s="21" t="str">
        <f>VLOOKUP(tblProductos[[#This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3961</v>
      </c>
      <c r="D793" s="2" t="s">
        <v>4029</v>
      </c>
      <c r="E793" s="2" t="s">
        <v>3889</v>
      </c>
      <c r="F793" s="2">
        <v>500</v>
      </c>
      <c r="G793" s="2" t="s">
        <v>3886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3882</v>
      </c>
      <c r="N793" s="4"/>
      <c r="O793" s="5"/>
      <c r="P793" s="4"/>
      <c r="Q793" s="21" t="str">
        <f>VLOOKUP(tblProductos[[#This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3984</v>
      </c>
      <c r="D794" s="2" t="s">
        <v>3841</v>
      </c>
      <c r="E794" s="2"/>
      <c r="F794" s="2">
        <v>100</v>
      </c>
      <c r="G794" s="2" t="s">
        <v>3842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3843</v>
      </c>
      <c r="N794" s="4"/>
      <c r="O794" s="5"/>
      <c r="P794" s="4"/>
      <c r="Q794" s="21" t="str">
        <f>VLOOKUP(tblProductos[[#This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3947</v>
      </c>
      <c r="D795" s="2" t="s">
        <v>4006</v>
      </c>
      <c r="E795" s="2"/>
      <c r="F795" s="2">
        <v>500</v>
      </c>
      <c r="G795" s="2" t="s">
        <v>3873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3868</v>
      </c>
      <c r="N795" s="4"/>
      <c r="O795" s="5"/>
      <c r="P795" s="4"/>
      <c r="Q795" s="21" t="str">
        <f>VLOOKUP(tblProductos[[#This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3947</v>
      </c>
      <c r="D796" s="2" t="s">
        <v>4008</v>
      </c>
      <c r="E796" s="2"/>
      <c r="F796" s="2">
        <v>500</v>
      </c>
      <c r="G796" s="2" t="s">
        <v>3873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3868</v>
      </c>
      <c r="N796" s="4"/>
      <c r="O796" s="5"/>
      <c r="P796" s="4"/>
      <c r="Q796" s="21" t="str">
        <f>VLOOKUP(tblProductos[[#This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4052</v>
      </c>
      <c r="D797" s="2" t="s">
        <v>3841</v>
      </c>
      <c r="E797" s="2"/>
      <c r="F797" s="2">
        <v>50</v>
      </c>
      <c r="G797" s="2" t="s">
        <v>3842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3843</v>
      </c>
      <c r="N797" s="4"/>
      <c r="O797" s="5"/>
      <c r="P797" s="4"/>
      <c r="Q797" s="21" t="str">
        <f>VLOOKUP(tblProductos[[#This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4036</v>
      </c>
      <c r="D798" s="2" t="s">
        <v>3888</v>
      </c>
      <c r="E798" s="2"/>
      <c r="F798" s="2">
        <v>1</v>
      </c>
      <c r="G798" s="2" t="s">
        <v>3842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4037</v>
      </c>
      <c r="N798" s="4"/>
      <c r="O798" s="5"/>
      <c r="P798" s="4"/>
      <c r="Q798" s="21" t="str">
        <f>VLOOKUP(tblProductos[[#This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4053</v>
      </c>
      <c r="D799" s="2" t="s">
        <v>3841</v>
      </c>
      <c r="E799" s="2"/>
      <c r="F799" s="2">
        <v>1000</v>
      </c>
      <c r="G799" s="2" t="s">
        <v>3873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3868</v>
      </c>
      <c r="N799" s="4"/>
      <c r="O799" s="5"/>
      <c r="P799" s="4"/>
      <c r="Q799" s="21" t="str">
        <f>VLOOKUP(tblProductos[[#This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4053</v>
      </c>
      <c r="D800" s="2" t="s">
        <v>4006</v>
      </c>
      <c r="E800" s="2"/>
      <c r="F800" s="2">
        <v>1000</v>
      </c>
      <c r="G800" s="2" t="s">
        <v>3873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3868</v>
      </c>
      <c r="N800" s="4"/>
      <c r="O800" s="5"/>
      <c r="P800" s="4"/>
      <c r="Q800" s="21" t="str">
        <f>VLOOKUP(tblProductos[[#This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4053</v>
      </c>
      <c r="D801" s="2" t="s">
        <v>3919</v>
      </c>
      <c r="E801" s="2"/>
      <c r="F801" s="2">
        <v>1000</v>
      </c>
      <c r="G801" s="2" t="s">
        <v>3873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3868</v>
      </c>
      <c r="N801" s="4"/>
      <c r="O801" s="5"/>
      <c r="P801" s="4"/>
      <c r="Q801" s="21" t="str">
        <f>VLOOKUP(tblProductos[[#This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3971</v>
      </c>
      <c r="D802" s="2" t="s">
        <v>4029</v>
      </c>
      <c r="E802" s="2"/>
      <c r="F802" s="2">
        <v>50</v>
      </c>
      <c r="G802" s="2" t="s">
        <v>3842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3843</v>
      </c>
      <c r="N802" s="4"/>
      <c r="O802" s="5"/>
      <c r="P802" s="4"/>
      <c r="Q802" s="21" t="str">
        <f>VLOOKUP(tblProductos[[#This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3971</v>
      </c>
      <c r="D803" s="2" t="s">
        <v>4007</v>
      </c>
      <c r="E803" s="2"/>
      <c r="F803" s="2">
        <v>50</v>
      </c>
      <c r="G803" s="2" t="s">
        <v>3842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3843</v>
      </c>
      <c r="N803" s="4"/>
      <c r="O803" s="5"/>
      <c r="P803" s="4"/>
      <c r="Q803" s="21" t="str">
        <f>VLOOKUP(tblProductos[[#This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3971</v>
      </c>
      <c r="D804" s="2" t="s">
        <v>4054</v>
      </c>
      <c r="E804" s="2"/>
      <c r="F804" s="2">
        <v>50</v>
      </c>
      <c r="G804" s="2" t="s">
        <v>3842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3843</v>
      </c>
      <c r="N804" s="4"/>
      <c r="O804" s="5"/>
      <c r="P804" s="4"/>
      <c r="Q804" s="21" t="str">
        <f>VLOOKUP(tblProductos[[#This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3965</v>
      </c>
      <c r="D805" s="2" t="s">
        <v>3841</v>
      </c>
      <c r="E805" s="2" t="s">
        <v>3875</v>
      </c>
      <c r="F805" s="2">
        <v>500</v>
      </c>
      <c r="G805" s="2" t="s">
        <v>3886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3882</v>
      </c>
      <c r="N805" s="4"/>
      <c r="O805" s="5"/>
      <c r="P805" s="4"/>
      <c r="Q805" s="21" t="str">
        <f>VLOOKUP(tblProductos[[#This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3952</v>
      </c>
      <c r="D806" s="2" t="s">
        <v>4029</v>
      </c>
      <c r="E806" s="2"/>
      <c r="F806" s="2">
        <v>50</v>
      </c>
      <c r="G806" s="2" t="s">
        <v>3842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3843</v>
      </c>
      <c r="N806" s="4"/>
      <c r="O806" s="5"/>
      <c r="P806" s="4"/>
      <c r="Q806" s="21" t="str">
        <f>VLOOKUP(tblProductos[[#This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4005</v>
      </c>
      <c r="D807" s="2" t="s">
        <v>4012</v>
      </c>
      <c r="E807" s="2"/>
      <c r="F807" s="2">
        <v>1800</v>
      </c>
      <c r="G807" s="2" t="s">
        <v>3873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3913</v>
      </c>
      <c r="N807" s="4"/>
      <c r="O807" s="5"/>
      <c r="P807" s="4"/>
      <c r="Q807" s="21" t="str">
        <f>VLOOKUP(tblProductos[[#This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4055</v>
      </c>
      <c r="D808" s="2" t="s">
        <v>4029</v>
      </c>
      <c r="E808" s="2"/>
      <c r="F808" s="2">
        <v>30</v>
      </c>
      <c r="G808" s="2" t="s">
        <v>3842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3843</v>
      </c>
      <c r="N808" s="4"/>
      <c r="O808" s="5"/>
      <c r="P808" s="4"/>
      <c r="Q808" s="21" t="str">
        <f>VLOOKUP(tblProductos[[#This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4055</v>
      </c>
      <c r="D809" s="2" t="s">
        <v>4019</v>
      </c>
      <c r="E809" s="2"/>
      <c r="F809" s="2">
        <v>30</v>
      </c>
      <c r="G809" s="2" t="s">
        <v>3842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3843</v>
      </c>
      <c r="N809" s="4"/>
      <c r="O809" s="5">
        <v>10</v>
      </c>
      <c r="P809" s="4"/>
      <c r="Q809" s="21" t="str">
        <f>VLOOKUP(tblProductos[[#This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4055</v>
      </c>
      <c r="D810" s="2" t="s">
        <v>4056</v>
      </c>
      <c r="E810" s="2"/>
      <c r="F810" s="2">
        <v>30</v>
      </c>
      <c r="G810" s="2" t="s">
        <v>3842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3843</v>
      </c>
      <c r="N810" s="4"/>
      <c r="O810" s="5"/>
      <c r="P810" s="4"/>
      <c r="Q810" s="21" t="str">
        <f>VLOOKUP(tblProductos[[#This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4055</v>
      </c>
      <c r="D811" s="2" t="s">
        <v>4012</v>
      </c>
      <c r="E811" s="2"/>
      <c r="F811" s="2">
        <v>30</v>
      </c>
      <c r="G811" s="2" t="s">
        <v>3842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3843</v>
      </c>
      <c r="N811" s="4"/>
      <c r="O811" s="5">
        <v>20</v>
      </c>
      <c r="P811" s="4"/>
      <c r="Q811" s="21" t="str">
        <f>VLOOKUP(tblProductos[[#This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4057</v>
      </c>
      <c r="D812" s="2" t="s">
        <v>4029</v>
      </c>
      <c r="E812" s="2"/>
      <c r="F812" s="2">
        <v>30</v>
      </c>
      <c r="G812" s="2" t="s">
        <v>3842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3843</v>
      </c>
      <c r="N812" s="4"/>
      <c r="O812" s="5">
        <v>40</v>
      </c>
      <c r="P812" s="4"/>
      <c r="Q812" s="21" t="str">
        <f>VLOOKUP(tblProductos[[#This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4057</v>
      </c>
      <c r="D813" s="2" t="s">
        <v>3841</v>
      </c>
      <c r="E813" s="2"/>
      <c r="F813" s="2">
        <v>30</v>
      </c>
      <c r="G813" s="2" t="s">
        <v>3842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3843</v>
      </c>
      <c r="N813" s="4"/>
      <c r="O813" s="5">
        <v>20</v>
      </c>
      <c r="P813" s="4"/>
      <c r="Q813" s="21" t="str">
        <f>VLOOKUP(tblProductos[[#This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3910</v>
      </c>
      <c r="D814" s="2" t="s">
        <v>4009</v>
      </c>
      <c r="E814" s="2" t="s">
        <v>3875</v>
      </c>
      <c r="F814" s="2">
        <v>250</v>
      </c>
      <c r="G814" s="2" t="s">
        <v>3886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3895</v>
      </c>
      <c r="N814" s="4"/>
      <c r="O814" s="5"/>
      <c r="P814" s="4"/>
      <c r="Q814" s="21" t="str">
        <f>VLOOKUP(tblProductos[[#This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4058</v>
      </c>
      <c r="D815" s="2" t="s">
        <v>3888</v>
      </c>
      <c r="E815" s="2" t="s">
        <v>4059</v>
      </c>
      <c r="F815" s="2">
        <v>100</v>
      </c>
      <c r="G815" s="2" t="s">
        <v>3842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3843</v>
      </c>
      <c r="N815" s="4"/>
      <c r="O815" s="5"/>
      <c r="P815" s="4"/>
      <c r="Q815" s="21" t="str">
        <f>VLOOKUP(tblProductos[[#This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4060</v>
      </c>
      <c r="D816" s="2" t="s">
        <v>3888</v>
      </c>
      <c r="E816" s="2" t="s">
        <v>4059</v>
      </c>
      <c r="F816" s="2">
        <v>100</v>
      </c>
      <c r="G816" s="2" t="s">
        <v>3842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3843</v>
      </c>
      <c r="N816" s="4"/>
      <c r="O816" s="5"/>
      <c r="P816" s="4"/>
      <c r="Q816" s="21" t="str">
        <f>VLOOKUP(tblProductos[[#This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3984</v>
      </c>
      <c r="D817" s="2" t="s">
        <v>4021</v>
      </c>
      <c r="E817" s="2"/>
      <c r="F817" s="2">
        <v>100</v>
      </c>
      <c r="G817" s="2" t="s">
        <v>3842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3843</v>
      </c>
      <c r="N817" s="4"/>
      <c r="O817" s="5"/>
      <c r="P817" s="4"/>
      <c r="Q817" s="21" t="str">
        <f>VLOOKUP(tblProductos[[#This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3984</v>
      </c>
      <c r="D818" s="2" t="s">
        <v>4034</v>
      </c>
      <c r="E818" s="2"/>
      <c r="F818" s="2">
        <v>100</v>
      </c>
      <c r="G818" s="2" t="s">
        <v>3842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3843</v>
      </c>
      <c r="N818" s="4"/>
      <c r="O818" s="5"/>
      <c r="P818" s="4"/>
      <c r="Q818" s="21" t="str">
        <f>VLOOKUP(tblProductos[[#This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3959</v>
      </c>
      <c r="D819" s="2" t="s">
        <v>4019</v>
      </c>
      <c r="E819" s="2" t="s">
        <v>3877</v>
      </c>
      <c r="F819" s="2">
        <v>500</v>
      </c>
      <c r="G819" s="2" t="s">
        <v>3886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3882</v>
      </c>
      <c r="N819" s="4"/>
      <c r="O819" s="5"/>
      <c r="P819" s="4"/>
      <c r="Q819" s="21" t="str">
        <f>VLOOKUP(tblProductos[[#This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4061</v>
      </c>
      <c r="D820" s="2" t="s">
        <v>4020</v>
      </c>
      <c r="E820" s="2"/>
      <c r="F820" s="2">
        <v>50</v>
      </c>
      <c r="G820" s="2" t="s">
        <v>3842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3843</v>
      </c>
      <c r="N820" s="4"/>
      <c r="O820" s="5"/>
      <c r="P820" s="4"/>
      <c r="Q820" s="21" t="str">
        <f>VLOOKUP(tblProductos[[#This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4062</v>
      </c>
      <c r="D821" s="2" t="s">
        <v>3841</v>
      </c>
      <c r="E821" s="2" t="s">
        <v>3889</v>
      </c>
      <c r="F821" s="2">
        <v>1000</v>
      </c>
      <c r="G821" s="2" t="s">
        <v>3873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3868</v>
      </c>
      <c r="N821" s="4"/>
      <c r="O821" s="5"/>
      <c r="P821" s="4"/>
      <c r="Q821" s="21" t="str">
        <f>VLOOKUP(tblProductos[[#This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3962</v>
      </c>
      <c r="D822" s="2" t="s">
        <v>3841</v>
      </c>
      <c r="E822" s="2" t="s">
        <v>3877</v>
      </c>
      <c r="F822" s="2">
        <v>1000</v>
      </c>
      <c r="G822" s="2" t="s">
        <v>3886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3882</v>
      </c>
      <c r="N822" s="4"/>
      <c r="O822" s="5"/>
      <c r="P822" s="4"/>
      <c r="Q822" s="21" t="str">
        <f>VLOOKUP(tblProductos[[#This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3963</v>
      </c>
      <c r="D823" s="2" t="s">
        <v>3841</v>
      </c>
      <c r="E823" s="2" t="s">
        <v>3879</v>
      </c>
      <c r="F823" s="2">
        <v>1000</v>
      </c>
      <c r="G823" s="2" t="s">
        <v>3886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3882</v>
      </c>
      <c r="N823" s="4"/>
      <c r="O823" s="5"/>
      <c r="P823" s="4"/>
      <c r="Q823" s="21" t="str">
        <f>VLOOKUP(tblProductos[[#This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3970</v>
      </c>
      <c r="D824" s="2" t="s">
        <v>4023</v>
      </c>
      <c r="E824" s="2" t="s">
        <v>3875</v>
      </c>
      <c r="F824" s="2">
        <v>500</v>
      </c>
      <c r="G824" s="2" t="s">
        <v>3886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3882</v>
      </c>
      <c r="N824" s="4"/>
      <c r="O824" s="5"/>
      <c r="P824" s="4"/>
      <c r="Q824" s="21" t="str">
        <f>VLOOKUP(tblProductos[[#This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3970</v>
      </c>
      <c r="D825" s="2" t="s">
        <v>4022</v>
      </c>
      <c r="E825" s="2" t="s">
        <v>3875</v>
      </c>
      <c r="F825" s="2">
        <v>500</v>
      </c>
      <c r="G825" s="2" t="s">
        <v>3886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3882</v>
      </c>
      <c r="N825" s="4"/>
      <c r="O825" s="5"/>
      <c r="P825" s="4"/>
      <c r="Q825" s="21" t="str">
        <f>VLOOKUP(tblProductos[[#This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3970</v>
      </c>
      <c r="D826" s="2" t="s">
        <v>4016</v>
      </c>
      <c r="E826" s="2" t="s">
        <v>3875</v>
      </c>
      <c r="F826" s="2">
        <v>500</v>
      </c>
      <c r="G826" s="2" t="s">
        <v>3886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3882</v>
      </c>
      <c r="N826" s="4"/>
      <c r="O826" s="5"/>
      <c r="P826" s="4"/>
      <c r="Q826" s="21" t="str">
        <f>VLOOKUP(tblProductos[[#This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4061</v>
      </c>
      <c r="D827" s="2" t="s">
        <v>3841</v>
      </c>
      <c r="E827" s="2"/>
      <c r="F827" s="2">
        <v>50</v>
      </c>
      <c r="G827" s="2" t="s">
        <v>3842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3843</v>
      </c>
      <c r="N827" s="4"/>
      <c r="O827" s="5"/>
      <c r="P827" s="4"/>
      <c r="Q827" s="21" t="str">
        <f>VLOOKUP(tblProductos[[#This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4061</v>
      </c>
      <c r="D828" s="2" t="s">
        <v>3888</v>
      </c>
      <c r="E828" s="2"/>
      <c r="F828" s="2">
        <v>50</v>
      </c>
      <c r="G828" s="2" t="s">
        <v>3842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3843</v>
      </c>
      <c r="N828" s="4"/>
      <c r="O828" s="5"/>
      <c r="P828" s="4"/>
      <c r="Q828" s="21" t="str">
        <f>VLOOKUP(tblProductos[[#This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4061</v>
      </c>
      <c r="D829" s="2" t="s">
        <v>4006</v>
      </c>
      <c r="E829" s="2"/>
      <c r="F829" s="2">
        <v>50</v>
      </c>
      <c r="G829" s="2" t="s">
        <v>3842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3843</v>
      </c>
      <c r="N829" s="4"/>
      <c r="O829" s="5"/>
      <c r="P829" s="4"/>
      <c r="Q829" s="21" t="str">
        <f>VLOOKUP(tblProductos[[#This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4061</v>
      </c>
      <c r="D830" s="2" t="s">
        <v>4009</v>
      </c>
      <c r="E830" s="2"/>
      <c r="F830" s="2">
        <v>50</v>
      </c>
      <c r="G830" s="2" t="s">
        <v>3842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3843</v>
      </c>
      <c r="N830" s="4"/>
      <c r="O830" s="5"/>
      <c r="P830" s="4"/>
      <c r="Q830" s="21" t="str">
        <f>VLOOKUP(tblProductos[[#This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4061</v>
      </c>
      <c r="D831" s="2" t="s">
        <v>4013</v>
      </c>
      <c r="E831" s="2"/>
      <c r="F831" s="2">
        <v>50</v>
      </c>
      <c r="G831" s="2" t="s">
        <v>3842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3843</v>
      </c>
      <c r="N831" s="4"/>
      <c r="O831" s="5"/>
      <c r="P831" s="4"/>
      <c r="Q831" s="21" t="str">
        <f>VLOOKUP(tblProductos[[#This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4061</v>
      </c>
      <c r="D832" s="2" t="s">
        <v>4007</v>
      </c>
      <c r="E832" s="2"/>
      <c r="F832" s="2">
        <v>50</v>
      </c>
      <c r="G832" s="2" t="s">
        <v>3842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3843</v>
      </c>
      <c r="N832" s="4"/>
      <c r="O832" s="5"/>
      <c r="P832" s="4"/>
      <c r="Q832" s="21" t="str">
        <f>VLOOKUP(tblProductos[[#This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4061</v>
      </c>
      <c r="D833" s="2" t="s">
        <v>4021</v>
      </c>
      <c r="E833" s="2"/>
      <c r="F833" s="2">
        <v>50</v>
      </c>
      <c r="G833" s="2" t="s">
        <v>3842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3843</v>
      </c>
      <c r="N833" s="4"/>
      <c r="O833" s="5"/>
      <c r="P833" s="4"/>
      <c r="Q833" s="21" t="str">
        <f>VLOOKUP(tblProductos[[#This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3972</v>
      </c>
      <c r="D834" s="2" t="s">
        <v>4009</v>
      </c>
      <c r="E834" s="2"/>
      <c r="F834" s="2">
        <v>50</v>
      </c>
      <c r="G834" s="2" t="s">
        <v>3842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3843</v>
      </c>
      <c r="N834" s="4"/>
      <c r="O834" s="5"/>
      <c r="P834" s="4"/>
      <c r="Q834" s="21" t="str">
        <f>VLOOKUP(tblProductos[[#This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3945</v>
      </c>
      <c r="D835" s="2" t="s">
        <v>3888</v>
      </c>
      <c r="E835" s="2"/>
      <c r="F835" s="2">
        <v>50</v>
      </c>
      <c r="G835" s="2" t="s">
        <v>3842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3943</v>
      </c>
      <c r="N835" s="4"/>
      <c r="O835" s="5"/>
      <c r="P835" s="4"/>
      <c r="Q835" s="21" t="str">
        <f>VLOOKUP(tblProductos[[#This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3945</v>
      </c>
      <c r="D836" s="2" t="s">
        <v>3923</v>
      </c>
      <c r="E836" s="2"/>
      <c r="F836" s="2">
        <v>50</v>
      </c>
      <c r="G836" s="2" t="s">
        <v>3842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3943</v>
      </c>
      <c r="N836" s="4"/>
      <c r="O836" s="5"/>
      <c r="P836" s="4"/>
      <c r="Q836" s="21" t="str">
        <f>VLOOKUP(tblProductos[[#This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3920</v>
      </c>
      <c r="D837" s="2" t="s">
        <v>4023</v>
      </c>
      <c r="E837" s="2"/>
      <c r="F837" s="2">
        <v>50</v>
      </c>
      <c r="G837" s="2" t="s">
        <v>3842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3843</v>
      </c>
      <c r="N837" s="4"/>
      <c r="O837" s="5">
        <v>20</v>
      </c>
      <c r="P837" s="4"/>
      <c r="Q837" s="21" t="str">
        <f>VLOOKUP(tblProductos[[#This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3920</v>
      </c>
      <c r="D838" s="2" t="s">
        <v>4031</v>
      </c>
      <c r="E838" s="2"/>
      <c r="F838" s="2">
        <v>50</v>
      </c>
      <c r="G838" s="2" t="s">
        <v>3842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3843</v>
      </c>
      <c r="N838" s="4"/>
      <c r="O838" s="5"/>
      <c r="P838" s="4"/>
      <c r="Q838" s="21" t="str">
        <f>VLOOKUP(tblProductos[[#This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3945</v>
      </c>
      <c r="D839" s="2" t="s">
        <v>3841</v>
      </c>
      <c r="E839" s="2"/>
      <c r="F839" s="2">
        <v>50</v>
      </c>
      <c r="G839" s="2" t="s">
        <v>3842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3943</v>
      </c>
      <c r="N839" s="4"/>
      <c r="O839" s="5"/>
      <c r="P839" s="4"/>
      <c r="Q839" s="21" t="str">
        <f>VLOOKUP(tblProductos[[#This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3945</v>
      </c>
      <c r="D840" s="2" t="s">
        <v>4035</v>
      </c>
      <c r="E840" s="2"/>
      <c r="F840" s="2">
        <v>50</v>
      </c>
      <c r="G840" s="2" t="s">
        <v>3842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3943</v>
      </c>
      <c r="N840" s="4"/>
      <c r="O840" s="5"/>
      <c r="P840" s="4"/>
      <c r="Q840" s="21" t="str">
        <f>VLOOKUP(tblProductos[[#This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3952</v>
      </c>
      <c r="D841" s="2" t="s">
        <v>3923</v>
      </c>
      <c r="E841" s="2"/>
      <c r="F841" s="2">
        <v>50</v>
      </c>
      <c r="G841" s="2" t="s">
        <v>3842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3843</v>
      </c>
      <c r="N841" s="4"/>
      <c r="O841" s="5"/>
      <c r="P841" s="4"/>
      <c r="Q841" s="21" t="str">
        <f>VLOOKUP(tblProductos[[#This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3984</v>
      </c>
      <c r="D842" s="2" t="s">
        <v>4006</v>
      </c>
      <c r="E842" s="2"/>
      <c r="F842" s="2">
        <v>100</v>
      </c>
      <c r="G842" s="2" t="s">
        <v>3842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3843</v>
      </c>
      <c r="N842" s="4"/>
      <c r="O842" s="5"/>
      <c r="P842" s="4"/>
      <c r="Q842" s="21" t="str">
        <f>VLOOKUP(tblProductos[[#This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4052</v>
      </c>
      <c r="D843" s="2" t="s">
        <v>4011</v>
      </c>
      <c r="E843" s="2"/>
      <c r="F843" s="2">
        <v>50</v>
      </c>
      <c r="G843" s="2" t="s">
        <v>3842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3843</v>
      </c>
      <c r="N843" s="4"/>
      <c r="O843" s="5"/>
      <c r="P843" s="4"/>
      <c r="Q843" s="21" t="str">
        <f>VLOOKUP(tblProductos[[#This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3972</v>
      </c>
      <c r="D844" s="2" t="s">
        <v>4020</v>
      </c>
      <c r="E844" s="2"/>
      <c r="F844" s="2">
        <v>50</v>
      </c>
      <c r="G844" s="2" t="s">
        <v>3842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3843</v>
      </c>
      <c r="N844" s="4"/>
      <c r="O844" s="5"/>
      <c r="P844" s="4"/>
      <c r="Q844" s="21" t="str">
        <f>VLOOKUP(tblProductos[[#This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4063</v>
      </c>
      <c r="D845" s="2" t="s">
        <v>4033</v>
      </c>
      <c r="E845" s="2"/>
      <c r="F845" s="2">
        <v>100</v>
      </c>
      <c r="G845" s="2" t="s">
        <v>3842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3843</v>
      </c>
      <c r="N845" s="4"/>
      <c r="O845" s="5"/>
      <c r="P845" s="4"/>
      <c r="Q845" s="21" t="str">
        <f>VLOOKUP(tblProductos[[#This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4064</v>
      </c>
      <c r="D846" s="2" t="s">
        <v>3841</v>
      </c>
      <c r="E846" s="2" t="s">
        <v>3875</v>
      </c>
      <c r="F846" s="2">
        <v>3000</v>
      </c>
      <c r="G846" s="2" t="s">
        <v>3873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3868</v>
      </c>
      <c r="N846" s="4"/>
      <c r="O846" s="5">
        <v>5</v>
      </c>
      <c r="P846" s="4"/>
      <c r="Q846" s="21" t="str">
        <f>VLOOKUP(tblProductos[[#This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4065</v>
      </c>
      <c r="D847" s="2" t="s">
        <v>3841</v>
      </c>
      <c r="E847" s="2" t="s">
        <v>3877</v>
      </c>
      <c r="F847" s="2">
        <v>2000</v>
      </c>
      <c r="G847" s="2" t="s">
        <v>3873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3868</v>
      </c>
      <c r="N847" s="4"/>
      <c r="O847" s="5">
        <v>2</v>
      </c>
      <c r="P847" s="4"/>
      <c r="Q847" s="21" t="str">
        <f>VLOOKUP(tblProductos[[#This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4066</v>
      </c>
      <c r="D848" s="2" t="s">
        <v>3841</v>
      </c>
      <c r="E848" s="2" t="s">
        <v>3879</v>
      </c>
      <c r="F848" s="2">
        <v>1500</v>
      </c>
      <c r="G848" s="2" t="s">
        <v>3873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3868</v>
      </c>
      <c r="N848" s="4"/>
      <c r="O848" s="5">
        <v>3</v>
      </c>
      <c r="P848" s="4"/>
      <c r="Q848" s="21" t="str">
        <f>VLOOKUP(tblProductos[[#This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3953</v>
      </c>
      <c r="D849" s="2" t="s">
        <v>4021</v>
      </c>
      <c r="E849" s="2" t="s">
        <v>3875</v>
      </c>
      <c r="F849" s="2">
        <v>3000</v>
      </c>
      <c r="G849" s="2" t="s">
        <v>3873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3868</v>
      </c>
      <c r="N849" s="4"/>
      <c r="O849" s="5"/>
      <c r="P849" s="4"/>
      <c r="Q849" s="21" t="str">
        <f>VLOOKUP(tblProductos[[#This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3953</v>
      </c>
      <c r="D850" s="2" t="s">
        <v>4009</v>
      </c>
      <c r="E850" s="2" t="s">
        <v>3875</v>
      </c>
      <c r="F850" s="2">
        <v>3000</v>
      </c>
      <c r="G850" s="2" t="s">
        <v>3873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3868</v>
      </c>
      <c r="N850" s="4"/>
      <c r="O850" s="5"/>
      <c r="P850" s="4"/>
      <c r="Q850" s="21" t="str">
        <f>VLOOKUP(tblProductos[[#This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3150</v>
      </c>
      <c r="D851" s="2" t="s">
        <v>4016</v>
      </c>
      <c r="E851" s="2"/>
      <c r="F851" s="2">
        <v>50</v>
      </c>
      <c r="G851" s="2" t="s">
        <v>3842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3843</v>
      </c>
      <c r="N851" s="4"/>
      <c r="O851" s="5"/>
      <c r="P851" s="4"/>
      <c r="Q851" s="21" t="str">
        <f>VLOOKUP(tblProductos[[#This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3945</v>
      </c>
      <c r="D852" s="2" t="s">
        <v>4029</v>
      </c>
      <c r="E852" s="2"/>
      <c r="F852" s="2">
        <v>50</v>
      </c>
      <c r="G852" s="2" t="s">
        <v>3842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3943</v>
      </c>
      <c r="N852" s="4"/>
      <c r="O852" s="5"/>
      <c r="P852" s="4"/>
      <c r="Q852" s="21" t="str">
        <f>VLOOKUP(tblProductos[[#This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3945</v>
      </c>
      <c r="D853" s="2" t="s">
        <v>4011</v>
      </c>
      <c r="E853" s="2"/>
      <c r="F853" s="2">
        <v>50</v>
      </c>
      <c r="G853" s="2" t="s">
        <v>3842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3943</v>
      </c>
      <c r="N853" s="4"/>
      <c r="O853" s="5"/>
      <c r="P853" s="4"/>
      <c r="Q853" s="21" t="str">
        <f>VLOOKUP(tblProductos[[#This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3990</v>
      </c>
      <c r="D854" s="2" t="s">
        <v>3841</v>
      </c>
      <c r="E854" s="2" t="s">
        <v>3889</v>
      </c>
      <c r="F854" s="2">
        <v>10</v>
      </c>
      <c r="G854" s="2" t="s">
        <v>3867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3895</v>
      </c>
      <c r="N854" s="4"/>
      <c r="O854" s="5"/>
      <c r="P854" s="4"/>
      <c r="Q854" s="21" t="str">
        <f>VLOOKUP(tblProductos[[#This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3965</v>
      </c>
      <c r="D855" s="2" t="s">
        <v>4007</v>
      </c>
      <c r="E855" s="2" t="s">
        <v>3875</v>
      </c>
      <c r="F855" s="2">
        <v>500</v>
      </c>
      <c r="G855" s="2" t="s">
        <v>3886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3882</v>
      </c>
      <c r="N855" s="4"/>
      <c r="O855" s="5"/>
      <c r="P855" s="4"/>
      <c r="Q855" s="21" t="str">
        <f>VLOOKUP(tblProductos[[#This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3945</v>
      </c>
      <c r="D856" s="2" t="s">
        <v>4007</v>
      </c>
      <c r="E856" s="2"/>
      <c r="F856" s="2">
        <v>50</v>
      </c>
      <c r="G856" s="2" t="s">
        <v>3842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3943</v>
      </c>
      <c r="N856" s="4"/>
      <c r="O856" s="5"/>
      <c r="P856" s="4"/>
      <c r="Q856" s="21" t="str">
        <f>VLOOKUP(tblProductos[[#This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3945</v>
      </c>
      <c r="D857" s="2" t="s">
        <v>4006</v>
      </c>
      <c r="E857" s="2"/>
      <c r="F857" s="2">
        <v>50</v>
      </c>
      <c r="G857" s="2" t="s">
        <v>3842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3943</v>
      </c>
      <c r="N857" s="4"/>
      <c r="O857" s="5"/>
      <c r="P857" s="4"/>
      <c r="Q857" s="21" t="str">
        <f>VLOOKUP(tblProductos[[#This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3845</v>
      </c>
      <c r="D858" s="2" t="s">
        <v>3841</v>
      </c>
      <c r="E858" s="2"/>
      <c r="F858" s="2">
        <v>50</v>
      </c>
      <c r="G858" s="2" t="s">
        <v>3842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3843</v>
      </c>
      <c r="N858" s="4"/>
      <c r="O858" s="5"/>
      <c r="P858" s="4"/>
      <c r="Q858" s="21" t="str">
        <f>VLOOKUP(tblProductos[[#This Row],[id_proveedor]],tblProveedores[[#All],[id]:[nombre]],2,0)</f>
        <v>SERGIO</v>
      </c>
    </row>
    <row r="859" spans="1:17" x14ac:dyDescent="0.25">
      <c r="A859" s="1">
        <v>1441</v>
      </c>
      <c r="B859" s="1">
        <v>58</v>
      </c>
      <c r="C859" s="2" t="s">
        <v>4067</v>
      </c>
      <c r="D859" s="2" t="s">
        <v>3923</v>
      </c>
      <c r="E859" s="2" t="s">
        <v>3930</v>
      </c>
      <c r="F859" s="2">
        <v>150</v>
      </c>
      <c r="G859" s="2" t="s">
        <v>3842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3925</v>
      </c>
      <c r="N859" s="4"/>
      <c r="O859" s="5"/>
      <c r="P859" s="4"/>
      <c r="Q859" s="21" t="str">
        <f>VLOOKUP(tblProductos[[#This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3900</v>
      </c>
      <c r="D860" s="2" t="s">
        <v>4029</v>
      </c>
      <c r="E860" s="2" t="s">
        <v>3901</v>
      </c>
      <c r="F860" s="2">
        <v>1000</v>
      </c>
      <c r="G860" s="2" t="s">
        <v>3873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3895</v>
      </c>
      <c r="N860" s="4"/>
      <c r="O860" s="5">
        <v>5</v>
      </c>
      <c r="P860" s="4"/>
      <c r="Q860" s="21" t="str">
        <f>VLOOKUP(tblProductos[[#This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3990</v>
      </c>
      <c r="D861" s="2" t="s">
        <v>3841</v>
      </c>
      <c r="E861" s="2" t="s">
        <v>3889</v>
      </c>
      <c r="F861" s="2">
        <v>250</v>
      </c>
      <c r="G861" s="2" t="s">
        <v>3867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3895</v>
      </c>
      <c r="N861" s="4"/>
      <c r="O861" s="5">
        <v>5</v>
      </c>
      <c r="P861" s="4"/>
      <c r="Q861" s="21" t="str">
        <f>VLOOKUP(tblProductos[[#This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4040</v>
      </c>
      <c r="D862" s="2" t="s">
        <v>3841</v>
      </c>
      <c r="E862" s="2" t="s">
        <v>3875</v>
      </c>
      <c r="F862" s="2">
        <v>500</v>
      </c>
      <c r="G862" s="2" t="s">
        <v>3867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3895</v>
      </c>
      <c r="N862" s="4"/>
      <c r="O862" s="5">
        <v>5</v>
      </c>
      <c r="P862" s="4"/>
      <c r="Q862" s="21" t="str">
        <f>VLOOKUP(tblProductos[[#This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4068</v>
      </c>
      <c r="D863" s="2" t="s">
        <v>3841</v>
      </c>
      <c r="E863" s="2"/>
      <c r="F863" s="2">
        <v>100</v>
      </c>
      <c r="G863" s="2" t="s">
        <v>3842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4069</v>
      </c>
      <c r="N863" s="4"/>
      <c r="O863" s="5"/>
      <c r="P863" s="4"/>
      <c r="Q863" s="21" t="str">
        <f>VLOOKUP(tblProductos[[#This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4040</v>
      </c>
      <c r="D864" s="2" t="s">
        <v>3841</v>
      </c>
      <c r="E864" s="2" t="s">
        <v>3875</v>
      </c>
      <c r="F864" s="2">
        <v>500</v>
      </c>
      <c r="G864" s="2" t="s">
        <v>3867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3895</v>
      </c>
      <c r="N864" s="4"/>
      <c r="O864" s="5"/>
      <c r="P864" s="4"/>
      <c r="Q864" s="21" t="str">
        <f>VLOOKUP(tblProductos[[#This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3990</v>
      </c>
      <c r="D865" s="2" t="s">
        <v>3841</v>
      </c>
      <c r="E865" s="2" t="s">
        <v>3889</v>
      </c>
      <c r="F865" s="2">
        <v>250</v>
      </c>
      <c r="G865" s="2" t="s">
        <v>3867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3895</v>
      </c>
      <c r="N865" s="4"/>
      <c r="O865" s="5"/>
      <c r="P865" s="4"/>
      <c r="Q865" s="21" t="str">
        <f>VLOOKUP(tblProductos[[#This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4052</v>
      </c>
      <c r="D866" s="2" t="s">
        <v>3923</v>
      </c>
      <c r="E866" s="2"/>
      <c r="F866" s="2">
        <v>50</v>
      </c>
      <c r="G866" s="2" t="s">
        <v>3842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3843</v>
      </c>
      <c r="N866" s="4"/>
      <c r="O866" s="5"/>
      <c r="P866" s="4"/>
      <c r="Q866" s="21" t="str">
        <f>VLOOKUP(tblProductos[[#This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4045</v>
      </c>
      <c r="D867" s="2" t="s">
        <v>4015</v>
      </c>
      <c r="E867" s="2"/>
      <c r="F867" s="2">
        <v>50</v>
      </c>
      <c r="G867" s="2" t="s">
        <v>3842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3843</v>
      </c>
      <c r="N867" s="4"/>
      <c r="O867" s="5"/>
      <c r="P867" s="4"/>
      <c r="Q867" s="21" t="str">
        <f>VLOOKUP(tblProductos[[#This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4045</v>
      </c>
      <c r="D868" s="2" t="s">
        <v>4009</v>
      </c>
      <c r="E868" s="2"/>
      <c r="F868" s="2">
        <v>50</v>
      </c>
      <c r="G868" s="2" t="s">
        <v>3842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3843</v>
      </c>
      <c r="N868" s="4"/>
      <c r="O868" s="5"/>
      <c r="P868" s="4"/>
      <c r="Q868" s="21" t="str">
        <f>VLOOKUP(tblProductos[[#This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4070</v>
      </c>
      <c r="D869" s="2" t="s">
        <v>3841</v>
      </c>
      <c r="E869" s="2" t="s">
        <v>3872</v>
      </c>
      <c r="F869" s="2">
        <v>1000</v>
      </c>
      <c r="G869" s="2" t="s">
        <v>3873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3868</v>
      </c>
      <c r="N869" s="4"/>
      <c r="O869" s="5">
        <v>1</v>
      </c>
      <c r="P869" s="4"/>
      <c r="Q869" s="21" t="str">
        <f>VLOOKUP(tblProductos[[#This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4063</v>
      </c>
      <c r="D870" s="2" t="s">
        <v>4007</v>
      </c>
      <c r="E870" s="2"/>
      <c r="F870" s="2">
        <v>100</v>
      </c>
      <c r="G870" s="2" t="s">
        <v>3842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3843</v>
      </c>
      <c r="N870" s="4"/>
      <c r="O870" s="5"/>
      <c r="P870" s="4"/>
      <c r="Q870" s="21" t="str">
        <f>VLOOKUP(tblProductos[[#This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4063</v>
      </c>
      <c r="D871" s="2" t="s">
        <v>4011</v>
      </c>
      <c r="E871" s="2"/>
      <c r="F871" s="2">
        <v>100</v>
      </c>
      <c r="G871" s="2" t="s">
        <v>3842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3843</v>
      </c>
      <c r="N871" s="4"/>
      <c r="O871" s="5"/>
      <c r="P871" s="4"/>
      <c r="Q871" s="21" t="str">
        <f>VLOOKUP(tblProductos[[#This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4063</v>
      </c>
      <c r="D872" s="2" t="s">
        <v>4006</v>
      </c>
      <c r="E872" s="2"/>
      <c r="F872" s="2">
        <v>100</v>
      </c>
      <c r="G872" s="2" t="s">
        <v>3842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3843</v>
      </c>
      <c r="N872" s="4"/>
      <c r="O872" s="5"/>
      <c r="P872" s="4"/>
      <c r="Q872" s="21" t="str">
        <f>VLOOKUP(tblProductos[[#This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3970</v>
      </c>
      <c r="D873" s="2" t="s">
        <v>4011</v>
      </c>
      <c r="E873" s="2" t="s">
        <v>3875</v>
      </c>
      <c r="F873" s="2">
        <v>500</v>
      </c>
      <c r="G873" s="2" t="s">
        <v>3886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3882</v>
      </c>
      <c r="N873" s="4"/>
      <c r="O873" s="5"/>
      <c r="P873" s="4"/>
      <c r="Q873" s="21" t="str">
        <f>VLOOKUP(tblProductos[[#This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3960</v>
      </c>
      <c r="D874" s="2" t="s">
        <v>4011</v>
      </c>
      <c r="E874" s="2" t="s">
        <v>3879</v>
      </c>
      <c r="F874" s="2">
        <v>500</v>
      </c>
      <c r="G874" s="2" t="s">
        <v>3886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3882</v>
      </c>
      <c r="N874" s="4"/>
      <c r="O874" s="5"/>
      <c r="P874" s="4"/>
      <c r="Q874" s="21" t="str">
        <f>VLOOKUP(tblProductos[[#This Row],[id_proveedor]],tblProveedores[[#All],[id]:[nombre]],2,0)</f>
        <v>IVAN MARTINEZ REATA</v>
      </c>
    </row>
    <row r="875" spans="1:17" x14ac:dyDescent="0.25">
      <c r="A875" s="1">
        <v>1460</v>
      </c>
      <c r="B875" s="1">
        <v>58</v>
      </c>
      <c r="C875" s="2" t="s">
        <v>4071</v>
      </c>
      <c r="D875" s="2" t="s">
        <v>3923</v>
      </c>
      <c r="E875" s="2" t="s">
        <v>3901</v>
      </c>
      <c r="F875" s="2">
        <v>25</v>
      </c>
      <c r="G875" s="2" t="s">
        <v>3842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3925</v>
      </c>
      <c r="N875" s="4"/>
      <c r="O875" s="5"/>
      <c r="P875" s="4"/>
      <c r="Q875" s="21" t="str">
        <f>VLOOKUP(tblProductos[[#This Row],[id_proveedor]],tblProveedores[[#All],[id]:[nombre]],2,0)</f>
        <v>WILSON ROJAS</v>
      </c>
    </row>
    <row r="876" spans="1:17" x14ac:dyDescent="0.25">
      <c r="A876" s="1">
        <v>1461</v>
      </c>
      <c r="B876" s="1">
        <v>58</v>
      </c>
      <c r="C876" s="2" t="s">
        <v>4072</v>
      </c>
      <c r="D876" s="2" t="s">
        <v>3923</v>
      </c>
      <c r="E876" s="2" t="s">
        <v>3941</v>
      </c>
      <c r="F876" s="2">
        <v>25</v>
      </c>
      <c r="G876" s="2" t="s">
        <v>3842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3925</v>
      </c>
      <c r="N876" s="4"/>
      <c r="O876" s="5"/>
      <c r="P876" s="4"/>
      <c r="Q876" s="21" t="str">
        <f>VLOOKUP(tblProductos[[#This Row],[id_proveedor]],tblProveedores[[#All],[id]:[nombre]],2,0)</f>
        <v>WILSON ROJAS</v>
      </c>
    </row>
    <row r="877" spans="1:17" x14ac:dyDescent="0.25">
      <c r="A877" s="1">
        <v>1462</v>
      </c>
      <c r="B877" s="1">
        <v>58</v>
      </c>
      <c r="C877" s="2" t="s">
        <v>4073</v>
      </c>
      <c r="D877" s="2" t="s">
        <v>3923</v>
      </c>
      <c r="E877" s="2" t="s">
        <v>3924</v>
      </c>
      <c r="F877" s="2">
        <v>25</v>
      </c>
      <c r="G877" s="2" t="s">
        <v>3842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3925</v>
      </c>
      <c r="N877" s="4"/>
      <c r="O877" s="5"/>
      <c r="P877" s="4"/>
      <c r="Q877" s="21" t="str">
        <f>VLOOKUP(tblProductos[[#This Row],[id_proveedor]],tblProveedores[[#All],[id]:[nombre]],2,0)</f>
        <v>WILSON ROJAS</v>
      </c>
    </row>
    <row r="878" spans="1:17" x14ac:dyDescent="0.25">
      <c r="A878" s="1">
        <v>1463</v>
      </c>
      <c r="B878" s="1">
        <v>58</v>
      </c>
      <c r="C878" s="2" t="s">
        <v>4074</v>
      </c>
      <c r="D878" s="2" t="s">
        <v>3923</v>
      </c>
      <c r="E878" s="2" t="s">
        <v>3894</v>
      </c>
      <c r="F878" s="2">
        <v>100</v>
      </c>
      <c r="G878" s="2" t="s">
        <v>3842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3925</v>
      </c>
      <c r="N878" s="4"/>
      <c r="O878" s="5"/>
      <c r="P878" s="4"/>
      <c r="Q878" s="21" t="str">
        <f>VLOOKUP(tblProductos[[#This Row],[id_proveedor]],tblProveedores[[#All],[id]:[nombre]],2,0)</f>
        <v>WILSON ROJAS</v>
      </c>
    </row>
    <row r="879" spans="1:17" x14ac:dyDescent="0.25">
      <c r="A879" s="1">
        <v>1464</v>
      </c>
      <c r="B879" s="1">
        <v>58</v>
      </c>
      <c r="C879" s="2" t="s">
        <v>4075</v>
      </c>
      <c r="D879" s="2" t="s">
        <v>3923</v>
      </c>
      <c r="E879" s="2" t="s">
        <v>3933</v>
      </c>
      <c r="F879" s="2">
        <v>80</v>
      </c>
      <c r="G879" s="2" t="s">
        <v>3842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3925</v>
      </c>
      <c r="N879" s="4"/>
      <c r="O879" s="5"/>
      <c r="P879" s="4"/>
      <c r="Q879" s="21" t="str">
        <f>VLOOKUP(tblProductos[[#This Row],[id_proveedor]],tblProveedores[[#All],[id]:[nombre]],2,0)</f>
        <v>WILSON ROJAS</v>
      </c>
    </row>
    <row r="880" spans="1:17" x14ac:dyDescent="0.25">
      <c r="A880" s="1">
        <v>1465</v>
      </c>
      <c r="B880" s="1">
        <v>58</v>
      </c>
      <c r="C880" s="2" t="s">
        <v>4076</v>
      </c>
      <c r="D880" s="2" t="s">
        <v>3923</v>
      </c>
      <c r="E880" s="2" t="s">
        <v>3935</v>
      </c>
      <c r="F880" s="2">
        <v>50</v>
      </c>
      <c r="G880" s="2" t="s">
        <v>3842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3925</v>
      </c>
      <c r="N880" s="4"/>
      <c r="O880" s="5"/>
      <c r="P880" s="4"/>
      <c r="Q880" s="21" t="str">
        <f>VLOOKUP(tblProductos[[#This Row],[id_proveedor]],tblProveedores[[#All],[id]:[nombre]],2,0)</f>
        <v>WILSON ROJAS</v>
      </c>
    </row>
    <row r="881" spans="1:17" x14ac:dyDescent="0.25">
      <c r="A881" s="1">
        <v>1466</v>
      </c>
      <c r="B881" s="1">
        <v>58</v>
      </c>
      <c r="C881" s="2" t="s">
        <v>4077</v>
      </c>
      <c r="D881" s="2" t="s">
        <v>3923</v>
      </c>
      <c r="E881" s="2" t="s">
        <v>3935</v>
      </c>
      <c r="F881" s="2">
        <v>50</v>
      </c>
      <c r="G881" s="2" t="s">
        <v>3842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3925</v>
      </c>
      <c r="N881" s="4"/>
      <c r="O881" s="5"/>
      <c r="P881" s="4"/>
      <c r="Q881" s="21" t="str">
        <f>VLOOKUP(tblProductos[[#This Row],[id_proveedor]],tblProveedores[[#All],[id]:[nombre]],2,0)</f>
        <v>WILSON ROJAS</v>
      </c>
    </row>
    <row r="882" spans="1:17" x14ac:dyDescent="0.25">
      <c r="A882" s="1">
        <v>1467</v>
      </c>
      <c r="B882" s="1">
        <v>58</v>
      </c>
      <c r="C882" s="2" t="s">
        <v>4078</v>
      </c>
      <c r="D882" s="2" t="s">
        <v>3923</v>
      </c>
      <c r="E882" s="2" t="s">
        <v>3938</v>
      </c>
      <c r="F882" s="2">
        <v>30</v>
      </c>
      <c r="G882" s="2" t="s">
        <v>3842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3925</v>
      </c>
      <c r="N882" s="4"/>
      <c r="O882" s="5"/>
      <c r="P882" s="4"/>
      <c r="Q882" s="21" t="str">
        <f>VLOOKUP(tblProductos[[#This Row],[id_proveedor]],tblProveedores[[#All],[id]:[nombre]],2,0)</f>
        <v>WILSON ROJAS</v>
      </c>
    </row>
    <row r="883" spans="1:17" x14ac:dyDescent="0.25">
      <c r="A883" s="1">
        <v>1468</v>
      </c>
      <c r="B883" s="1">
        <v>58</v>
      </c>
      <c r="C883" s="2" t="s">
        <v>4074</v>
      </c>
      <c r="D883" s="2" t="s">
        <v>3841</v>
      </c>
      <c r="E883" s="2" t="s">
        <v>3894</v>
      </c>
      <c r="F883" s="2">
        <v>100</v>
      </c>
      <c r="G883" s="2" t="s">
        <v>3842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3925</v>
      </c>
      <c r="N883" s="4"/>
      <c r="O883" s="5"/>
      <c r="P883" s="4"/>
      <c r="Q883" s="21" t="str">
        <f>VLOOKUP(tblProductos[[#This Row],[id_proveedor]],tblProveedores[[#All],[id]:[nombre]],2,0)</f>
        <v>WILSON ROJAS</v>
      </c>
    </row>
    <row r="884" spans="1:17" x14ac:dyDescent="0.25">
      <c r="A884" s="1">
        <v>1469</v>
      </c>
      <c r="B884" s="1">
        <v>58</v>
      </c>
      <c r="C884" s="2" t="s">
        <v>4075</v>
      </c>
      <c r="D884" s="2" t="s">
        <v>3841</v>
      </c>
      <c r="E884" s="2" t="s">
        <v>3933</v>
      </c>
      <c r="F884" s="2">
        <v>80</v>
      </c>
      <c r="G884" s="2" t="s">
        <v>3842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3925</v>
      </c>
      <c r="N884" s="4"/>
      <c r="O884" s="5"/>
      <c r="P884" s="4"/>
      <c r="Q884" s="21" t="str">
        <f>VLOOKUP(tblProductos[[#This Row],[id_proveedor]],tblProveedores[[#All],[id]:[nombre]],2,0)</f>
        <v>WILSON ROJAS</v>
      </c>
    </row>
    <row r="885" spans="1:17" x14ac:dyDescent="0.25">
      <c r="A885" s="1">
        <v>1470</v>
      </c>
      <c r="B885" s="1">
        <v>58</v>
      </c>
      <c r="C885" s="2" t="s">
        <v>4076</v>
      </c>
      <c r="D885" s="2" t="s">
        <v>3841</v>
      </c>
      <c r="E885" s="2" t="s">
        <v>3935</v>
      </c>
      <c r="F885" s="2">
        <v>50</v>
      </c>
      <c r="G885" s="2" t="s">
        <v>3842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3925</v>
      </c>
      <c r="N885" s="4"/>
      <c r="O885" s="5"/>
      <c r="P885" s="4"/>
      <c r="Q885" s="21" t="str">
        <f>VLOOKUP(tblProductos[[#This Row],[id_proveedor]],tblProveedores[[#All],[id]:[nombre]],2,0)</f>
        <v>WILSON ROJAS</v>
      </c>
    </row>
    <row r="886" spans="1:17" x14ac:dyDescent="0.25">
      <c r="A886" s="1">
        <v>1471</v>
      </c>
      <c r="B886" s="1">
        <v>58</v>
      </c>
      <c r="C886" s="2" t="s">
        <v>4077</v>
      </c>
      <c r="D886" s="2" t="s">
        <v>3841</v>
      </c>
      <c r="E886" s="2" t="s">
        <v>3935</v>
      </c>
      <c r="F886" s="2">
        <v>50</v>
      </c>
      <c r="G886" s="2" t="s">
        <v>3842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3925</v>
      </c>
      <c r="N886" s="4"/>
      <c r="O886" s="5"/>
      <c r="P886" s="4"/>
      <c r="Q886" s="21" t="str">
        <f>VLOOKUP(tblProductos[[#This Row],[id_proveedor]],tblProveedores[[#All],[id]:[nombre]],2,0)</f>
        <v>WILSON ROJAS</v>
      </c>
    </row>
    <row r="887" spans="1:17" x14ac:dyDescent="0.25">
      <c r="A887" s="1">
        <v>1472</v>
      </c>
      <c r="B887" s="1">
        <v>58</v>
      </c>
      <c r="C887" s="2" t="s">
        <v>4078</v>
      </c>
      <c r="D887" s="2" t="s">
        <v>3841</v>
      </c>
      <c r="E887" s="2" t="s">
        <v>3938</v>
      </c>
      <c r="F887" s="2">
        <v>30</v>
      </c>
      <c r="G887" s="2" t="s">
        <v>3842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3925</v>
      </c>
      <c r="N887" s="4"/>
      <c r="O887" s="5"/>
      <c r="P887" s="4"/>
      <c r="Q887" s="21" t="str">
        <f>VLOOKUP(tblProductos[[#This Row],[id_proveedor]],tblProveedores[[#All],[id]:[nombre]],2,0)</f>
        <v>WILSON ROJAS</v>
      </c>
    </row>
    <row r="888" spans="1:17" x14ac:dyDescent="0.25">
      <c r="A888" s="1">
        <v>1473</v>
      </c>
      <c r="B888" s="1">
        <v>58</v>
      </c>
      <c r="C888" s="2" t="s">
        <v>4071</v>
      </c>
      <c r="D888" s="2" t="s">
        <v>3841</v>
      </c>
      <c r="E888" s="2" t="s">
        <v>3901</v>
      </c>
      <c r="F888" s="2">
        <v>25</v>
      </c>
      <c r="G888" s="2" t="s">
        <v>3842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3925</v>
      </c>
      <c r="N888" s="4"/>
      <c r="O888" s="5"/>
      <c r="P888" s="4"/>
      <c r="Q888" s="21" t="str">
        <f>VLOOKUP(tblProductos[[#This Row],[id_proveedor]],tblProveedores[[#All],[id]:[nombre]],2,0)</f>
        <v>WILSON ROJAS</v>
      </c>
    </row>
    <row r="889" spans="1:17" x14ac:dyDescent="0.25">
      <c r="A889" s="1">
        <v>1474</v>
      </c>
      <c r="B889" s="1">
        <v>58</v>
      </c>
      <c r="C889" s="2" t="s">
        <v>4072</v>
      </c>
      <c r="D889" s="2" t="s">
        <v>3841</v>
      </c>
      <c r="E889" s="2" t="s">
        <v>3941</v>
      </c>
      <c r="F889" s="2">
        <v>25</v>
      </c>
      <c r="G889" s="2" t="s">
        <v>3842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3925</v>
      </c>
      <c r="N889" s="4"/>
      <c r="O889" s="5"/>
      <c r="P889" s="4"/>
      <c r="Q889" s="21" t="str">
        <f>VLOOKUP(tblProductos[[#This Row],[id_proveedor]],tblProveedores[[#All],[id]:[nombre]],2,0)</f>
        <v>WILSON ROJAS</v>
      </c>
    </row>
    <row r="890" spans="1:17" x14ac:dyDescent="0.25">
      <c r="A890" s="1">
        <v>1475</v>
      </c>
      <c r="B890" s="1">
        <v>58</v>
      </c>
      <c r="C890" s="2" t="s">
        <v>4073</v>
      </c>
      <c r="D890" s="2" t="s">
        <v>3841</v>
      </c>
      <c r="E890" s="2" t="s">
        <v>3924</v>
      </c>
      <c r="F890" s="2">
        <v>25</v>
      </c>
      <c r="G890" s="2" t="s">
        <v>3842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3925</v>
      </c>
      <c r="N890" s="4"/>
      <c r="O890" s="5"/>
      <c r="P890" s="4"/>
      <c r="Q890" s="21" t="str">
        <f>VLOOKUP(tblProductos[[#This Row],[id_proveedor]],tblProveedores[[#All],[id]:[nombre]],2,0)</f>
        <v>WILSON ROJAS</v>
      </c>
    </row>
    <row r="891" spans="1:17" x14ac:dyDescent="0.25">
      <c r="A891" s="1">
        <v>1476</v>
      </c>
      <c r="B891" s="1">
        <v>58</v>
      </c>
      <c r="C891" s="2" t="s">
        <v>3928</v>
      </c>
      <c r="D891" s="2" t="s">
        <v>3841</v>
      </c>
      <c r="E891" s="2" t="s">
        <v>3927</v>
      </c>
      <c r="F891" s="2">
        <v>300</v>
      </c>
      <c r="G891" s="2" t="s">
        <v>3842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3925</v>
      </c>
      <c r="N891" s="4"/>
      <c r="O891" s="5"/>
      <c r="P891" s="4"/>
      <c r="Q891" s="21" t="str">
        <f>VLOOKUP(tblProductos[[#This Row],[id_proveedor]],tblProveedores[[#All],[id]:[nombre]],2,0)</f>
        <v>WILSON ROJAS</v>
      </c>
    </row>
    <row r="892" spans="1:17" x14ac:dyDescent="0.25">
      <c r="A892" s="1">
        <v>1478</v>
      </c>
      <c r="B892" s="1">
        <v>58</v>
      </c>
      <c r="C892" s="2" t="s">
        <v>3929</v>
      </c>
      <c r="D892" s="2" t="s">
        <v>3841</v>
      </c>
      <c r="E892" s="2" t="s">
        <v>3930</v>
      </c>
      <c r="F892" s="2">
        <v>150</v>
      </c>
      <c r="G892" s="2" t="s">
        <v>3842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3925</v>
      </c>
      <c r="N892" s="4"/>
      <c r="O892" s="5"/>
      <c r="P892" s="4"/>
      <c r="Q892" s="21" t="str">
        <f>VLOOKUP(tblProductos[[#This Row],[id_proveedor]],tblProveedores[[#All],[id]:[nombre]],2,0)</f>
        <v>WILSON ROJAS</v>
      </c>
    </row>
    <row r="893" spans="1:17" x14ac:dyDescent="0.25">
      <c r="A893" s="1">
        <v>1479</v>
      </c>
      <c r="B893" s="1">
        <v>58</v>
      </c>
      <c r="C893" s="2" t="s">
        <v>3931</v>
      </c>
      <c r="D893" s="2" t="s">
        <v>3841</v>
      </c>
      <c r="E893" s="2" t="s">
        <v>3894</v>
      </c>
      <c r="F893" s="2">
        <v>100</v>
      </c>
      <c r="G893" s="2" t="s">
        <v>3842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3925</v>
      </c>
      <c r="N893" s="4"/>
      <c r="O893" s="5"/>
      <c r="P893" s="4"/>
      <c r="Q893" s="21" t="str">
        <f>VLOOKUP(tblProductos[[#This Row],[id_proveedor]],tblProveedores[[#All],[id]:[nombre]],2,0)</f>
        <v>WILSON ROJAS</v>
      </c>
    </row>
    <row r="894" spans="1:17" x14ac:dyDescent="0.25">
      <c r="A894" s="1">
        <v>1480</v>
      </c>
      <c r="B894" s="1">
        <v>58</v>
      </c>
      <c r="C894" s="2" t="s">
        <v>3940</v>
      </c>
      <c r="D894" s="2" t="s">
        <v>3841</v>
      </c>
      <c r="E894" s="2" t="s">
        <v>3941</v>
      </c>
      <c r="F894" s="2">
        <v>25</v>
      </c>
      <c r="G894" s="2" t="s">
        <v>3842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3925</v>
      </c>
      <c r="N894" s="4"/>
      <c r="O894" s="5"/>
      <c r="P894" s="4"/>
      <c r="Q894" s="21" t="str">
        <f>VLOOKUP(tblProductos[[#This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3898</v>
      </c>
      <c r="D895" s="2" t="s">
        <v>3923</v>
      </c>
      <c r="E895" s="2" t="s">
        <v>3897</v>
      </c>
      <c r="F895" s="2">
        <v>1000</v>
      </c>
      <c r="G895" s="2" t="s">
        <v>3867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3895</v>
      </c>
      <c r="N895" s="4"/>
      <c r="O895" s="5"/>
      <c r="P895" s="4"/>
      <c r="Q895" s="21" t="str">
        <f>VLOOKUP(tblProductos[[#This Row],[id_proveedor]],tblProveedores[[#All],[id]:[nombre]],2,0)</f>
        <v>HERNANDO ROA</v>
      </c>
    </row>
    <row r="896" spans="1:17" x14ac:dyDescent="0.25">
      <c r="A896" s="1">
        <v>1482</v>
      </c>
      <c r="B896" s="1">
        <v>58</v>
      </c>
      <c r="C896" s="2" t="s">
        <v>4079</v>
      </c>
      <c r="D896" s="2" t="s">
        <v>3923</v>
      </c>
      <c r="E896" s="2" t="s">
        <v>4080</v>
      </c>
      <c r="F896" s="2">
        <v>10</v>
      </c>
      <c r="G896" s="2" t="s">
        <v>3886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3925</v>
      </c>
      <c r="N896" s="4"/>
      <c r="O896" s="5"/>
      <c r="P896" s="4"/>
      <c r="Q896" s="21" t="str">
        <f>VLOOKUP(tblProductos[[#This Row],[id_proveedor]],tblProveedores[[#All],[id]:[nombre]],2,0)</f>
        <v>WILSON ROJAS</v>
      </c>
    </row>
    <row r="897" spans="1:17" x14ac:dyDescent="0.25">
      <c r="A897" s="1">
        <v>1483</v>
      </c>
      <c r="B897" s="1">
        <v>58</v>
      </c>
      <c r="C897" s="2" t="s">
        <v>4081</v>
      </c>
      <c r="D897" s="2" t="s">
        <v>3923</v>
      </c>
      <c r="E897" s="2" t="s">
        <v>4082</v>
      </c>
      <c r="F897" s="2">
        <v>5</v>
      </c>
      <c r="G897" s="2" t="s">
        <v>3886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3925</v>
      </c>
      <c r="N897" s="4"/>
      <c r="O897" s="5"/>
      <c r="P897" s="4"/>
      <c r="Q897" s="21" t="str">
        <f>VLOOKUP(tblProductos[[#This Row],[id_proveedor]],tblProveedores[[#All],[id]:[nombre]],2,0)</f>
        <v>WILSON ROJAS</v>
      </c>
    </row>
    <row r="898" spans="1:17" x14ac:dyDescent="0.25">
      <c r="A898" s="1">
        <v>1484</v>
      </c>
      <c r="B898" s="1">
        <v>58</v>
      </c>
      <c r="C898" s="2" t="s">
        <v>4050</v>
      </c>
      <c r="D898" s="2" t="s">
        <v>3923</v>
      </c>
      <c r="E898" s="2" t="s">
        <v>4051</v>
      </c>
      <c r="F898" s="2">
        <v>7</v>
      </c>
      <c r="G898" s="2" t="s">
        <v>3886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3925</v>
      </c>
      <c r="N898" s="4"/>
      <c r="O898" s="5"/>
      <c r="P898" s="4"/>
      <c r="Q898" s="21" t="str">
        <f>VLOOKUP(tblProductos[[#This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4083</v>
      </c>
      <c r="D899" s="2" t="s">
        <v>3841</v>
      </c>
      <c r="E899" s="2" t="s">
        <v>3875</v>
      </c>
      <c r="F899" s="2">
        <v>5000</v>
      </c>
      <c r="G899" s="2" t="s">
        <v>3873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3868</v>
      </c>
      <c r="N899" s="4"/>
      <c r="O899" s="5"/>
      <c r="P899" s="4"/>
      <c r="Q899" s="21" t="str">
        <f>VLOOKUP(tblProductos[[#This Row],[id_proveedor]],tblProveedores[[#All],[id]:[nombre]],2,0)</f>
        <v>JORGE MEDINA</v>
      </c>
    </row>
    <row r="900" spans="1:17" x14ac:dyDescent="0.25">
      <c r="A900" s="1">
        <v>1486</v>
      </c>
      <c r="B900" s="1">
        <v>58</v>
      </c>
      <c r="C900" s="2" t="s">
        <v>4084</v>
      </c>
      <c r="D900" s="2" t="s">
        <v>3923</v>
      </c>
      <c r="E900" s="2" t="s">
        <v>4085</v>
      </c>
      <c r="F900" s="2">
        <v>4</v>
      </c>
      <c r="G900" s="2" t="s">
        <v>3886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3925</v>
      </c>
      <c r="N900" s="4"/>
      <c r="O900" s="5"/>
      <c r="P900" s="4"/>
      <c r="Q900" s="21" t="str">
        <f>VLOOKUP(tblProductos[[#This Row],[id_proveedor]],tblProveedores[[#All],[id]:[nombre]],2,0)</f>
        <v>WILSON ROJAS</v>
      </c>
    </row>
    <row r="901" spans="1:17" x14ac:dyDescent="0.25">
      <c r="A901" s="1">
        <v>1487</v>
      </c>
      <c r="B901" s="1">
        <v>58</v>
      </c>
      <c r="C901" s="2" t="s">
        <v>4079</v>
      </c>
      <c r="D901" s="2" t="s">
        <v>3841</v>
      </c>
      <c r="E901" s="2" t="s">
        <v>4080</v>
      </c>
      <c r="F901" s="2">
        <v>10</v>
      </c>
      <c r="G901" s="2" t="s">
        <v>3886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3925</v>
      </c>
      <c r="N901" s="4"/>
      <c r="O901" s="5"/>
      <c r="P901" s="4"/>
      <c r="Q901" s="21" t="str">
        <f>VLOOKUP(tblProductos[[#This Row],[id_proveedor]],tblProveedores[[#All],[id]:[nombre]],2,0)</f>
        <v>WILSON ROJAS</v>
      </c>
    </row>
    <row r="902" spans="1:17" x14ac:dyDescent="0.25">
      <c r="A902" s="1">
        <v>1488</v>
      </c>
      <c r="B902" s="1">
        <v>58</v>
      </c>
      <c r="C902" s="2" t="s">
        <v>4047</v>
      </c>
      <c r="D902" s="2" t="s">
        <v>3841</v>
      </c>
      <c r="E902" s="2" t="s">
        <v>4048</v>
      </c>
      <c r="F902" s="2">
        <v>8</v>
      </c>
      <c r="G902" s="2" t="s">
        <v>3886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3925</v>
      </c>
      <c r="N902" s="4"/>
      <c r="O902" s="5"/>
      <c r="P902" s="4"/>
      <c r="Q902" s="21" t="str">
        <f>VLOOKUP(tblProductos[[#This Row],[id_proveedor]],tblProveedores[[#All],[id]:[nombre]],2,0)</f>
        <v>WILSON ROJAS</v>
      </c>
    </row>
    <row r="903" spans="1:17" x14ac:dyDescent="0.25">
      <c r="A903" s="1">
        <v>1489</v>
      </c>
      <c r="B903" s="1">
        <v>58</v>
      </c>
      <c r="C903" s="2" t="s">
        <v>4081</v>
      </c>
      <c r="D903" s="2" t="s">
        <v>3841</v>
      </c>
      <c r="E903" s="2" t="s">
        <v>4082</v>
      </c>
      <c r="F903" s="2">
        <v>5</v>
      </c>
      <c r="G903" s="2" t="s">
        <v>3886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3925</v>
      </c>
      <c r="N903" s="4"/>
      <c r="O903" s="5"/>
      <c r="P903" s="4"/>
      <c r="Q903" s="21" t="str">
        <f>VLOOKUP(tblProductos[[#This Row],[id_proveedor]],tblProveedores[[#All],[id]:[nombre]],2,0)</f>
        <v>WILSON ROJAS</v>
      </c>
    </row>
    <row r="904" spans="1:17" x14ac:dyDescent="0.25">
      <c r="A904" s="1">
        <v>1490</v>
      </c>
      <c r="B904" s="1">
        <v>58</v>
      </c>
      <c r="C904" s="2" t="s">
        <v>4084</v>
      </c>
      <c r="D904" s="2" t="s">
        <v>3841</v>
      </c>
      <c r="E904" s="2" t="s">
        <v>4085</v>
      </c>
      <c r="F904" s="2">
        <v>4</v>
      </c>
      <c r="G904" s="2" t="s">
        <v>3886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3925</v>
      </c>
      <c r="N904" s="4"/>
      <c r="O904" s="5"/>
      <c r="P904" s="4"/>
      <c r="Q904" s="21" t="str">
        <f>VLOOKUP(tblProductos[[#This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4063</v>
      </c>
      <c r="D905" s="2" t="s">
        <v>3888</v>
      </c>
      <c r="E905" s="2"/>
      <c r="F905" s="2">
        <v>100</v>
      </c>
      <c r="G905" s="2" t="s">
        <v>3842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3843</v>
      </c>
      <c r="N905" s="4"/>
      <c r="O905" s="5"/>
      <c r="P905" s="4"/>
      <c r="Q905" s="21" t="str">
        <f>VLOOKUP(tblProductos[[#This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4063</v>
      </c>
      <c r="D906" s="2" t="s">
        <v>4012</v>
      </c>
      <c r="E906" s="2"/>
      <c r="F906" s="2">
        <v>100</v>
      </c>
      <c r="G906" s="2" t="s">
        <v>3842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3843</v>
      </c>
      <c r="N906" s="4"/>
      <c r="O906" s="5"/>
      <c r="P906" s="4"/>
      <c r="Q906" s="21" t="str">
        <f>VLOOKUP(tblProductos[[#This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4086</v>
      </c>
      <c r="D907" s="2" t="s">
        <v>3841</v>
      </c>
      <c r="E907" s="2" t="s">
        <v>4087</v>
      </c>
      <c r="F907" s="2">
        <v>200</v>
      </c>
      <c r="G907" s="2" t="s">
        <v>3842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3843</v>
      </c>
      <c r="N907" s="4"/>
      <c r="O907" s="5"/>
      <c r="P907" s="4"/>
      <c r="Q907" s="21" t="str">
        <f>VLOOKUP(tblProductos[[#This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3969</v>
      </c>
      <c r="D908" s="2" t="s">
        <v>3841</v>
      </c>
      <c r="E908" s="2" t="s">
        <v>3872</v>
      </c>
      <c r="F908" s="2">
        <v>500</v>
      </c>
      <c r="G908" s="2" t="s">
        <v>3886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3882</v>
      </c>
      <c r="N908" s="4"/>
      <c r="O908" s="5"/>
      <c r="P908" s="4"/>
      <c r="Q908" s="21" t="str">
        <f>VLOOKUP(tblProductos[[#This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3969</v>
      </c>
      <c r="D909" s="2" t="s">
        <v>4009</v>
      </c>
      <c r="E909" s="2" t="s">
        <v>3872</v>
      </c>
      <c r="F909" s="2">
        <v>500</v>
      </c>
      <c r="G909" s="2" t="s">
        <v>3886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3882</v>
      </c>
      <c r="N909" s="4"/>
      <c r="O909" s="5"/>
      <c r="P909" s="4"/>
      <c r="Q909" s="21" t="str">
        <f>VLOOKUP(tblProductos[[#This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3849</v>
      </c>
      <c r="D910" s="2" t="s">
        <v>3841</v>
      </c>
      <c r="E910" s="2" t="s">
        <v>3850</v>
      </c>
      <c r="F910" s="2">
        <v>500</v>
      </c>
      <c r="G910" s="2" t="s">
        <v>3842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3843</v>
      </c>
      <c r="N910" s="4"/>
      <c r="O910" s="5"/>
      <c r="P910" s="4"/>
      <c r="Q910" s="21" t="str">
        <f>VLOOKUP(tblProductos[[#This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4088</v>
      </c>
      <c r="D911" s="2" t="s">
        <v>3841</v>
      </c>
      <c r="E911" s="2" t="s">
        <v>4089</v>
      </c>
      <c r="F911" s="2">
        <v>500</v>
      </c>
      <c r="G911" s="2" t="s">
        <v>3842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3843</v>
      </c>
      <c r="N911" s="4"/>
      <c r="O911" s="5"/>
      <c r="P911" s="4"/>
      <c r="Q911" s="21" t="str">
        <f>VLOOKUP(tblProductos[[#This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4090</v>
      </c>
      <c r="D912" s="2" t="s">
        <v>3841</v>
      </c>
      <c r="E912" s="2" t="s">
        <v>4091</v>
      </c>
      <c r="F912" s="2">
        <v>500</v>
      </c>
      <c r="G912" s="2" t="s">
        <v>3842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3843</v>
      </c>
      <c r="N912" s="4"/>
      <c r="O912" s="5"/>
      <c r="P912" s="4"/>
      <c r="Q912" s="21" t="str">
        <f>VLOOKUP(tblProductos[[#This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4092</v>
      </c>
      <c r="D913" s="2" t="s">
        <v>3841</v>
      </c>
      <c r="E913" s="2" t="s">
        <v>4093</v>
      </c>
      <c r="F913" s="2">
        <v>400</v>
      </c>
      <c r="G913" s="2" t="s">
        <v>3842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3843</v>
      </c>
      <c r="N913" s="4"/>
      <c r="O913" s="5"/>
      <c r="P913" s="4"/>
      <c r="Q913" s="21" t="str">
        <f>VLOOKUP(tblProductos[[#This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4094</v>
      </c>
      <c r="D914" s="2" t="s">
        <v>3923</v>
      </c>
      <c r="E914" s="2" t="s">
        <v>3930</v>
      </c>
      <c r="F914" s="2">
        <v>1000</v>
      </c>
      <c r="G914" s="2" t="s">
        <v>3873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3895</v>
      </c>
      <c r="N914" s="4"/>
      <c r="O914" s="5"/>
      <c r="P914" s="4"/>
      <c r="Q914" s="21" t="str">
        <f>VLOOKUP(tblProductos[[#This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4095</v>
      </c>
      <c r="D915" s="2" t="s">
        <v>3923</v>
      </c>
      <c r="E915" s="2" t="s">
        <v>3894</v>
      </c>
      <c r="F915" s="2">
        <v>1000</v>
      </c>
      <c r="G915" s="2" t="s">
        <v>3873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3895</v>
      </c>
      <c r="N915" s="4"/>
      <c r="O915" s="5"/>
      <c r="P915" s="4"/>
      <c r="Q915" s="21" t="str">
        <f>VLOOKUP(tblProductos[[#This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4096</v>
      </c>
      <c r="D916" s="2" t="s">
        <v>3923</v>
      </c>
      <c r="E916" s="2" t="s">
        <v>3933</v>
      </c>
      <c r="F916" s="2">
        <v>1000</v>
      </c>
      <c r="G916" s="2" t="s">
        <v>3873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3895</v>
      </c>
      <c r="N916" s="4"/>
      <c r="O916" s="5"/>
      <c r="P916" s="4"/>
      <c r="Q916" s="21" t="str">
        <f>VLOOKUP(tblProductos[[#This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4097</v>
      </c>
      <c r="D917" s="2" t="s">
        <v>3923</v>
      </c>
      <c r="E917" s="2" t="s">
        <v>3935</v>
      </c>
      <c r="F917" s="2">
        <v>1000</v>
      </c>
      <c r="G917" s="2" t="s">
        <v>3873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3895</v>
      </c>
      <c r="N917" s="4"/>
      <c r="O917" s="5"/>
      <c r="P917" s="4"/>
      <c r="Q917" s="21" t="str">
        <f>VLOOKUP(tblProductos[[#This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4098</v>
      </c>
      <c r="D918" s="2" t="s">
        <v>3841</v>
      </c>
      <c r="E918" s="2" t="s">
        <v>4099</v>
      </c>
      <c r="F918" s="2">
        <v>400</v>
      </c>
      <c r="G918" s="2" t="s">
        <v>3842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3843</v>
      </c>
      <c r="N918" s="4"/>
      <c r="O918" s="5"/>
      <c r="P918" s="4"/>
      <c r="Q918" s="21" t="str">
        <f>VLOOKUP(tblProductos[[#This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3962</v>
      </c>
      <c r="D919" s="2" t="s">
        <v>4007</v>
      </c>
      <c r="E919" s="2" t="s">
        <v>3877</v>
      </c>
      <c r="F919" s="2">
        <v>500</v>
      </c>
      <c r="G919" s="2" t="s">
        <v>3886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3882</v>
      </c>
      <c r="N919" s="4"/>
      <c r="O919" s="5"/>
      <c r="P919" s="4"/>
      <c r="Q919" s="21" t="str">
        <f>VLOOKUP(tblProductos[[#This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3960</v>
      </c>
      <c r="D920" s="2" t="s">
        <v>4007</v>
      </c>
      <c r="E920" s="2" t="s">
        <v>3879</v>
      </c>
      <c r="F920" s="2">
        <v>500</v>
      </c>
      <c r="G920" s="2" t="s">
        <v>3886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3882</v>
      </c>
      <c r="N920" s="4"/>
      <c r="O920" s="5"/>
      <c r="P920" s="4"/>
      <c r="Q920" s="21" t="str">
        <f>VLOOKUP(tblProductos[[#This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3910</v>
      </c>
      <c r="D921" s="2" t="s">
        <v>4013</v>
      </c>
      <c r="E921" s="2" t="s">
        <v>3875</v>
      </c>
      <c r="F921" s="2">
        <v>250</v>
      </c>
      <c r="G921" s="2" t="s">
        <v>3886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3895</v>
      </c>
      <c r="N921" s="4"/>
      <c r="O921" s="5">
        <v>5</v>
      </c>
      <c r="P921" s="4"/>
      <c r="Q921" s="21" t="str">
        <f>VLOOKUP(tblProductos[[#This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3900</v>
      </c>
      <c r="D922" s="2" t="s">
        <v>4033</v>
      </c>
      <c r="E922" s="2" t="s">
        <v>3901</v>
      </c>
      <c r="F922" s="2">
        <v>1000</v>
      </c>
      <c r="G922" s="2" t="s">
        <v>3873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3895</v>
      </c>
      <c r="N922" s="4"/>
      <c r="O922" s="5"/>
      <c r="P922" s="4"/>
      <c r="Q922" s="21" t="str">
        <f>VLOOKUP(tblProductos[[#This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3984</v>
      </c>
      <c r="D923" s="2" t="s">
        <v>3888</v>
      </c>
      <c r="E923" s="2"/>
      <c r="F923" s="2">
        <v>80</v>
      </c>
      <c r="G923" s="2" t="s">
        <v>3842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3843</v>
      </c>
      <c r="N923" s="4"/>
      <c r="O923" s="5"/>
      <c r="P923" s="4"/>
      <c r="Q923" s="21" t="str">
        <f>VLOOKUP(tblProductos[[#This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3958</v>
      </c>
      <c r="D924" s="2" t="s">
        <v>4020</v>
      </c>
      <c r="E924" s="2" t="s">
        <v>3875</v>
      </c>
      <c r="F924" s="2">
        <v>500</v>
      </c>
      <c r="G924" s="2" t="s">
        <v>3886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3882</v>
      </c>
      <c r="N924" s="4"/>
      <c r="O924" s="5"/>
      <c r="P924" s="4"/>
      <c r="Q924" s="21" t="str">
        <f>VLOOKUP(tblProductos[[#This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3947</v>
      </c>
      <c r="D925" s="2" t="s">
        <v>3888</v>
      </c>
      <c r="E925" s="2"/>
      <c r="F925" s="2">
        <v>500</v>
      </c>
      <c r="G925" s="2" t="s">
        <v>3873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3868</v>
      </c>
      <c r="N925" s="4"/>
      <c r="O925" s="5">
        <v>4</v>
      </c>
      <c r="P925" s="4"/>
      <c r="Q925" s="21" t="str">
        <f>VLOOKUP(tblProductos[[#This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4049</v>
      </c>
      <c r="D926" s="2" t="s">
        <v>3888</v>
      </c>
      <c r="E926" s="2" t="s">
        <v>3875</v>
      </c>
      <c r="F926" s="2">
        <v>1000</v>
      </c>
      <c r="G926" s="2" t="s">
        <v>3873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3868</v>
      </c>
      <c r="N926" s="4"/>
      <c r="O926" s="5">
        <v>2</v>
      </c>
      <c r="P926" s="4"/>
      <c r="Q926" s="21" t="str">
        <f>VLOOKUP(tblProductos[[#This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3920</v>
      </c>
      <c r="D927" s="2" t="s">
        <v>3923</v>
      </c>
      <c r="E927" s="2"/>
      <c r="F927" s="2">
        <v>50</v>
      </c>
      <c r="G927" s="2" t="s">
        <v>3842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3843</v>
      </c>
      <c r="N927" s="4"/>
      <c r="O927" s="5"/>
      <c r="P927" s="4"/>
      <c r="Q927" s="21" t="str">
        <f>VLOOKUP(tblProductos[[#This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4100</v>
      </c>
      <c r="D928" s="2" t="s">
        <v>3923</v>
      </c>
      <c r="E928" s="2" t="s">
        <v>3897</v>
      </c>
      <c r="F928" s="2">
        <v>1000</v>
      </c>
      <c r="G928" s="2" t="s">
        <v>3873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3895</v>
      </c>
      <c r="N928" s="4"/>
      <c r="O928" s="5"/>
      <c r="P928" s="4"/>
      <c r="Q928" s="21" t="str">
        <f>VLOOKUP(tblProductos[[#This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4101</v>
      </c>
      <c r="D929" s="2" t="s">
        <v>3841</v>
      </c>
      <c r="E929" s="2"/>
      <c r="F929" s="2">
        <v>2500</v>
      </c>
      <c r="G929" s="2" t="s">
        <v>3873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3895</v>
      </c>
      <c r="N929" s="4"/>
      <c r="O929" s="5"/>
      <c r="P929" s="4"/>
      <c r="Q929" s="21" t="str">
        <f>VLOOKUP(tblProductos[[#This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3910</v>
      </c>
      <c r="D930" s="2" t="s">
        <v>4029</v>
      </c>
      <c r="E930" s="2" t="s">
        <v>3875</v>
      </c>
      <c r="F930" s="2">
        <v>250</v>
      </c>
      <c r="G930" s="2" t="s">
        <v>3886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3895</v>
      </c>
      <c r="N930" s="4"/>
      <c r="O930" s="5">
        <v>5</v>
      </c>
      <c r="P930" s="4"/>
      <c r="Q930" s="21" t="str">
        <f>VLOOKUP(tblProductos[[#This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3942</v>
      </c>
      <c r="D931" s="2" t="s">
        <v>3888</v>
      </c>
      <c r="E931" s="2"/>
      <c r="F931" s="2">
        <v>50</v>
      </c>
      <c r="G931" s="2" t="s">
        <v>3842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3943</v>
      </c>
      <c r="N931" s="4"/>
      <c r="O931" s="5">
        <v>6</v>
      </c>
      <c r="P931" s="4"/>
      <c r="Q931" s="21" t="str">
        <f>VLOOKUP(tblProductos[[#This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4049</v>
      </c>
      <c r="D932" s="2" t="s">
        <v>4029</v>
      </c>
      <c r="E932" s="2" t="s">
        <v>3875</v>
      </c>
      <c r="F932" s="2">
        <v>1000</v>
      </c>
      <c r="G932" s="2" t="s">
        <v>3873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3868</v>
      </c>
      <c r="N932" s="4"/>
      <c r="O932" s="5"/>
      <c r="P932" s="4"/>
      <c r="Q932" s="21" t="str">
        <f>VLOOKUP(tblProductos[[#This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3959</v>
      </c>
      <c r="D933" s="2" t="s">
        <v>4029</v>
      </c>
      <c r="E933" s="2" t="s">
        <v>3877</v>
      </c>
      <c r="F933" s="2">
        <v>500</v>
      </c>
      <c r="G933" s="2" t="s">
        <v>3886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3882</v>
      </c>
      <c r="N933" s="4"/>
      <c r="O933" s="5"/>
      <c r="P933" s="4"/>
      <c r="Q933" s="21" t="str">
        <f>VLOOKUP(tblProductos[[#This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3945</v>
      </c>
      <c r="D934" s="2" t="s">
        <v>3841</v>
      </c>
      <c r="E934" s="2"/>
      <c r="F934" s="2">
        <v>30</v>
      </c>
      <c r="G934" s="2" t="s">
        <v>3842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3943</v>
      </c>
      <c r="N934" s="4"/>
      <c r="O934" s="5">
        <v>100</v>
      </c>
      <c r="P934" s="4"/>
      <c r="Q934" s="21" t="str">
        <f>VLOOKUP(tblProductos[[#This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3855</v>
      </c>
      <c r="D935" s="2" t="s">
        <v>4007</v>
      </c>
      <c r="E935" s="2" t="s">
        <v>3856</v>
      </c>
      <c r="F935" s="2">
        <v>200</v>
      </c>
      <c r="G935" s="2" t="s">
        <v>3842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3843</v>
      </c>
      <c r="N935" s="4"/>
      <c r="O935" s="5"/>
      <c r="P935" s="4"/>
      <c r="Q935" s="21" t="str">
        <f>VLOOKUP(tblProductos[[#This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3984</v>
      </c>
      <c r="D936" s="2" t="s">
        <v>3841</v>
      </c>
      <c r="E936" s="2"/>
      <c r="F936" s="2">
        <v>100</v>
      </c>
      <c r="G936" s="2" t="s">
        <v>3842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3843</v>
      </c>
      <c r="N936" s="4"/>
      <c r="O936" s="5"/>
      <c r="P936" s="4"/>
      <c r="Q936" s="21" t="str">
        <f>VLOOKUP(tblProductos[[#This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4102</v>
      </c>
      <c r="D937" s="2" t="s">
        <v>3841</v>
      </c>
      <c r="E937" s="2" t="s">
        <v>4004</v>
      </c>
      <c r="F937" s="2">
        <v>1</v>
      </c>
      <c r="G937" s="2" t="s">
        <v>3842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4069</v>
      </c>
      <c r="N937" s="4"/>
      <c r="O937" s="5"/>
      <c r="P937" s="4"/>
      <c r="Q937" s="21" t="str">
        <f>VLOOKUP(tblProductos[[#This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4103</v>
      </c>
      <c r="D938" s="2" t="s">
        <v>3841</v>
      </c>
      <c r="E938" s="2" t="s">
        <v>4104</v>
      </c>
      <c r="F938" s="2">
        <v>1</v>
      </c>
      <c r="G938" s="2" t="s">
        <v>3842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4069</v>
      </c>
      <c r="N938" s="4"/>
      <c r="O938" s="5"/>
      <c r="P938" s="4"/>
      <c r="Q938" s="21" t="str">
        <f>VLOOKUP(tblProductos[[#This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3952</v>
      </c>
      <c r="D939" s="2" t="s">
        <v>4022</v>
      </c>
      <c r="E939" s="2"/>
      <c r="F939" s="2">
        <v>50</v>
      </c>
      <c r="G939" s="2" t="s">
        <v>3842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3843</v>
      </c>
      <c r="N939" s="4"/>
      <c r="O939" s="5"/>
      <c r="P939" s="4"/>
      <c r="Q939" s="21" t="str">
        <f>VLOOKUP(tblProductos[[#This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3952</v>
      </c>
      <c r="D940" s="2" t="s">
        <v>4017</v>
      </c>
      <c r="E940" s="2"/>
      <c r="F940" s="2">
        <v>50</v>
      </c>
      <c r="G940" s="2" t="s">
        <v>3842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3843</v>
      </c>
      <c r="N940" s="4"/>
      <c r="O940" s="5"/>
      <c r="P940" s="4"/>
      <c r="Q940" s="21" t="str">
        <f>VLOOKUP(tblProductos[[#This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3920</v>
      </c>
      <c r="D941" s="2" t="s">
        <v>4022</v>
      </c>
      <c r="E941" s="2"/>
      <c r="F941" s="2">
        <v>50</v>
      </c>
      <c r="G941" s="2" t="s">
        <v>3842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3843</v>
      </c>
      <c r="N941" s="4"/>
      <c r="O941" s="5"/>
      <c r="P941" s="4"/>
      <c r="Q941" s="21" t="str">
        <f>VLOOKUP(tblProductos[[#This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3984</v>
      </c>
      <c r="D942" s="2" t="s">
        <v>4007</v>
      </c>
      <c r="E942" s="2"/>
      <c r="F942" s="2">
        <v>100</v>
      </c>
      <c r="G942" s="2" t="s">
        <v>3842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3843</v>
      </c>
      <c r="N942" s="4"/>
      <c r="O942" s="5"/>
      <c r="P942" s="4"/>
      <c r="Q942" s="21" t="str">
        <f>VLOOKUP(tblProductos[[#This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3909</v>
      </c>
      <c r="D943" s="2" t="s">
        <v>3841</v>
      </c>
      <c r="E943" s="2"/>
      <c r="F943" s="2">
        <v>2000</v>
      </c>
      <c r="G943" s="2" t="s">
        <v>3886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3868</v>
      </c>
      <c r="N943" s="4"/>
      <c r="O943" s="5"/>
      <c r="P943" s="4"/>
      <c r="Q943" s="21" t="str">
        <f>VLOOKUP(tblProductos[[#This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4105</v>
      </c>
      <c r="D944" s="2" t="s">
        <v>3841</v>
      </c>
      <c r="E944" s="2"/>
      <c r="F944" s="2">
        <v>500</v>
      </c>
      <c r="G944" s="2" t="s">
        <v>3873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3868</v>
      </c>
      <c r="N944" s="4"/>
      <c r="O944" s="5"/>
      <c r="P944" s="4"/>
      <c r="Q944" s="21" t="str">
        <f>VLOOKUP(tblProductos[[#This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3899</v>
      </c>
      <c r="D945" s="2" t="s">
        <v>4017</v>
      </c>
      <c r="E945" s="2" t="s">
        <v>3897</v>
      </c>
      <c r="F945" s="2">
        <v>2000</v>
      </c>
      <c r="G945" s="2" t="s">
        <v>3873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3895</v>
      </c>
      <c r="N945" s="4"/>
      <c r="O945" s="5"/>
      <c r="P945" s="4"/>
      <c r="Q945" s="21" t="str">
        <f>VLOOKUP(tblProductos[[#This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4106</v>
      </c>
      <c r="D946" s="2" t="s">
        <v>3841</v>
      </c>
      <c r="E946" s="2"/>
      <c r="F946" s="2">
        <v>50</v>
      </c>
      <c r="G946" s="2" t="s">
        <v>3842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3843</v>
      </c>
      <c r="N946" s="4"/>
      <c r="O946" s="5"/>
      <c r="P946" s="4"/>
      <c r="Q946" s="21" t="str">
        <f>VLOOKUP(tblProductos[[#This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3984</v>
      </c>
      <c r="D947" s="2" t="s">
        <v>3923</v>
      </c>
      <c r="E947" s="2"/>
      <c r="F947" s="2">
        <v>100</v>
      </c>
      <c r="G947" s="2" t="s">
        <v>3842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3843</v>
      </c>
      <c r="N947" s="4"/>
      <c r="O947" s="5"/>
      <c r="P947" s="4"/>
      <c r="Q947" s="21" t="str">
        <f>VLOOKUP(tblProductos[[#This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4040</v>
      </c>
      <c r="D948" s="2" t="s">
        <v>3923</v>
      </c>
      <c r="E948" s="2" t="s">
        <v>3875</v>
      </c>
      <c r="F948" s="2">
        <v>500</v>
      </c>
      <c r="G948" s="2" t="s">
        <v>3867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3895</v>
      </c>
      <c r="N948" s="4"/>
      <c r="O948" s="5"/>
      <c r="P948" s="4"/>
      <c r="Q948" s="21" t="str">
        <f>VLOOKUP(tblProductos[[#This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3984</v>
      </c>
      <c r="D949" s="2" t="s">
        <v>4029</v>
      </c>
      <c r="E949" s="2"/>
      <c r="F949" s="2">
        <v>100</v>
      </c>
      <c r="G949" s="2" t="s">
        <v>3842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3843</v>
      </c>
      <c r="N949" s="4"/>
      <c r="O949" s="5"/>
      <c r="P949" s="4"/>
      <c r="Q949" s="21" t="str">
        <f>VLOOKUP(tblProductos[[#This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3945</v>
      </c>
      <c r="D950" s="2" t="s">
        <v>3841</v>
      </c>
      <c r="E950" s="2"/>
      <c r="F950" s="2">
        <v>50</v>
      </c>
      <c r="G950" s="2" t="s">
        <v>3842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3943</v>
      </c>
      <c r="N950" s="4"/>
      <c r="O950" s="5"/>
      <c r="P950" s="4"/>
      <c r="Q950" s="21" t="str">
        <f>VLOOKUP(tblProductos[[#This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3984</v>
      </c>
      <c r="D951" s="2" t="s">
        <v>4017</v>
      </c>
      <c r="E951" s="2"/>
      <c r="F951" s="2">
        <v>100</v>
      </c>
      <c r="G951" s="2" t="s">
        <v>3842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3843</v>
      </c>
      <c r="N951" s="4"/>
      <c r="O951" s="5"/>
      <c r="P951" s="4"/>
      <c r="Q951" s="21" t="str">
        <f>VLOOKUP(tblProductos[[#This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3984</v>
      </c>
      <c r="D952" s="2" t="s">
        <v>4021</v>
      </c>
      <c r="E952" s="2"/>
      <c r="F952" s="2">
        <v>100</v>
      </c>
      <c r="G952" s="2" t="s">
        <v>3842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3843</v>
      </c>
      <c r="N952" s="4"/>
      <c r="O952" s="5"/>
      <c r="P952" s="4"/>
      <c r="Q952" s="21" t="str">
        <f>VLOOKUP(tblProductos[[#This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3984</v>
      </c>
      <c r="D953" s="2" t="s">
        <v>4009</v>
      </c>
      <c r="E953" s="2"/>
      <c r="F953" s="2">
        <v>100</v>
      </c>
      <c r="G953" s="2" t="s">
        <v>3842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3843</v>
      </c>
      <c r="N953" s="4"/>
      <c r="O953" s="5"/>
      <c r="P953" s="4"/>
      <c r="Q953" s="21" t="str">
        <f>VLOOKUP(tblProductos[[#This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4040</v>
      </c>
      <c r="D954" s="2" t="s">
        <v>4011</v>
      </c>
      <c r="E954" s="2" t="s">
        <v>3875</v>
      </c>
      <c r="F954" s="2">
        <v>500</v>
      </c>
      <c r="G954" s="2" t="s">
        <v>3867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3895</v>
      </c>
      <c r="N954" s="4"/>
      <c r="O954" s="5"/>
      <c r="P954" s="4"/>
      <c r="Q954" s="21" t="str">
        <f>VLOOKUP(tblProductos[[#This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3893</v>
      </c>
      <c r="D955" s="2" t="s">
        <v>4021</v>
      </c>
      <c r="E955" s="2" t="s">
        <v>3894</v>
      </c>
      <c r="F955" s="2">
        <v>500</v>
      </c>
      <c r="G955" s="2" t="s">
        <v>3842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3895</v>
      </c>
      <c r="N955" s="4"/>
      <c r="O955" s="5"/>
      <c r="P955" s="4"/>
      <c r="Q955" s="21" t="str">
        <f>VLOOKUP(tblProductos[[#This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3893</v>
      </c>
      <c r="D956" s="2" t="s">
        <v>4020</v>
      </c>
      <c r="E956" s="2" t="s">
        <v>3894</v>
      </c>
      <c r="F956" s="2">
        <v>500</v>
      </c>
      <c r="G956" s="2" t="s">
        <v>3842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3895</v>
      </c>
      <c r="N956" s="4"/>
      <c r="O956" s="5"/>
      <c r="P956" s="4"/>
      <c r="Q956" s="21" t="str">
        <f>VLOOKUP(tblProductos[[#This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4107</v>
      </c>
      <c r="D957" s="2" t="s">
        <v>3888</v>
      </c>
      <c r="E957" s="2" t="s">
        <v>3875</v>
      </c>
      <c r="F957" s="2">
        <v>5000</v>
      </c>
      <c r="G957" s="2" t="s">
        <v>3873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3868</v>
      </c>
      <c r="N957" s="4"/>
      <c r="O957" s="5"/>
      <c r="P957" s="4"/>
      <c r="Q957" s="21" t="str">
        <f>VLOOKUP(tblProductos[[#This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4107</v>
      </c>
      <c r="D958" s="2" t="s">
        <v>4007</v>
      </c>
      <c r="E958" s="2" t="s">
        <v>3875</v>
      </c>
      <c r="F958" s="2">
        <v>5000</v>
      </c>
      <c r="G958" s="2" t="s">
        <v>3873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3868</v>
      </c>
      <c r="N958" s="4"/>
      <c r="O958" s="5"/>
      <c r="P958" s="4"/>
      <c r="Q958" s="21" t="str">
        <f>VLOOKUP(tblProductos[[#This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4049</v>
      </c>
      <c r="D959" s="2" t="s">
        <v>4008</v>
      </c>
      <c r="E959" s="2" t="s">
        <v>3875</v>
      </c>
      <c r="F959" s="2">
        <v>5000</v>
      </c>
      <c r="G959" s="2" t="s">
        <v>3873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3868</v>
      </c>
      <c r="N959" s="4"/>
      <c r="O959" s="5"/>
      <c r="P959" s="4"/>
      <c r="Q959" s="21" t="str">
        <f>VLOOKUP(tblProductos[[#This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4107</v>
      </c>
      <c r="D960" s="2" t="s">
        <v>3841</v>
      </c>
      <c r="E960" s="2" t="s">
        <v>3875</v>
      </c>
      <c r="F960" s="2">
        <v>5000</v>
      </c>
      <c r="G960" s="2" t="s">
        <v>3873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3868</v>
      </c>
      <c r="N960" s="4"/>
      <c r="O960" s="5"/>
      <c r="P960" s="4"/>
      <c r="Q960" s="21" t="str">
        <f>VLOOKUP(tblProductos[[#This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4049</v>
      </c>
      <c r="D961" s="2" t="s">
        <v>4006</v>
      </c>
      <c r="E961" s="2" t="s">
        <v>3875</v>
      </c>
      <c r="F961" s="2">
        <v>5000</v>
      </c>
      <c r="G961" s="2" t="s">
        <v>3873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3868</v>
      </c>
      <c r="N961" s="4"/>
      <c r="O961" s="5"/>
      <c r="P961" s="4"/>
      <c r="Q961" s="21" t="str">
        <f>VLOOKUP(tblProductos[[#This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4107</v>
      </c>
      <c r="D962" s="2" t="s">
        <v>4006</v>
      </c>
      <c r="E962" s="2" t="s">
        <v>3875</v>
      </c>
      <c r="F962" s="2">
        <v>5000</v>
      </c>
      <c r="G962" s="2" t="s">
        <v>3873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3868</v>
      </c>
      <c r="N962" s="4"/>
      <c r="O962" s="5"/>
      <c r="P962" s="4"/>
      <c r="Q962" s="21" t="str">
        <f>VLOOKUP(tblProductos[[#This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4108</v>
      </c>
      <c r="D963" s="2" t="s">
        <v>3841</v>
      </c>
      <c r="E963" s="2" t="s">
        <v>3875</v>
      </c>
      <c r="F963" s="2">
        <v>5000</v>
      </c>
      <c r="G963" s="2" t="s">
        <v>3873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3868</v>
      </c>
      <c r="N963" s="4"/>
      <c r="O963" s="5"/>
      <c r="P963" s="4"/>
      <c r="Q963" s="21" t="str">
        <f>VLOOKUP(tblProductos[[#This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4108</v>
      </c>
      <c r="D964" s="2" t="s">
        <v>3888</v>
      </c>
      <c r="E964" s="2" t="s">
        <v>3875</v>
      </c>
      <c r="F964" s="2">
        <v>3000</v>
      </c>
      <c r="G964" s="2" t="s">
        <v>3873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3868</v>
      </c>
      <c r="N964" s="4"/>
      <c r="O964" s="5"/>
      <c r="P964" s="4"/>
      <c r="Q964" s="21" t="str">
        <f>VLOOKUP(tblProductos[[#This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4108</v>
      </c>
      <c r="D965" s="2" t="s">
        <v>4007</v>
      </c>
      <c r="E965" s="2" t="s">
        <v>3875</v>
      </c>
      <c r="F965" s="2">
        <v>3000</v>
      </c>
      <c r="G965" s="2" t="s">
        <v>3873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3868</v>
      </c>
      <c r="N965" s="4"/>
      <c r="O965" s="5"/>
      <c r="P965" s="4"/>
      <c r="Q965" s="21" t="str">
        <f>VLOOKUP(tblProductos[[#This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4108</v>
      </c>
      <c r="D966" s="2" t="s">
        <v>4008</v>
      </c>
      <c r="E966" s="2" t="s">
        <v>3875</v>
      </c>
      <c r="F966" s="2">
        <v>3000</v>
      </c>
      <c r="G966" s="2" t="s">
        <v>3873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3868</v>
      </c>
      <c r="N966" s="4"/>
      <c r="O966" s="5"/>
      <c r="P966" s="4"/>
      <c r="Q966" s="21" t="str">
        <f>VLOOKUP(tblProductos[[#This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4108</v>
      </c>
      <c r="D967" s="2" t="s">
        <v>3919</v>
      </c>
      <c r="E967" s="2" t="s">
        <v>3875</v>
      </c>
      <c r="F967" s="2">
        <v>3000</v>
      </c>
      <c r="G967" s="2" t="s">
        <v>3873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3868</v>
      </c>
      <c r="N967" s="4"/>
      <c r="O967" s="5"/>
      <c r="P967" s="4"/>
      <c r="Q967" s="21" t="str">
        <f>VLOOKUP(tblProductos[[#This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4108</v>
      </c>
      <c r="D968" s="2" t="s">
        <v>4006</v>
      </c>
      <c r="E968" s="2" t="s">
        <v>3875</v>
      </c>
      <c r="F968" s="2">
        <v>3000</v>
      </c>
      <c r="G968" s="2" t="s">
        <v>3873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3868</v>
      </c>
      <c r="N968" s="4"/>
      <c r="O968" s="5"/>
      <c r="P968" s="4"/>
      <c r="Q968" s="21" t="str">
        <f>VLOOKUP(tblProductos[[#This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3910</v>
      </c>
      <c r="D969" s="2" t="s">
        <v>4015</v>
      </c>
      <c r="E969" s="2" t="s">
        <v>3875</v>
      </c>
      <c r="F969" s="2">
        <v>250</v>
      </c>
      <c r="G969" s="2" t="s">
        <v>3886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3895</v>
      </c>
      <c r="N969" s="4"/>
      <c r="O969" s="5">
        <v>5</v>
      </c>
      <c r="P969" s="4"/>
      <c r="Q969" s="21" t="str">
        <f>VLOOKUP(tblProductos[[#This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4109</v>
      </c>
      <c r="D970" s="2" t="s">
        <v>3841</v>
      </c>
      <c r="E970" s="2" t="s">
        <v>3879</v>
      </c>
      <c r="F970" s="2">
        <v>500</v>
      </c>
      <c r="G970" s="2" t="s">
        <v>3886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3882</v>
      </c>
      <c r="N970" s="4"/>
      <c r="O970" s="5">
        <v>21</v>
      </c>
      <c r="P970" s="4"/>
      <c r="Q970" s="21" t="str">
        <f>VLOOKUP(tblProductos[[#This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4042</v>
      </c>
      <c r="D971" s="2" t="s">
        <v>4011</v>
      </c>
      <c r="E971" s="2"/>
      <c r="F971" s="2">
        <v>50</v>
      </c>
      <c r="G971" s="2" t="s">
        <v>3842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3843</v>
      </c>
      <c r="N971" s="4"/>
      <c r="O971" s="5"/>
      <c r="P971" s="4"/>
      <c r="Q971" s="21" t="str">
        <f>VLOOKUP(tblProductos[[#This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4042</v>
      </c>
      <c r="D972" s="2" t="s">
        <v>3923</v>
      </c>
      <c r="E972" s="2"/>
      <c r="F972" s="2">
        <v>50</v>
      </c>
      <c r="G972" s="2" t="s">
        <v>3842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3843</v>
      </c>
      <c r="N972" s="4"/>
      <c r="O972" s="5"/>
      <c r="P972" s="4"/>
      <c r="Q972" s="21" t="str">
        <f>VLOOKUP(tblProductos[[#This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4042</v>
      </c>
      <c r="D973" s="2" t="s">
        <v>3888</v>
      </c>
      <c r="E973" s="2"/>
      <c r="F973" s="2">
        <v>50</v>
      </c>
      <c r="G973" s="2" t="s">
        <v>3842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3843</v>
      </c>
      <c r="N973" s="4"/>
      <c r="O973" s="5"/>
      <c r="P973" s="4"/>
      <c r="Q973" s="21" t="str">
        <f>VLOOKUP(tblProductos[[#This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4042</v>
      </c>
      <c r="D974" s="2" t="s">
        <v>4021</v>
      </c>
      <c r="E974" s="2"/>
      <c r="F974" s="2">
        <v>50</v>
      </c>
      <c r="G974" s="2" t="s">
        <v>3842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3843</v>
      </c>
      <c r="N974" s="4"/>
      <c r="O974" s="5"/>
      <c r="P974" s="4"/>
      <c r="Q974" s="21" t="str">
        <f>VLOOKUP(tblProductos[[#This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4110</v>
      </c>
      <c r="D975" s="2" t="s">
        <v>3841</v>
      </c>
      <c r="E975" s="2" t="s">
        <v>3875</v>
      </c>
      <c r="F975" s="2">
        <v>500</v>
      </c>
      <c r="G975" s="2" t="s">
        <v>3886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3882</v>
      </c>
      <c r="N975" s="4"/>
      <c r="O975" s="5">
        <v>21</v>
      </c>
      <c r="P975" s="4"/>
      <c r="Q975" s="21" t="str">
        <f>VLOOKUP(tblProductos[[#This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3224</v>
      </c>
      <c r="D976" s="2" t="s">
        <v>3841</v>
      </c>
      <c r="E976" s="2"/>
      <c r="F976" s="2">
        <v>150</v>
      </c>
      <c r="G976" s="2" t="s">
        <v>3842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3843</v>
      </c>
      <c r="N976" s="4"/>
      <c r="O976" s="5"/>
      <c r="P976" s="4"/>
      <c r="Q976" s="21" t="str">
        <f>VLOOKUP(tblProductos[[#This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3224</v>
      </c>
      <c r="D977" s="2" t="s">
        <v>3888</v>
      </c>
      <c r="E977" s="2"/>
      <c r="F977" s="2">
        <v>150</v>
      </c>
      <c r="G977" s="2" t="s">
        <v>3842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3843</v>
      </c>
      <c r="N977" s="4"/>
      <c r="O977" s="5"/>
      <c r="P977" s="4"/>
      <c r="Q977" s="21" t="str">
        <f>VLOOKUP(tblProductos[[#This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3965</v>
      </c>
      <c r="D978" s="2" t="s">
        <v>3888</v>
      </c>
      <c r="E978" s="2" t="s">
        <v>3875</v>
      </c>
      <c r="F978" s="2">
        <v>500</v>
      </c>
      <c r="G978" s="2" t="s">
        <v>3886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3882</v>
      </c>
      <c r="N978" s="4"/>
      <c r="O978" s="5"/>
      <c r="P978" s="4"/>
      <c r="Q978" s="21" t="str">
        <f>VLOOKUP(tblProductos[[#This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3150</v>
      </c>
      <c r="D979" s="2" t="s">
        <v>3841</v>
      </c>
      <c r="E979" s="2"/>
      <c r="F979" s="2">
        <v>50</v>
      </c>
      <c r="G979" s="2" t="s">
        <v>3842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3843</v>
      </c>
      <c r="N979" s="4"/>
      <c r="O979" s="5"/>
      <c r="P979" s="4"/>
      <c r="Q979" s="21" t="str">
        <f>VLOOKUP(tblProductos[[#This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4110</v>
      </c>
      <c r="D980" s="2" t="s">
        <v>3888</v>
      </c>
      <c r="E980" s="2" t="s">
        <v>3875</v>
      </c>
      <c r="F980" s="2">
        <v>500</v>
      </c>
      <c r="G980" s="2" t="s">
        <v>3886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3882</v>
      </c>
      <c r="N980" s="4"/>
      <c r="O980" s="5"/>
      <c r="P980" s="4"/>
      <c r="Q980" s="21" t="str">
        <f>VLOOKUP(tblProductos[[#This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4110</v>
      </c>
      <c r="D981" s="2" t="s">
        <v>4011</v>
      </c>
      <c r="E981" s="2" t="s">
        <v>3875</v>
      </c>
      <c r="F981" s="2">
        <v>500</v>
      </c>
      <c r="G981" s="2" t="s">
        <v>3886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3882</v>
      </c>
      <c r="N981" s="4"/>
      <c r="O981" s="5"/>
      <c r="P981" s="4"/>
      <c r="Q981" s="21" t="str">
        <f>VLOOKUP(tblProductos[[#This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4110</v>
      </c>
      <c r="D982" s="2" t="s">
        <v>4009</v>
      </c>
      <c r="E982" s="2" t="s">
        <v>3875</v>
      </c>
      <c r="F982" s="2">
        <v>500</v>
      </c>
      <c r="G982" s="2" t="s">
        <v>3886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3882</v>
      </c>
      <c r="N982" s="4"/>
      <c r="O982" s="5"/>
      <c r="P982" s="4"/>
      <c r="Q982" s="21" t="str">
        <f>VLOOKUP(tblProductos[[#This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4111</v>
      </c>
      <c r="D983" s="2" t="s">
        <v>3841</v>
      </c>
      <c r="E983" s="2" t="s">
        <v>3875</v>
      </c>
      <c r="F983" s="2">
        <v>500</v>
      </c>
      <c r="G983" s="2" t="s">
        <v>3886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3882</v>
      </c>
      <c r="N983" s="4"/>
      <c r="O983" s="5">
        <v>21</v>
      </c>
      <c r="P983" s="4"/>
      <c r="Q983" s="21" t="str">
        <f>VLOOKUP(tblProductos[[#This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4111</v>
      </c>
      <c r="D984" s="2" t="s">
        <v>3888</v>
      </c>
      <c r="E984" s="2" t="s">
        <v>3875</v>
      </c>
      <c r="F984" s="2">
        <v>500</v>
      </c>
      <c r="G984" s="2" t="s">
        <v>3886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3882</v>
      </c>
      <c r="N984" s="4"/>
      <c r="O984" s="5"/>
      <c r="P984" s="4"/>
      <c r="Q984" s="21" t="str">
        <f>VLOOKUP(tblProductos[[#This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3960</v>
      </c>
      <c r="D985" s="2" t="s">
        <v>4029</v>
      </c>
      <c r="E985" s="2" t="s">
        <v>3879</v>
      </c>
      <c r="F985" s="2">
        <v>500</v>
      </c>
      <c r="G985" s="2" t="s">
        <v>3886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3882</v>
      </c>
      <c r="N985" s="4"/>
      <c r="O985" s="5"/>
      <c r="P985" s="4"/>
      <c r="Q985" s="21" t="str">
        <f>VLOOKUP(tblProductos[[#This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4107</v>
      </c>
      <c r="D986" s="2" t="s">
        <v>4029</v>
      </c>
      <c r="E986" s="2" t="s">
        <v>3875</v>
      </c>
      <c r="F986" s="2">
        <v>5000</v>
      </c>
      <c r="G986" s="2" t="s">
        <v>3873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3868</v>
      </c>
      <c r="N986" s="4"/>
      <c r="O986" s="5"/>
      <c r="P986" s="4"/>
      <c r="Q986" s="21" t="str">
        <f>VLOOKUP(tblProductos[[#This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4108</v>
      </c>
      <c r="D987" s="2" t="s">
        <v>4029</v>
      </c>
      <c r="E987" s="2" t="s">
        <v>3875</v>
      </c>
      <c r="F987" s="2">
        <v>3000</v>
      </c>
      <c r="G987" s="2" t="s">
        <v>3873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3868</v>
      </c>
      <c r="N987" s="4"/>
      <c r="O987" s="5"/>
      <c r="P987" s="4"/>
      <c r="Q987" s="21" t="str">
        <f>VLOOKUP(tblProductos[[#This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4042</v>
      </c>
      <c r="D988" s="2" t="s">
        <v>3841</v>
      </c>
      <c r="E988" s="2"/>
      <c r="F988" s="2">
        <v>50</v>
      </c>
      <c r="G988" s="2" t="s">
        <v>3842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3843</v>
      </c>
      <c r="N988" s="4"/>
      <c r="O988" s="5"/>
      <c r="P988" s="4"/>
      <c r="Q988" s="21" t="str">
        <f>VLOOKUP(tblProductos[[#This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3114</v>
      </c>
      <c r="D989" s="2" t="s">
        <v>3841</v>
      </c>
      <c r="E989" s="2"/>
      <c r="F989" s="2">
        <v>100</v>
      </c>
      <c r="G989" s="2" t="s">
        <v>3842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3843</v>
      </c>
      <c r="N989" s="4"/>
      <c r="O989" s="5"/>
      <c r="P989" s="4"/>
      <c r="Q989" s="21" t="str">
        <f>VLOOKUP(tblProductos[[#This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3114</v>
      </c>
      <c r="D990" s="2" t="s">
        <v>4021</v>
      </c>
      <c r="E990" s="2"/>
      <c r="F990" s="2">
        <v>100</v>
      </c>
      <c r="G990" s="2" t="s">
        <v>3842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3843</v>
      </c>
      <c r="N990" s="4"/>
      <c r="O990" s="5"/>
      <c r="P990" s="4"/>
      <c r="Q990" s="21" t="str">
        <f>VLOOKUP(tblProductos[[#This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4040</v>
      </c>
      <c r="D991" s="2" t="s">
        <v>4029</v>
      </c>
      <c r="E991" s="2" t="s">
        <v>3875</v>
      </c>
      <c r="F991" s="2">
        <v>500</v>
      </c>
      <c r="G991" s="2" t="s">
        <v>3867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3895</v>
      </c>
      <c r="N991" s="4"/>
      <c r="O991" s="5"/>
      <c r="P991" s="4"/>
      <c r="Q991" s="21" t="str">
        <f>VLOOKUP(tblProductos[[#This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4112</v>
      </c>
      <c r="D992" s="2" t="s">
        <v>3976</v>
      </c>
      <c r="E992" s="2" t="s">
        <v>3897</v>
      </c>
      <c r="F992" s="2">
        <v>3500</v>
      </c>
      <c r="G992" s="2" t="s">
        <v>3867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3895</v>
      </c>
      <c r="N992" s="4"/>
      <c r="O992" s="5"/>
      <c r="P992" s="4"/>
      <c r="Q992" s="21" t="str">
        <f>VLOOKUP(tblProductos[[#This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3953</v>
      </c>
      <c r="D993" s="2" t="s">
        <v>4019</v>
      </c>
      <c r="E993" s="2" t="s">
        <v>3875</v>
      </c>
      <c r="F993" s="2">
        <v>3000</v>
      </c>
      <c r="G993" s="2" t="s">
        <v>3873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3868</v>
      </c>
      <c r="N993" s="4"/>
      <c r="O993" s="5"/>
      <c r="P993" s="4"/>
      <c r="Q993" s="21" t="str">
        <f>VLOOKUP(tblProductos[[#This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3958</v>
      </c>
      <c r="D994" s="2" t="s">
        <v>4019</v>
      </c>
      <c r="E994" s="2" t="s">
        <v>3875</v>
      </c>
      <c r="F994" s="2">
        <v>500</v>
      </c>
      <c r="G994" s="2" t="s">
        <v>3886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3882</v>
      </c>
      <c r="N994" s="4"/>
      <c r="O994" s="5"/>
      <c r="P994" s="4"/>
      <c r="Q994" s="21" t="str">
        <f>VLOOKUP(tblProductos[[#This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4113</v>
      </c>
      <c r="D995" s="2" t="s">
        <v>3841</v>
      </c>
      <c r="E995" s="2" t="s">
        <v>4114</v>
      </c>
      <c r="F995" s="2">
        <v>5</v>
      </c>
      <c r="G995" s="2" t="s">
        <v>3867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3895</v>
      </c>
      <c r="N995" s="4"/>
      <c r="O995" s="5"/>
      <c r="P995" s="4"/>
      <c r="Q995" s="21" t="str">
        <f>VLOOKUP(tblProductos[[#This Row],[id_proveedor]],tblProveedores[[#All],[id]:[nombre]],2,0)</f>
        <v>JINETH ROA</v>
      </c>
    </row>
    <row r="996" spans="1:17" x14ac:dyDescent="0.25">
      <c r="A996" s="1">
        <v>1622</v>
      </c>
      <c r="B996" s="1">
        <v>58</v>
      </c>
      <c r="C996" s="2" t="s">
        <v>4046</v>
      </c>
      <c r="D996" s="2" t="s">
        <v>3841</v>
      </c>
      <c r="E996" s="2" t="s">
        <v>3901</v>
      </c>
      <c r="F996" s="2">
        <v>25</v>
      </c>
      <c r="G996" s="2" t="s">
        <v>3842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3925</v>
      </c>
      <c r="N996" s="4"/>
      <c r="O996" s="5">
        <v>10</v>
      </c>
      <c r="P996" s="4"/>
      <c r="Q996" s="21" t="str">
        <f>VLOOKUP(tblProductos[[#This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3900</v>
      </c>
      <c r="D997" s="2" t="s">
        <v>4013</v>
      </c>
      <c r="E997" s="2" t="s">
        <v>3901</v>
      </c>
      <c r="F997" s="2">
        <v>1000</v>
      </c>
      <c r="G997" s="2" t="s">
        <v>3873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3895</v>
      </c>
      <c r="N997" s="4"/>
      <c r="O997" s="5">
        <v>5</v>
      </c>
      <c r="P997" s="4"/>
      <c r="Q997" s="21" t="str">
        <f>VLOOKUP(tblProductos[[#This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4115</v>
      </c>
      <c r="D998" s="2" t="s">
        <v>3841</v>
      </c>
      <c r="E998" s="2"/>
      <c r="F998" s="2">
        <v>50</v>
      </c>
      <c r="G998" s="2" t="s">
        <v>3842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3843</v>
      </c>
      <c r="N998" s="4"/>
      <c r="O998" s="5"/>
      <c r="P998" s="4"/>
      <c r="Q998" s="21" t="str">
        <f>VLOOKUP(tblProductos[[#This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4115</v>
      </c>
      <c r="D999" s="2" t="s">
        <v>3888</v>
      </c>
      <c r="E999" s="2"/>
      <c r="F999" s="2">
        <v>50</v>
      </c>
      <c r="G999" s="2" t="s">
        <v>3842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3843</v>
      </c>
      <c r="N999" s="4"/>
      <c r="O999" s="5"/>
      <c r="P999" s="4"/>
      <c r="Q999" s="21" t="str">
        <f>VLOOKUP(tblProductos[[#This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4115</v>
      </c>
      <c r="D1000" s="2" t="s">
        <v>4007</v>
      </c>
      <c r="E1000" s="2"/>
      <c r="F1000" s="2">
        <v>50</v>
      </c>
      <c r="G1000" s="2" t="s">
        <v>3842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3843</v>
      </c>
      <c r="N1000" s="4"/>
      <c r="O1000" s="5"/>
      <c r="P1000" s="4"/>
      <c r="Q1000" s="21" t="str">
        <f>VLOOKUP(tblProductos[[#This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4115</v>
      </c>
      <c r="D1001" s="2" t="s">
        <v>4034</v>
      </c>
      <c r="E1001" s="2"/>
      <c r="F1001" s="2">
        <v>50</v>
      </c>
      <c r="G1001" s="2" t="s">
        <v>3842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3843</v>
      </c>
      <c r="N1001" s="4"/>
      <c r="O1001" s="5"/>
      <c r="P1001" s="4"/>
      <c r="Q1001" s="21" t="str">
        <f>VLOOKUP(tblProductos[[#This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4115</v>
      </c>
      <c r="D1002" s="2" t="s">
        <v>3919</v>
      </c>
      <c r="E1002" s="2"/>
      <c r="F1002" s="2">
        <v>50</v>
      </c>
      <c r="G1002" s="2" t="s">
        <v>3842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3843</v>
      </c>
      <c r="N1002" s="4"/>
      <c r="O1002" s="5"/>
      <c r="P1002" s="4"/>
      <c r="Q1002" s="21" t="str">
        <f>VLOOKUP(tblProductos[[#This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4115</v>
      </c>
      <c r="D1003" s="2" t="s">
        <v>4013</v>
      </c>
      <c r="E1003" s="2"/>
      <c r="F1003" s="2">
        <v>50</v>
      </c>
      <c r="G1003" s="2" t="s">
        <v>3842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3843</v>
      </c>
      <c r="N1003" s="4"/>
      <c r="O1003" s="5"/>
      <c r="P1003" s="4"/>
      <c r="Q1003" s="21" t="str">
        <f>VLOOKUP(tblProductos[[#This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4115</v>
      </c>
      <c r="D1004" s="2" t="s">
        <v>4015</v>
      </c>
      <c r="E1004" s="2"/>
      <c r="F1004" s="2">
        <v>50</v>
      </c>
      <c r="G1004" s="2" t="s">
        <v>3842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3843</v>
      </c>
      <c r="N1004" s="4"/>
      <c r="O1004" s="5"/>
      <c r="P1004" s="4"/>
      <c r="Q1004" s="21" t="str">
        <f>VLOOKUP(tblProductos[[#This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4115</v>
      </c>
      <c r="D1005" s="2" t="s">
        <v>4009</v>
      </c>
      <c r="E1005" s="2"/>
      <c r="F1005" s="2">
        <v>50</v>
      </c>
      <c r="G1005" s="2" t="s">
        <v>3842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3843</v>
      </c>
      <c r="N1005" s="4"/>
      <c r="O1005" s="5"/>
      <c r="P1005" s="4"/>
      <c r="Q1005" s="21" t="str">
        <f>VLOOKUP(tblProductos[[#This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3114</v>
      </c>
      <c r="D1006" s="2" t="s">
        <v>3923</v>
      </c>
      <c r="E1006" s="2"/>
      <c r="F1006" s="2">
        <v>100</v>
      </c>
      <c r="G1006" s="2" t="s">
        <v>3842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3843</v>
      </c>
      <c r="N1006" s="4"/>
      <c r="O1006" s="5"/>
      <c r="P1006" s="4"/>
      <c r="Q1006" s="21" t="str">
        <f>VLOOKUP(tblProductos[[#This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3893</v>
      </c>
      <c r="D1007" s="2" t="s">
        <v>4019</v>
      </c>
      <c r="E1007" s="2" t="s">
        <v>3894</v>
      </c>
      <c r="F1007" s="2">
        <v>500</v>
      </c>
      <c r="G1007" s="2" t="s">
        <v>3842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3895</v>
      </c>
      <c r="N1007" s="4"/>
      <c r="O1007" s="5"/>
      <c r="P1007" s="4"/>
      <c r="Q1007" s="21" t="str">
        <f>VLOOKUP(tblProductos[[#This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3984</v>
      </c>
      <c r="D1008" s="2" t="s">
        <v>3888</v>
      </c>
      <c r="E1008" s="2"/>
      <c r="F1008" s="2">
        <v>100</v>
      </c>
      <c r="G1008" s="2" t="s">
        <v>3842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3843</v>
      </c>
      <c r="N1008" s="4"/>
      <c r="O1008" s="5"/>
      <c r="P1008" s="4"/>
      <c r="Q1008" s="21" t="str">
        <f>VLOOKUP(tblProductos[[#This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3970</v>
      </c>
      <c r="D1009" s="2" t="s">
        <v>4021</v>
      </c>
      <c r="E1009" s="2" t="s">
        <v>3875</v>
      </c>
      <c r="F1009" s="2">
        <v>500</v>
      </c>
      <c r="G1009" s="2" t="s">
        <v>3886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3882</v>
      </c>
      <c r="N1009" s="4"/>
      <c r="O1009" s="5"/>
      <c r="P1009" s="4"/>
      <c r="Q1009" s="21" t="str">
        <f>VLOOKUP(tblProductos[[#This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4116</v>
      </c>
      <c r="D1010" s="2" t="s">
        <v>3841</v>
      </c>
      <c r="E1010" s="2"/>
      <c r="F1010" s="2">
        <v>100</v>
      </c>
      <c r="G1010" s="2" t="s">
        <v>3842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3943</v>
      </c>
      <c r="N1010" s="4"/>
      <c r="O1010" s="5"/>
      <c r="P1010" s="4"/>
      <c r="Q1010" s="21" t="str">
        <f>VLOOKUP(tblProductos[[#This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4116</v>
      </c>
      <c r="D1011" s="2" t="s">
        <v>3923</v>
      </c>
      <c r="E1011" s="2"/>
      <c r="F1011" s="2">
        <v>100</v>
      </c>
      <c r="G1011" s="2" t="s">
        <v>3842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3943</v>
      </c>
      <c r="N1011" s="4"/>
      <c r="O1011" s="5"/>
      <c r="P1011" s="4"/>
      <c r="Q1011" s="21" t="str">
        <f>VLOOKUP(tblProductos[[#This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4116</v>
      </c>
      <c r="D1012" s="2" t="s">
        <v>4011</v>
      </c>
      <c r="E1012" s="2"/>
      <c r="F1012" s="2">
        <v>100</v>
      </c>
      <c r="G1012" s="2" t="s">
        <v>3842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3943</v>
      </c>
      <c r="N1012" s="4"/>
      <c r="O1012" s="5"/>
      <c r="P1012" s="4"/>
      <c r="Q1012" s="21" t="str">
        <f>VLOOKUP(tblProductos[[#This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3984</v>
      </c>
      <c r="D1013" s="2" t="s">
        <v>4012</v>
      </c>
      <c r="E1013" s="2"/>
      <c r="F1013" s="2">
        <v>100</v>
      </c>
      <c r="G1013" s="2" t="s">
        <v>3842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3843</v>
      </c>
      <c r="N1013" s="4"/>
      <c r="O1013" s="5"/>
      <c r="P1013" s="4"/>
      <c r="Q1013" s="21" t="str">
        <f>VLOOKUP(tblProductos[[#This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4115</v>
      </c>
      <c r="D1014" s="2" t="s">
        <v>4011</v>
      </c>
      <c r="E1014" s="2"/>
      <c r="F1014" s="2">
        <v>50</v>
      </c>
      <c r="G1014" s="2" t="s">
        <v>3842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3843</v>
      </c>
      <c r="N1014" s="4"/>
      <c r="O1014" s="5"/>
      <c r="P1014" s="4"/>
      <c r="Q1014" s="21" t="str">
        <f>VLOOKUP(tblProductos[[#This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4117</v>
      </c>
      <c r="D1015" s="2" t="s">
        <v>4007</v>
      </c>
      <c r="E1015" s="2"/>
      <c r="F1015" s="2">
        <v>100</v>
      </c>
      <c r="G1015" s="2" t="s">
        <v>3842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3843</v>
      </c>
      <c r="N1015" s="4"/>
      <c r="O1015" s="5"/>
      <c r="P1015" s="4"/>
      <c r="Q1015" s="21" t="str">
        <f>VLOOKUP(tblProductos[[#This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4117</v>
      </c>
      <c r="D1016" s="2" t="s">
        <v>3919</v>
      </c>
      <c r="E1016" s="2"/>
      <c r="F1016" s="2">
        <v>100</v>
      </c>
      <c r="G1016" s="2" t="s">
        <v>3842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3843</v>
      </c>
      <c r="N1016" s="4"/>
      <c r="O1016" s="5"/>
      <c r="P1016" s="4"/>
      <c r="Q1016" s="21" t="str">
        <f>VLOOKUP(tblProductos[[#This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4117</v>
      </c>
      <c r="D1017" s="2" t="s">
        <v>4013</v>
      </c>
      <c r="E1017" s="2"/>
      <c r="F1017" s="2">
        <v>100</v>
      </c>
      <c r="G1017" s="2" t="s">
        <v>3842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3843</v>
      </c>
      <c r="N1017" s="4"/>
      <c r="O1017" s="5"/>
      <c r="P1017" s="4"/>
      <c r="Q1017" s="21" t="str">
        <f>VLOOKUP(tblProductos[[#This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4117</v>
      </c>
      <c r="D1018" s="2" t="s">
        <v>4006</v>
      </c>
      <c r="E1018" s="2"/>
      <c r="F1018" s="2">
        <v>100</v>
      </c>
      <c r="G1018" s="2" t="s">
        <v>3842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3843</v>
      </c>
      <c r="N1018" s="4"/>
      <c r="O1018" s="5"/>
      <c r="P1018" s="4"/>
      <c r="Q1018" s="21" t="str">
        <f>VLOOKUP(tblProductos[[#This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4117</v>
      </c>
      <c r="D1019" s="2" t="s">
        <v>4033</v>
      </c>
      <c r="E1019" s="2"/>
      <c r="F1019" s="2">
        <v>100</v>
      </c>
      <c r="G1019" s="2" t="s">
        <v>3842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3843</v>
      </c>
      <c r="N1019" s="4"/>
      <c r="O1019" s="5"/>
      <c r="P1019" s="4"/>
      <c r="Q1019" s="21" t="str">
        <f>VLOOKUP(tblProductos[[#This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4117</v>
      </c>
      <c r="D1020" s="2" t="s">
        <v>4035</v>
      </c>
      <c r="E1020" s="2"/>
      <c r="F1020" s="2">
        <v>100</v>
      </c>
      <c r="G1020" s="2" t="s">
        <v>3842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3843</v>
      </c>
      <c r="N1020" s="4"/>
      <c r="O1020" s="5"/>
      <c r="P1020" s="4"/>
      <c r="Q1020" s="21" t="str">
        <f>VLOOKUP(tblProductos[[#This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4110</v>
      </c>
      <c r="D1021" s="2" t="s">
        <v>4007</v>
      </c>
      <c r="E1021" s="2" t="s">
        <v>3875</v>
      </c>
      <c r="F1021" s="2">
        <v>500</v>
      </c>
      <c r="G1021" s="2" t="s">
        <v>3886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3882</v>
      </c>
      <c r="N1021" s="4"/>
      <c r="O1021" s="5"/>
      <c r="P1021" s="4"/>
      <c r="Q1021" s="21" t="str">
        <f>VLOOKUP(tblProductos[[#This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3984</v>
      </c>
      <c r="D1022" s="2" t="s">
        <v>4118</v>
      </c>
      <c r="E1022" s="2"/>
      <c r="F1022" s="2">
        <v>100</v>
      </c>
      <c r="G1022" s="2" t="s">
        <v>3842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3843</v>
      </c>
      <c r="N1022" s="4"/>
      <c r="O1022" s="5"/>
      <c r="P1022" s="4"/>
      <c r="Q1022" s="21" t="str">
        <f>VLOOKUP(tblProductos[[#This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3972</v>
      </c>
      <c r="D1023" s="2" t="s">
        <v>4035</v>
      </c>
      <c r="E1023" s="2"/>
      <c r="F1023" s="2">
        <v>50</v>
      </c>
      <c r="G1023" s="2" t="s">
        <v>3842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3843</v>
      </c>
      <c r="N1023" s="4"/>
      <c r="O1023" s="5"/>
      <c r="P1023" s="4"/>
      <c r="Q1023" s="21" t="str">
        <f>VLOOKUP(tblProductos[[#This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3972</v>
      </c>
      <c r="D1024" s="2" t="s">
        <v>4030</v>
      </c>
      <c r="E1024" s="2"/>
      <c r="F1024" s="2">
        <v>50</v>
      </c>
      <c r="G1024" s="2" t="s">
        <v>3842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3843</v>
      </c>
      <c r="N1024" s="4"/>
      <c r="O1024" s="5"/>
      <c r="P1024" s="4"/>
      <c r="Q1024" s="21" t="str">
        <f>VLOOKUP(tblProductos[[#This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3972</v>
      </c>
      <c r="D1025" s="2" t="s">
        <v>4034</v>
      </c>
      <c r="E1025" s="2"/>
      <c r="F1025" s="2">
        <v>50</v>
      </c>
      <c r="G1025" s="2" t="s">
        <v>3842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3843</v>
      </c>
      <c r="N1025" s="4"/>
      <c r="O1025" s="5"/>
      <c r="P1025" s="4"/>
      <c r="Q1025" s="21" t="str">
        <f>VLOOKUP(tblProductos[[#This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4119</v>
      </c>
      <c r="D1026" s="2" t="s">
        <v>4011</v>
      </c>
      <c r="E1026" s="2"/>
      <c r="F1026" s="2">
        <v>30</v>
      </c>
      <c r="G1026" s="2" t="s">
        <v>3842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3843</v>
      </c>
      <c r="N1026" s="4"/>
      <c r="O1026" s="5"/>
      <c r="P1026" s="4"/>
      <c r="Q1026" s="21" t="str">
        <f>VLOOKUP(tblProductos[[#This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4119</v>
      </c>
      <c r="D1027" s="2" t="s">
        <v>4033</v>
      </c>
      <c r="E1027" s="2"/>
      <c r="F1027" s="2">
        <v>30</v>
      </c>
      <c r="G1027" s="2" t="s">
        <v>3842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3843</v>
      </c>
      <c r="N1027" s="4"/>
      <c r="O1027" s="5"/>
      <c r="P1027" s="4"/>
      <c r="Q1027" s="21" t="str">
        <f>VLOOKUP(tblProductos[[#This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4119</v>
      </c>
      <c r="D1028" s="2" t="s">
        <v>3841</v>
      </c>
      <c r="E1028" s="2"/>
      <c r="F1028" s="2">
        <v>30</v>
      </c>
      <c r="G1028" s="2" t="s">
        <v>3842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3843</v>
      </c>
      <c r="N1028" s="4"/>
      <c r="O1028" s="5"/>
      <c r="P1028" s="4"/>
      <c r="Q1028" s="21" t="str">
        <f>VLOOKUP(tblProductos[[#This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4119</v>
      </c>
      <c r="D1029" s="2" t="s">
        <v>3888</v>
      </c>
      <c r="E1029" s="2"/>
      <c r="F1029" s="2">
        <v>30</v>
      </c>
      <c r="G1029" s="2" t="s">
        <v>3842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3843</v>
      </c>
      <c r="N1029" s="4"/>
      <c r="O1029" s="5"/>
      <c r="P1029" s="4"/>
      <c r="Q1029" s="21" t="str">
        <f>VLOOKUP(tblProductos[[#This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3863</v>
      </c>
      <c r="D1030" s="2" t="s">
        <v>3841</v>
      </c>
      <c r="E1030" s="2" t="s">
        <v>3864</v>
      </c>
      <c r="F1030" s="2">
        <v>300</v>
      </c>
      <c r="G1030" s="2" t="s">
        <v>3842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3843</v>
      </c>
      <c r="N1030" s="4"/>
      <c r="O1030" s="5"/>
      <c r="P1030" s="4"/>
      <c r="Q1030" s="21" t="str">
        <f>VLOOKUP(tblProductos[[#This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4120</v>
      </c>
      <c r="D1031" s="2" t="s">
        <v>3976</v>
      </c>
      <c r="E1031" s="2" t="s">
        <v>3897</v>
      </c>
      <c r="F1031" s="2">
        <v>3500</v>
      </c>
      <c r="G1031" s="2" t="s">
        <v>3867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3895</v>
      </c>
      <c r="N1031" s="4"/>
      <c r="O1031" s="5"/>
      <c r="P1031" s="4"/>
      <c r="Q1031" s="21" t="str">
        <f>VLOOKUP(tblProductos[[#This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4109</v>
      </c>
      <c r="D1032" s="2" t="s">
        <v>4009</v>
      </c>
      <c r="E1032" s="2" t="s">
        <v>3879</v>
      </c>
      <c r="F1032" s="2">
        <v>500</v>
      </c>
      <c r="G1032" s="2" t="s">
        <v>3886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3882</v>
      </c>
      <c r="N1032" s="4"/>
      <c r="O1032" s="5"/>
      <c r="P1032" s="4"/>
      <c r="Q1032" s="21" t="str">
        <f>VLOOKUP(tblProductos[[#This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4109</v>
      </c>
      <c r="D1033" s="2" t="s">
        <v>4011</v>
      </c>
      <c r="E1033" s="2" t="s">
        <v>3879</v>
      </c>
      <c r="F1033" s="2">
        <v>500</v>
      </c>
      <c r="G1033" s="2" t="s">
        <v>3886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3882</v>
      </c>
      <c r="N1033" s="4"/>
      <c r="O1033" s="5"/>
      <c r="P1033" s="4"/>
      <c r="Q1033" s="21" t="str">
        <f>VLOOKUP(tblProductos[[#This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4109</v>
      </c>
      <c r="D1034" s="2" t="s">
        <v>4007</v>
      </c>
      <c r="E1034" s="2" t="s">
        <v>3879</v>
      </c>
      <c r="F1034" s="2">
        <v>500</v>
      </c>
      <c r="G1034" s="2" t="s">
        <v>3886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3882</v>
      </c>
      <c r="N1034" s="4"/>
      <c r="O1034" s="5"/>
      <c r="P1034" s="4"/>
      <c r="Q1034" s="21" t="str">
        <f>VLOOKUP(tblProductos[[#This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4121</v>
      </c>
      <c r="D1035" s="2" t="s">
        <v>3841</v>
      </c>
      <c r="E1035" s="2" t="s">
        <v>3897</v>
      </c>
      <c r="F1035" s="2">
        <v>1000</v>
      </c>
      <c r="G1035" s="2" t="s">
        <v>3867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3895</v>
      </c>
      <c r="N1035" s="4"/>
      <c r="O1035" s="5"/>
      <c r="P1035" s="4"/>
      <c r="Q1035" s="21" t="str">
        <f>VLOOKUP(tblProductos[[#This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3990</v>
      </c>
      <c r="D1036" s="2" t="s">
        <v>3923</v>
      </c>
      <c r="E1036" s="2" t="s">
        <v>3889</v>
      </c>
      <c r="F1036" s="2">
        <v>250</v>
      </c>
      <c r="G1036" s="2" t="s">
        <v>3867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3895</v>
      </c>
      <c r="N1036" s="4"/>
      <c r="O1036" s="5"/>
      <c r="P1036" s="4"/>
      <c r="Q1036" s="21" t="str">
        <f>VLOOKUP(tblProductos[[#This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4040</v>
      </c>
      <c r="D1037" s="2" t="s">
        <v>4012</v>
      </c>
      <c r="E1037" s="2" t="s">
        <v>3875</v>
      </c>
      <c r="F1037" s="2">
        <v>500</v>
      </c>
      <c r="G1037" s="2" t="s">
        <v>3867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3895</v>
      </c>
      <c r="N1037" s="4"/>
      <c r="O1037" s="5"/>
      <c r="P1037" s="4"/>
      <c r="Q1037" s="21" t="str">
        <f>VLOOKUP(tblProductos[[#This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3990</v>
      </c>
      <c r="D1038" s="2" t="s">
        <v>4012</v>
      </c>
      <c r="E1038" s="2" t="s">
        <v>3889</v>
      </c>
      <c r="F1038" s="2">
        <v>250</v>
      </c>
      <c r="G1038" s="2" t="s">
        <v>3867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3895</v>
      </c>
      <c r="N1038" s="4"/>
      <c r="O1038" s="5"/>
      <c r="P1038" s="4"/>
      <c r="Q1038" s="21" t="str">
        <f>VLOOKUP(tblProductos[[#This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4113</v>
      </c>
      <c r="D1039" s="2" t="s">
        <v>4012</v>
      </c>
      <c r="E1039" s="2" t="s">
        <v>4114</v>
      </c>
      <c r="F1039" s="2">
        <v>125</v>
      </c>
      <c r="G1039" s="2" t="s">
        <v>3867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3895</v>
      </c>
      <c r="N1039" s="4"/>
      <c r="O1039" s="5"/>
      <c r="P1039" s="4"/>
      <c r="Q1039" s="21" t="str">
        <f>VLOOKUP(tblProductos[[#This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3910</v>
      </c>
      <c r="D1040" s="2" t="s">
        <v>4030</v>
      </c>
      <c r="E1040" s="2" t="s">
        <v>3875</v>
      </c>
      <c r="F1040" s="2">
        <v>250</v>
      </c>
      <c r="G1040" s="2" t="s">
        <v>3886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3895</v>
      </c>
      <c r="N1040" s="4"/>
      <c r="O1040" s="5"/>
      <c r="P1040" s="4"/>
      <c r="Q1040" s="21" t="str">
        <f>VLOOKUP(tblProductos[[#This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3910</v>
      </c>
      <c r="D1041" s="2" t="s">
        <v>4035</v>
      </c>
      <c r="E1041" s="2" t="s">
        <v>3875</v>
      </c>
      <c r="F1041" s="2">
        <v>250</v>
      </c>
      <c r="G1041" s="2" t="s">
        <v>3886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3895</v>
      </c>
      <c r="N1041" s="4"/>
      <c r="O1041" s="5"/>
      <c r="P1041" s="4"/>
      <c r="Q1041" s="21" t="str">
        <f>VLOOKUP(tblProductos[[#This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4049</v>
      </c>
      <c r="D1042" s="2" t="s">
        <v>4035</v>
      </c>
      <c r="E1042" s="2" t="s">
        <v>3875</v>
      </c>
      <c r="F1042" s="2">
        <v>5000</v>
      </c>
      <c r="G1042" s="2" t="s">
        <v>3873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3868</v>
      </c>
      <c r="N1042" s="4"/>
      <c r="O1042" s="5"/>
      <c r="P1042" s="4"/>
      <c r="Q1042" s="21" t="str">
        <f>VLOOKUP(tblProductos[[#This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4049</v>
      </c>
      <c r="D1043" s="2" t="s">
        <v>4007</v>
      </c>
      <c r="E1043" s="2" t="s">
        <v>3875</v>
      </c>
      <c r="F1043" s="2">
        <v>5000</v>
      </c>
      <c r="G1043" s="2" t="s">
        <v>3873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3868</v>
      </c>
      <c r="N1043" s="4"/>
      <c r="O1043" s="5"/>
      <c r="P1043" s="4"/>
      <c r="Q1043" s="21" t="str">
        <f>VLOOKUP(tblProductos[[#This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4049</v>
      </c>
      <c r="D1044" s="2" t="s">
        <v>3919</v>
      </c>
      <c r="E1044" s="2" t="s">
        <v>3875</v>
      </c>
      <c r="F1044" s="2">
        <v>5000</v>
      </c>
      <c r="G1044" s="2" t="s">
        <v>3873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3868</v>
      </c>
      <c r="N1044" s="4"/>
      <c r="O1044" s="5"/>
      <c r="P1044" s="4"/>
      <c r="Q1044" s="21" t="str">
        <f>VLOOKUP(tblProductos[[#This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4049</v>
      </c>
      <c r="D1045" s="2" t="s">
        <v>4013</v>
      </c>
      <c r="E1045" s="2" t="s">
        <v>3875</v>
      </c>
      <c r="F1045" s="2">
        <v>5000</v>
      </c>
      <c r="G1045" s="2" t="s">
        <v>3873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3868</v>
      </c>
      <c r="N1045" s="4"/>
      <c r="O1045" s="5"/>
      <c r="P1045" s="4"/>
      <c r="Q1045" s="21" t="str">
        <f>VLOOKUP(tblProductos[[#This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4049</v>
      </c>
      <c r="D1046" s="2" t="s">
        <v>4024</v>
      </c>
      <c r="E1046" s="2" t="s">
        <v>3875</v>
      </c>
      <c r="F1046" s="2">
        <v>5000</v>
      </c>
      <c r="G1046" s="2" t="s">
        <v>3873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3868</v>
      </c>
      <c r="N1046" s="4"/>
      <c r="O1046" s="5"/>
      <c r="P1046" s="4"/>
      <c r="Q1046" s="21" t="str">
        <f>VLOOKUP(tblProductos[[#This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4049</v>
      </c>
      <c r="D1047" s="2" t="s">
        <v>4030</v>
      </c>
      <c r="E1047" s="2" t="s">
        <v>3875</v>
      </c>
      <c r="F1047" s="2">
        <v>5000</v>
      </c>
      <c r="G1047" s="2" t="s">
        <v>3873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3868</v>
      </c>
      <c r="N1047" s="4"/>
      <c r="O1047" s="5"/>
      <c r="P1047" s="4"/>
      <c r="Q1047" s="21" t="str">
        <f>VLOOKUP(tblProductos[[#This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4049</v>
      </c>
      <c r="D1048" s="2" t="s">
        <v>4015</v>
      </c>
      <c r="E1048" s="2" t="s">
        <v>3875</v>
      </c>
      <c r="F1048" s="2">
        <v>5000</v>
      </c>
      <c r="G1048" s="2" t="s">
        <v>3873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3868</v>
      </c>
      <c r="N1048" s="4"/>
      <c r="O1048" s="5"/>
      <c r="P1048" s="4"/>
      <c r="Q1048" s="21" t="str">
        <f>VLOOKUP(tblProductos[[#This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4049</v>
      </c>
      <c r="D1049" s="2" t="s">
        <v>4009</v>
      </c>
      <c r="E1049" s="2" t="s">
        <v>3875</v>
      </c>
      <c r="F1049" s="2">
        <v>5000</v>
      </c>
      <c r="G1049" s="2" t="s">
        <v>3873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3868</v>
      </c>
      <c r="N1049" s="4"/>
      <c r="O1049" s="5"/>
      <c r="P1049" s="4"/>
      <c r="Q1049" s="21" t="str">
        <f>VLOOKUP(tblProductos[[#This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4049</v>
      </c>
      <c r="D1050" s="2" t="s">
        <v>4029</v>
      </c>
      <c r="E1050" s="2" t="s">
        <v>3875</v>
      </c>
      <c r="F1050" s="2">
        <v>5000</v>
      </c>
      <c r="G1050" s="2" t="s">
        <v>3873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3868</v>
      </c>
      <c r="N1050" s="4"/>
      <c r="O1050" s="5"/>
      <c r="P1050" s="4"/>
      <c r="Q1050" s="21" t="str">
        <f>VLOOKUP(tblProductos[[#This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4049</v>
      </c>
      <c r="D1051" s="2" t="s">
        <v>3841</v>
      </c>
      <c r="E1051" s="2" t="s">
        <v>3875</v>
      </c>
      <c r="F1051" s="2">
        <v>5000</v>
      </c>
      <c r="G1051" s="2" t="s">
        <v>3873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3868</v>
      </c>
      <c r="N1051" s="4"/>
      <c r="O1051" s="5"/>
      <c r="P1051" s="4"/>
      <c r="Q1051" s="21" t="str">
        <f>VLOOKUP(tblProductos[[#This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4122</v>
      </c>
      <c r="D1052" s="2" t="s">
        <v>3976</v>
      </c>
      <c r="E1052" s="2"/>
      <c r="F1052" s="2">
        <v>500</v>
      </c>
      <c r="G1052" s="2" t="s">
        <v>3873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3868</v>
      </c>
      <c r="N1052" s="4"/>
      <c r="O1052" s="5"/>
      <c r="P1052" s="4"/>
      <c r="Q1052" s="21" t="str">
        <f>VLOOKUP(tblProductos[[#This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4122</v>
      </c>
      <c r="D1053" s="2" t="s">
        <v>4123</v>
      </c>
      <c r="E1053" s="2"/>
      <c r="F1053" s="2">
        <v>500</v>
      </c>
      <c r="G1053" s="2" t="s">
        <v>3873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3868</v>
      </c>
      <c r="N1053" s="4"/>
      <c r="O1053" s="5"/>
      <c r="P1053" s="4"/>
      <c r="Q1053" s="21" t="str">
        <f>VLOOKUP(tblProductos[[#This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4105</v>
      </c>
      <c r="D1054" s="2" t="s">
        <v>4007</v>
      </c>
      <c r="E1054" s="2"/>
      <c r="F1054" s="2">
        <v>500</v>
      </c>
      <c r="G1054" s="2" t="s">
        <v>3873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3868</v>
      </c>
      <c r="N1054" s="4"/>
      <c r="O1054" s="5"/>
      <c r="P1054" s="4"/>
      <c r="Q1054" s="21" t="str">
        <f>VLOOKUP(tblProductos[[#This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4124</v>
      </c>
      <c r="D1055" s="2" t="s">
        <v>4011</v>
      </c>
      <c r="E1055" s="2"/>
      <c r="F1055" s="2">
        <v>100</v>
      </c>
      <c r="G1055" s="2" t="s">
        <v>3842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3843</v>
      </c>
      <c r="N1055" s="4"/>
      <c r="O1055" s="5"/>
      <c r="P1055" s="4"/>
      <c r="Q1055" s="21" t="str">
        <f>VLOOKUP(tblProductos[[#This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4124</v>
      </c>
      <c r="D1056" s="2" t="s">
        <v>4029</v>
      </c>
      <c r="E1056" s="2"/>
      <c r="F1056" s="2">
        <v>100</v>
      </c>
      <c r="G1056" s="2" t="s">
        <v>3842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3843</v>
      </c>
      <c r="N1056" s="4"/>
      <c r="O1056" s="5"/>
      <c r="P1056" s="4"/>
      <c r="Q1056" s="21" t="str">
        <f>VLOOKUP(tblProductos[[#This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4124</v>
      </c>
      <c r="D1057" s="2" t="s">
        <v>3841</v>
      </c>
      <c r="E1057" s="2"/>
      <c r="F1057" s="2">
        <v>100</v>
      </c>
      <c r="G1057" s="2" t="s">
        <v>3842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3843</v>
      </c>
      <c r="N1057" s="4"/>
      <c r="O1057" s="5"/>
      <c r="P1057" s="4"/>
      <c r="Q1057" s="21" t="str">
        <f>VLOOKUP(tblProductos[[#This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4124</v>
      </c>
      <c r="D1058" s="2" t="s">
        <v>4035</v>
      </c>
      <c r="E1058" s="2"/>
      <c r="F1058" s="2">
        <v>100</v>
      </c>
      <c r="G1058" s="2" t="s">
        <v>3842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3843</v>
      </c>
      <c r="N1058" s="4"/>
      <c r="O1058" s="5"/>
      <c r="P1058" s="4"/>
      <c r="Q1058" s="21" t="str">
        <f>VLOOKUP(tblProductos[[#This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4124</v>
      </c>
      <c r="D1059" s="2" t="s">
        <v>4125</v>
      </c>
      <c r="E1059" s="2"/>
      <c r="F1059" s="2">
        <v>100</v>
      </c>
      <c r="G1059" s="2" t="s">
        <v>3842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3843</v>
      </c>
      <c r="N1059" s="4"/>
      <c r="O1059" s="5"/>
      <c r="P1059" s="4"/>
      <c r="Q1059" s="21" t="str">
        <f>VLOOKUP(tblProductos[[#This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4124</v>
      </c>
      <c r="D1060" s="2" t="s">
        <v>4007</v>
      </c>
      <c r="E1060" s="2"/>
      <c r="F1060" s="2">
        <v>100</v>
      </c>
      <c r="G1060" s="2" t="s">
        <v>3842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3843</v>
      </c>
      <c r="N1060" s="4"/>
      <c r="O1060" s="5"/>
      <c r="P1060" s="4"/>
      <c r="Q1060" s="21" t="str">
        <f>VLOOKUP(tblProductos[[#This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4124</v>
      </c>
      <c r="D1061" s="2" t="s">
        <v>4009</v>
      </c>
      <c r="E1061" s="2"/>
      <c r="F1061" s="2">
        <v>100</v>
      </c>
      <c r="G1061" s="2" t="s">
        <v>3842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3843</v>
      </c>
      <c r="N1061" s="4"/>
      <c r="O1061" s="5"/>
      <c r="P1061" s="4"/>
      <c r="Q1061" s="21" t="str">
        <f>VLOOKUP(tblProductos[[#This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4088</v>
      </c>
      <c r="D1062" s="2" t="s">
        <v>3841</v>
      </c>
      <c r="E1062" s="2" t="s">
        <v>4089</v>
      </c>
      <c r="F1062" s="2">
        <v>500</v>
      </c>
      <c r="G1062" s="2" t="s">
        <v>3842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3843</v>
      </c>
      <c r="N1062" s="4"/>
      <c r="O1062" s="5"/>
      <c r="P1062" s="4"/>
      <c r="Q1062" s="21" t="str">
        <f>VLOOKUP(tblProductos[[#This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4090</v>
      </c>
      <c r="D1063" s="2" t="s">
        <v>3841</v>
      </c>
      <c r="E1063" s="2" t="s">
        <v>4091</v>
      </c>
      <c r="F1063" s="2">
        <v>500</v>
      </c>
      <c r="G1063" s="2" t="s">
        <v>3842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3843</v>
      </c>
      <c r="N1063" s="4"/>
      <c r="O1063" s="5"/>
      <c r="P1063" s="4"/>
      <c r="Q1063" s="21" t="str">
        <f>VLOOKUP(tblProductos[[#This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4092</v>
      </c>
      <c r="D1064" s="2" t="s">
        <v>3841</v>
      </c>
      <c r="E1064" s="2" t="s">
        <v>4093</v>
      </c>
      <c r="F1064" s="2">
        <v>400</v>
      </c>
      <c r="G1064" s="2" t="s">
        <v>3842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3843</v>
      </c>
      <c r="N1064" s="4"/>
      <c r="O1064" s="5"/>
      <c r="P1064" s="4"/>
      <c r="Q1064" s="21" t="str">
        <f>VLOOKUP(tblProductos[[#This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4098</v>
      </c>
      <c r="D1065" s="2" t="s">
        <v>3841</v>
      </c>
      <c r="E1065" s="2" t="s">
        <v>4099</v>
      </c>
      <c r="F1065" s="2">
        <v>400</v>
      </c>
      <c r="G1065" s="2" t="s">
        <v>3842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3843</v>
      </c>
      <c r="N1065" s="4"/>
      <c r="O1065" s="5"/>
      <c r="P1065" s="4"/>
      <c r="Q1065" s="21" t="str">
        <f>VLOOKUP(tblProductos[[#This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4086</v>
      </c>
      <c r="D1066" s="2" t="s">
        <v>3841</v>
      </c>
      <c r="E1066" s="2" t="s">
        <v>4087</v>
      </c>
      <c r="F1066" s="2">
        <v>200</v>
      </c>
      <c r="G1066" s="2" t="s">
        <v>3842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3843</v>
      </c>
      <c r="N1066" s="4"/>
      <c r="O1066" s="5"/>
      <c r="P1066" s="4"/>
      <c r="Q1066" s="21" t="str">
        <f>VLOOKUP(tblProductos[[#This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4126</v>
      </c>
      <c r="D1067" s="2" t="s">
        <v>3841</v>
      </c>
      <c r="E1067" s="2" t="s">
        <v>4127</v>
      </c>
      <c r="F1067" s="2">
        <v>200</v>
      </c>
      <c r="G1067" s="2" t="s">
        <v>3842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3843</v>
      </c>
      <c r="N1067" s="4"/>
      <c r="O1067" s="5"/>
      <c r="P1067" s="4"/>
      <c r="Q1067" s="21" t="str">
        <f>VLOOKUP(tblProductos[[#This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4128</v>
      </c>
      <c r="D1068" s="2" t="s">
        <v>3841</v>
      </c>
      <c r="E1068" s="2" t="s">
        <v>4129</v>
      </c>
      <c r="F1068" s="2">
        <v>200</v>
      </c>
      <c r="G1068" s="2" t="s">
        <v>3842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3843</v>
      </c>
      <c r="N1068" s="4"/>
      <c r="O1068" s="5"/>
      <c r="P1068" s="4"/>
      <c r="Q1068" s="21" t="str">
        <f>VLOOKUP(tblProductos[[#This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3963</v>
      </c>
      <c r="D1069" s="2" t="s">
        <v>4007</v>
      </c>
      <c r="E1069" s="2" t="s">
        <v>3879</v>
      </c>
      <c r="F1069" s="2">
        <v>500</v>
      </c>
      <c r="G1069" s="2" t="s">
        <v>3886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3882</v>
      </c>
      <c r="N1069" s="4"/>
      <c r="O1069" s="5"/>
      <c r="P1069" s="4"/>
      <c r="Q1069" s="21" t="str">
        <f>VLOOKUP(tblProductos[[#This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3902</v>
      </c>
      <c r="D1070" s="2" t="s">
        <v>3841</v>
      </c>
      <c r="E1070" s="2" t="s">
        <v>3897</v>
      </c>
      <c r="F1070" s="2">
        <v>2000</v>
      </c>
      <c r="G1070" s="2" t="s">
        <v>3873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3895</v>
      </c>
      <c r="N1070" s="4"/>
      <c r="O1070" s="5"/>
      <c r="P1070" s="4"/>
      <c r="Q1070" s="21" t="str">
        <f>VLOOKUP(tblProductos[[#This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3150</v>
      </c>
      <c r="D1071" s="2" t="s">
        <v>3841</v>
      </c>
      <c r="E1071" s="2"/>
      <c r="F1071" s="2">
        <v>50</v>
      </c>
      <c r="G1071" s="2" t="s">
        <v>3842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3843</v>
      </c>
      <c r="N1071" s="4"/>
      <c r="O1071" s="5">
        <v>50</v>
      </c>
      <c r="P1071" s="4"/>
      <c r="Q1071" s="21" t="str">
        <f>VLOOKUP(tblProductos[[#This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3150</v>
      </c>
      <c r="D1072" s="2" t="s">
        <v>3841</v>
      </c>
      <c r="E1072" s="2"/>
      <c r="F1072" s="2">
        <v>50</v>
      </c>
      <c r="G1072" s="2" t="s">
        <v>3842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3843</v>
      </c>
      <c r="N1072" s="4"/>
      <c r="O1072" s="5"/>
      <c r="P1072" s="4"/>
      <c r="Q1072" s="21" t="str">
        <f>VLOOKUP(tblProductos[[#This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4130</v>
      </c>
      <c r="D1073" s="2" t="s">
        <v>3841</v>
      </c>
      <c r="E1073" s="2"/>
      <c r="F1073" s="2">
        <v>50</v>
      </c>
      <c r="G1073" s="2" t="s">
        <v>3842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3843</v>
      </c>
      <c r="N1073" s="4"/>
      <c r="O1073" s="5">
        <v>20</v>
      </c>
      <c r="P1073" s="4"/>
      <c r="Q1073" s="21" t="str">
        <f>VLOOKUP(tblProductos[[#This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3984</v>
      </c>
      <c r="D1074" s="2" t="s">
        <v>3841</v>
      </c>
      <c r="E1074" s="2"/>
      <c r="F1074" s="2">
        <v>100</v>
      </c>
      <c r="G1074" s="2" t="s">
        <v>3842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3843</v>
      </c>
      <c r="N1074" s="4"/>
      <c r="O1074" s="5"/>
      <c r="P1074" s="4"/>
      <c r="Q1074" s="21" t="str">
        <f>VLOOKUP(tblProductos[[#This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3844</v>
      </c>
      <c r="D1075" s="2" t="s">
        <v>3841</v>
      </c>
      <c r="E1075" s="2"/>
      <c r="F1075" s="2">
        <v>50</v>
      </c>
      <c r="G1075" s="2" t="s">
        <v>3842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3843</v>
      </c>
      <c r="N1075" s="4"/>
      <c r="O1075" s="5">
        <v>5</v>
      </c>
      <c r="P1075" s="4"/>
      <c r="Q1075" s="21" t="str">
        <f>VLOOKUP(tblProductos[[#This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3990</v>
      </c>
      <c r="D1076" s="2" t="s">
        <v>3923</v>
      </c>
      <c r="E1076" s="2" t="s">
        <v>3889</v>
      </c>
      <c r="F1076" s="2">
        <v>250</v>
      </c>
      <c r="G1076" s="2" t="s">
        <v>3867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3895</v>
      </c>
      <c r="N1076" s="4"/>
      <c r="O1076" s="5"/>
      <c r="P1076" s="4"/>
      <c r="Q1076" s="21" t="str">
        <f>VLOOKUP(tblProductos[[#This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4121</v>
      </c>
      <c r="D1077" s="2" t="s">
        <v>3841</v>
      </c>
      <c r="E1077" s="2" t="s">
        <v>3897</v>
      </c>
      <c r="F1077" s="2">
        <v>1000</v>
      </c>
      <c r="G1077" s="2" t="s">
        <v>3867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3895</v>
      </c>
      <c r="N1077" s="4"/>
      <c r="O1077" s="5"/>
      <c r="P1077" s="4"/>
      <c r="Q1077" s="21" t="str">
        <f>VLOOKUP(tblProductos[[#This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4121</v>
      </c>
      <c r="D1078" s="2" t="s">
        <v>4007</v>
      </c>
      <c r="E1078" s="2" t="s">
        <v>3897</v>
      </c>
      <c r="F1078" s="2">
        <v>1000</v>
      </c>
      <c r="G1078" s="2" t="s">
        <v>3867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3895</v>
      </c>
      <c r="N1078" s="4"/>
      <c r="O1078" s="5"/>
      <c r="P1078" s="4"/>
      <c r="Q1078" s="21" t="str">
        <f>VLOOKUP(tblProductos[[#This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4131</v>
      </c>
      <c r="D1079" s="2" t="s">
        <v>3841</v>
      </c>
      <c r="E1079" s="2" t="s">
        <v>3875</v>
      </c>
      <c r="F1079" s="2">
        <v>500</v>
      </c>
      <c r="G1079" s="2" t="s">
        <v>3886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3882</v>
      </c>
      <c r="N1079" s="4"/>
      <c r="O1079" s="5"/>
      <c r="P1079" s="4"/>
      <c r="Q1079" s="21" t="str">
        <f>VLOOKUP(tblProductos[[#This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4131</v>
      </c>
      <c r="D1080" s="2" t="s">
        <v>4007</v>
      </c>
      <c r="E1080" s="2" t="s">
        <v>3875</v>
      </c>
      <c r="F1080" s="2">
        <v>500</v>
      </c>
      <c r="G1080" s="2" t="s">
        <v>3886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3882</v>
      </c>
      <c r="N1080" s="4"/>
      <c r="O1080" s="5"/>
      <c r="P1080" s="4"/>
      <c r="Q1080" s="21" t="str">
        <f>VLOOKUP(tblProductos[[#This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4132</v>
      </c>
      <c r="D1081" s="2" t="s">
        <v>3841</v>
      </c>
      <c r="E1081" s="2" t="s">
        <v>3872</v>
      </c>
      <c r="F1081" s="2">
        <v>500</v>
      </c>
      <c r="G1081" s="2" t="s">
        <v>3886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3882</v>
      </c>
      <c r="N1081" s="4"/>
      <c r="O1081" s="5"/>
      <c r="P1081" s="4"/>
      <c r="Q1081" s="21" t="str">
        <f>VLOOKUP(tblProductos[[#This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4132</v>
      </c>
      <c r="D1082" s="2" t="s">
        <v>3888</v>
      </c>
      <c r="E1082" s="2" t="s">
        <v>3872</v>
      </c>
      <c r="F1082" s="2">
        <v>500</v>
      </c>
      <c r="G1082" s="2" t="s">
        <v>3886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3882</v>
      </c>
      <c r="N1082" s="4"/>
      <c r="O1082" s="5"/>
      <c r="P1082" s="4"/>
      <c r="Q1082" s="21" t="str">
        <f>VLOOKUP(tblProductos[[#This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4083</v>
      </c>
      <c r="D1083" s="2" t="s">
        <v>4007</v>
      </c>
      <c r="E1083" s="2" t="s">
        <v>3875</v>
      </c>
      <c r="F1083" s="2">
        <v>5000</v>
      </c>
      <c r="G1083" s="2" t="s">
        <v>3873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3868</v>
      </c>
      <c r="N1083" s="4"/>
      <c r="O1083" s="5"/>
      <c r="P1083" s="4"/>
      <c r="Q1083" s="21" t="str">
        <f>VLOOKUP(tblProductos[[#This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4133</v>
      </c>
      <c r="D1084" s="2" t="s">
        <v>3976</v>
      </c>
      <c r="E1084" s="2" t="s">
        <v>3897</v>
      </c>
      <c r="F1084" s="2">
        <v>5000</v>
      </c>
      <c r="G1084" s="2" t="s">
        <v>3867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3895</v>
      </c>
      <c r="N1084" s="4"/>
      <c r="O1084" s="5"/>
      <c r="P1084" s="4"/>
      <c r="Q1084" s="21" t="str">
        <f>VLOOKUP(tblProductos[[#This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4134</v>
      </c>
      <c r="D1085" s="2" t="s">
        <v>3976</v>
      </c>
      <c r="E1085" s="2" t="s">
        <v>3897</v>
      </c>
      <c r="F1085" s="2">
        <v>5000</v>
      </c>
      <c r="G1085" s="2" t="s">
        <v>3867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3895</v>
      </c>
      <c r="N1085" s="4"/>
      <c r="O1085" s="5"/>
      <c r="P1085" s="4"/>
      <c r="Q1085" s="21" t="str">
        <f>VLOOKUP(tblProductos[[#This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4135</v>
      </c>
      <c r="D1086" s="2" t="s">
        <v>3976</v>
      </c>
      <c r="E1086" s="2" t="s">
        <v>3897</v>
      </c>
      <c r="F1086" s="2">
        <v>5000</v>
      </c>
      <c r="G1086" s="2" t="s">
        <v>3867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3895</v>
      </c>
      <c r="N1086" s="4"/>
      <c r="O1086" s="5"/>
      <c r="P1086" s="4"/>
      <c r="Q1086" s="21" t="str">
        <f>VLOOKUP(tblProductos[[#This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4136</v>
      </c>
      <c r="D1087" s="2" t="s">
        <v>3976</v>
      </c>
      <c r="E1087" s="2" t="s">
        <v>3897</v>
      </c>
      <c r="F1087" s="2">
        <v>5000</v>
      </c>
      <c r="G1087" s="2" t="s">
        <v>3867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3895</v>
      </c>
      <c r="N1087" s="4"/>
      <c r="O1087" s="5"/>
      <c r="P1087" s="4"/>
      <c r="Q1087" s="21" t="str">
        <f>VLOOKUP(tblProductos[[#This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4137</v>
      </c>
      <c r="D1088" s="2" t="s">
        <v>3976</v>
      </c>
      <c r="E1088" s="2" t="s">
        <v>3897</v>
      </c>
      <c r="F1088" s="2">
        <v>5000</v>
      </c>
      <c r="G1088" s="2" t="s">
        <v>3867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3895</v>
      </c>
      <c r="N1088" s="4"/>
      <c r="O1088" s="5"/>
      <c r="P1088" s="4"/>
      <c r="Q1088" s="21" t="str">
        <f>VLOOKUP(tblProductos[[#This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4138</v>
      </c>
      <c r="D1089" s="2" t="s">
        <v>3976</v>
      </c>
      <c r="E1089" s="2" t="s">
        <v>3897</v>
      </c>
      <c r="F1089" s="2">
        <v>5000</v>
      </c>
      <c r="G1089" s="2" t="s">
        <v>3867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3895</v>
      </c>
      <c r="N1089" s="4"/>
      <c r="O1089" s="5"/>
      <c r="P1089" s="4"/>
      <c r="Q1089" s="21" t="str">
        <f>VLOOKUP(tblProductos[[#This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4139</v>
      </c>
      <c r="D1090" s="2" t="s">
        <v>3976</v>
      </c>
      <c r="E1090" s="2" t="s">
        <v>3897</v>
      </c>
      <c r="F1090" s="2">
        <v>5000</v>
      </c>
      <c r="G1090" s="2" t="s">
        <v>3867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3895</v>
      </c>
      <c r="N1090" s="4"/>
      <c r="O1090" s="5"/>
      <c r="P1090" s="4"/>
      <c r="Q1090" s="21" t="str">
        <f>VLOOKUP(tblProductos[[#This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4140</v>
      </c>
      <c r="D1091" s="2" t="s">
        <v>3976</v>
      </c>
      <c r="E1091" s="2" t="s">
        <v>3897</v>
      </c>
      <c r="F1091" s="2">
        <v>5000</v>
      </c>
      <c r="G1091" s="2" t="s">
        <v>3867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3895</v>
      </c>
      <c r="N1091" s="4"/>
      <c r="O1091" s="5"/>
      <c r="P1091" s="4"/>
      <c r="Q1091" s="21" t="str">
        <f>VLOOKUP(tblProductos[[#This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4141</v>
      </c>
      <c r="D1092" s="2" t="s">
        <v>3976</v>
      </c>
      <c r="E1092" s="2" t="s">
        <v>3897</v>
      </c>
      <c r="F1092" s="2">
        <v>5000</v>
      </c>
      <c r="G1092" s="2" t="s">
        <v>3867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3895</v>
      </c>
      <c r="N1092" s="4"/>
      <c r="O1092" s="5"/>
      <c r="P1092" s="4"/>
      <c r="Q1092" s="21" t="str">
        <f>VLOOKUP(tblProductos[[#This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3969</v>
      </c>
      <c r="D1093" s="2" t="s">
        <v>4008</v>
      </c>
      <c r="E1093" s="2" t="s">
        <v>3872</v>
      </c>
      <c r="F1093" s="2">
        <v>500</v>
      </c>
      <c r="G1093" s="2" t="s">
        <v>3886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3882</v>
      </c>
      <c r="N1093" s="4"/>
      <c r="O1093" s="5"/>
      <c r="P1093" s="4"/>
      <c r="Q1093" s="21" t="str">
        <f>VLOOKUP(tblProductos[[#This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3969</v>
      </c>
      <c r="D1094" s="2" t="s">
        <v>4007</v>
      </c>
      <c r="E1094" s="2" t="s">
        <v>3872</v>
      </c>
      <c r="F1094" s="2">
        <v>500</v>
      </c>
      <c r="G1094" s="2" t="s">
        <v>3886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3882</v>
      </c>
      <c r="N1094" s="4"/>
      <c r="O1094" s="5"/>
      <c r="P1094" s="4"/>
      <c r="Q1094" s="21" t="str">
        <f>VLOOKUP(tblProductos[[#This Row],[id_proveedor]],tblProveedores[[#All],[id]:[nombre]],2,0)</f>
        <v>IVAN MARTINEZ REATA</v>
      </c>
    </row>
    <row r="1095" spans="1:17" x14ac:dyDescent="0.25">
      <c r="A1095" s="1">
        <v>1746</v>
      </c>
      <c r="B1095" s="1">
        <v>58</v>
      </c>
      <c r="C1095" s="2" t="s">
        <v>4046</v>
      </c>
      <c r="D1095" s="2" t="s">
        <v>3923</v>
      </c>
      <c r="E1095" s="2" t="s">
        <v>3901</v>
      </c>
      <c r="F1095" s="2">
        <v>25</v>
      </c>
      <c r="G1095" s="2" t="s">
        <v>3842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3925</v>
      </c>
      <c r="N1095" s="4"/>
      <c r="O1095" s="5">
        <v>40</v>
      </c>
      <c r="P1095" s="4"/>
      <c r="Q1095" s="21" t="str">
        <f>VLOOKUP(tblProductos[[#This Row],[id_proveedor]],tblProveedores[[#All],[id]:[nombre]],2,0)</f>
        <v>WILSON ROJAS</v>
      </c>
    </row>
    <row r="1096" spans="1:17" x14ac:dyDescent="0.25">
      <c r="A1096" s="1">
        <v>1747</v>
      </c>
      <c r="B1096" s="1">
        <v>58</v>
      </c>
      <c r="C1096" s="2" t="s">
        <v>3922</v>
      </c>
      <c r="D1096" s="2" t="s">
        <v>3841</v>
      </c>
      <c r="E1096" s="2" t="s">
        <v>3924</v>
      </c>
      <c r="F1096" s="2">
        <v>25</v>
      </c>
      <c r="G1096" s="2" t="s">
        <v>3842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3925</v>
      </c>
      <c r="N1096" s="4"/>
      <c r="O1096" s="5">
        <v>3</v>
      </c>
      <c r="P1096" s="4"/>
      <c r="Q1096" s="21" t="str">
        <f>VLOOKUP(tblProductos[[#This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4142</v>
      </c>
      <c r="D1097" s="2" t="s">
        <v>3841</v>
      </c>
      <c r="E1097" s="2"/>
      <c r="F1097" s="2">
        <v>50</v>
      </c>
      <c r="G1097" s="2" t="s">
        <v>3842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3843</v>
      </c>
      <c r="N1097" s="4"/>
      <c r="O1097" s="5"/>
      <c r="P1097" s="4"/>
      <c r="Q1097" s="21" t="str">
        <f>VLOOKUP(tblProductos[[#This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4142</v>
      </c>
      <c r="D1098" s="2" t="s">
        <v>3888</v>
      </c>
      <c r="E1098" s="2"/>
      <c r="F1098" s="2">
        <v>50</v>
      </c>
      <c r="G1098" s="2" t="s">
        <v>3842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3843</v>
      </c>
      <c r="N1098" s="4"/>
      <c r="O1098" s="5"/>
      <c r="P1098" s="4"/>
      <c r="Q1098" s="21" t="str">
        <f>VLOOKUP(tblProductos[[#This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4142</v>
      </c>
      <c r="D1099" s="2" t="s">
        <v>4009</v>
      </c>
      <c r="E1099" s="2"/>
      <c r="F1099" s="2">
        <v>50</v>
      </c>
      <c r="G1099" s="2" t="s">
        <v>3842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3843</v>
      </c>
      <c r="N1099" s="4"/>
      <c r="O1099" s="5"/>
      <c r="P1099" s="4"/>
      <c r="Q1099" s="21" t="str">
        <f>VLOOKUP(tblProductos[[#This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4142</v>
      </c>
      <c r="D1100" s="2" t="s">
        <v>3919</v>
      </c>
      <c r="E1100" s="2"/>
      <c r="F1100" s="2">
        <v>50</v>
      </c>
      <c r="G1100" s="2" t="s">
        <v>3842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3843</v>
      </c>
      <c r="N1100" s="4"/>
      <c r="O1100" s="5"/>
      <c r="P1100" s="4"/>
      <c r="Q1100" s="21" t="str">
        <f>VLOOKUP(tblProductos[[#This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4142</v>
      </c>
      <c r="D1101" s="2" t="s">
        <v>4015</v>
      </c>
      <c r="E1101" s="2"/>
      <c r="F1101" s="2">
        <v>50</v>
      </c>
      <c r="G1101" s="2" t="s">
        <v>3842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3843</v>
      </c>
      <c r="N1101" s="4"/>
      <c r="O1101" s="5"/>
      <c r="P1101" s="4"/>
      <c r="Q1101" s="21" t="str">
        <f>VLOOKUP(tblProductos[[#This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4142</v>
      </c>
      <c r="D1102" s="2" t="s">
        <v>4013</v>
      </c>
      <c r="E1102" s="2"/>
      <c r="F1102" s="2">
        <v>50</v>
      </c>
      <c r="G1102" s="2" t="s">
        <v>3842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3843</v>
      </c>
      <c r="N1102" s="4"/>
      <c r="O1102" s="5"/>
      <c r="P1102" s="4"/>
      <c r="Q1102" s="21" t="str">
        <f>VLOOKUP(tblProductos[[#This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4142</v>
      </c>
      <c r="D1103" s="2" t="s">
        <v>4007</v>
      </c>
      <c r="E1103" s="2"/>
      <c r="F1103" s="2">
        <v>50</v>
      </c>
      <c r="G1103" s="2" t="s">
        <v>3842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3843</v>
      </c>
      <c r="N1103" s="4"/>
      <c r="O1103" s="5"/>
      <c r="P1103" s="4"/>
      <c r="Q1103" s="21" t="str">
        <f>VLOOKUP(tblProductos[[#This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3900</v>
      </c>
      <c r="D1104" s="2" t="s">
        <v>4030</v>
      </c>
      <c r="E1104" s="2" t="s">
        <v>3901</v>
      </c>
      <c r="F1104" s="2">
        <v>1000</v>
      </c>
      <c r="G1104" s="2" t="s">
        <v>3873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3895</v>
      </c>
      <c r="N1104" s="4"/>
      <c r="O1104" s="5">
        <v>3</v>
      </c>
      <c r="P1104" s="4"/>
      <c r="Q1104" s="21" t="str">
        <f>VLOOKUP(tblProductos[[#This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3857</v>
      </c>
      <c r="D1105" s="2" t="s">
        <v>4017</v>
      </c>
      <c r="E1105" s="2" t="s">
        <v>3856</v>
      </c>
      <c r="F1105" s="2">
        <v>200</v>
      </c>
      <c r="G1105" s="2" t="s">
        <v>3842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3843</v>
      </c>
      <c r="N1105" s="4"/>
      <c r="O1105" s="5"/>
      <c r="P1105" s="4"/>
      <c r="Q1105" s="21" t="str">
        <f>VLOOKUP(tblProductos[[#This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3857</v>
      </c>
      <c r="D1106" s="2" t="s">
        <v>4010</v>
      </c>
      <c r="E1106" s="2" t="s">
        <v>3856</v>
      </c>
      <c r="F1106" s="2">
        <v>200</v>
      </c>
      <c r="G1106" s="2" t="s">
        <v>3842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3843</v>
      </c>
      <c r="N1106" s="4"/>
      <c r="O1106" s="5"/>
      <c r="P1106" s="4"/>
      <c r="Q1106" s="21" t="str">
        <f>VLOOKUP(tblProductos[[#This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3857</v>
      </c>
      <c r="D1107" s="2" t="s">
        <v>4125</v>
      </c>
      <c r="E1107" s="2" t="s">
        <v>3856</v>
      </c>
      <c r="F1107" s="2">
        <v>200</v>
      </c>
      <c r="G1107" s="2" t="s">
        <v>3842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3843</v>
      </c>
      <c r="N1107" s="4"/>
      <c r="O1107" s="5"/>
      <c r="P1107" s="4"/>
      <c r="Q1107" s="21" t="str">
        <f>VLOOKUP(tblProductos[[#This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3857</v>
      </c>
      <c r="D1108" s="2" t="s">
        <v>4056</v>
      </c>
      <c r="E1108" s="2" t="s">
        <v>3856</v>
      </c>
      <c r="F1108" s="2">
        <v>200</v>
      </c>
      <c r="G1108" s="2" t="s">
        <v>3842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3843</v>
      </c>
      <c r="N1108" s="4"/>
      <c r="O1108" s="5"/>
      <c r="P1108" s="4"/>
      <c r="Q1108" s="21" t="str">
        <f>VLOOKUP(tblProductos[[#This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3857</v>
      </c>
      <c r="D1109" s="2" t="s">
        <v>4006</v>
      </c>
      <c r="E1109" s="2" t="s">
        <v>3856</v>
      </c>
      <c r="F1109" s="2">
        <v>200</v>
      </c>
      <c r="G1109" s="2" t="s">
        <v>3842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3843</v>
      </c>
      <c r="N1109" s="4"/>
      <c r="O1109" s="5"/>
      <c r="P1109" s="4"/>
      <c r="Q1109" s="21" t="str">
        <f>VLOOKUP(tblProductos[[#This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3857</v>
      </c>
      <c r="D1110" s="2" t="s">
        <v>4143</v>
      </c>
      <c r="E1110" s="2" t="s">
        <v>3856</v>
      </c>
      <c r="F1110" s="2">
        <v>200</v>
      </c>
      <c r="G1110" s="2" t="s">
        <v>3842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3843</v>
      </c>
      <c r="N1110" s="4"/>
      <c r="O1110" s="5"/>
      <c r="P1110" s="4"/>
      <c r="Q1110" s="21" t="str">
        <f>VLOOKUP(tblProductos[[#This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3857</v>
      </c>
      <c r="D1111" s="2" t="s">
        <v>4031</v>
      </c>
      <c r="E1111" s="2" t="s">
        <v>3856</v>
      </c>
      <c r="F1111" s="2">
        <v>200</v>
      </c>
      <c r="G1111" s="2" t="s">
        <v>3842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3843</v>
      </c>
      <c r="N1111" s="4"/>
      <c r="O1111" s="5"/>
      <c r="P1111" s="4"/>
      <c r="Q1111" s="21" t="str">
        <f>VLOOKUP(tblProductos[[#This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3857</v>
      </c>
      <c r="D1112" s="2" t="s">
        <v>4011</v>
      </c>
      <c r="E1112" s="2" t="s">
        <v>3856</v>
      </c>
      <c r="F1112" s="2">
        <v>200</v>
      </c>
      <c r="G1112" s="2" t="s">
        <v>3842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3843</v>
      </c>
      <c r="N1112" s="4"/>
      <c r="O1112" s="5"/>
      <c r="P1112" s="4"/>
      <c r="Q1112" s="21" t="str">
        <f>VLOOKUP(tblProductos[[#This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3857</v>
      </c>
      <c r="D1113" s="2" t="s">
        <v>4030</v>
      </c>
      <c r="E1113" s="2" t="s">
        <v>3856</v>
      </c>
      <c r="F1113" s="2">
        <v>200</v>
      </c>
      <c r="G1113" s="2" t="s">
        <v>3842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3843</v>
      </c>
      <c r="N1113" s="4"/>
      <c r="O1113" s="5"/>
      <c r="P1113" s="4"/>
      <c r="Q1113" s="21" t="str">
        <f>VLOOKUP(tblProductos[[#This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3857</v>
      </c>
      <c r="D1114" s="2" t="s">
        <v>4018</v>
      </c>
      <c r="E1114" s="2" t="s">
        <v>3856</v>
      </c>
      <c r="F1114" s="2">
        <v>200</v>
      </c>
      <c r="G1114" s="2" t="s">
        <v>3842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3843</v>
      </c>
      <c r="N1114" s="4"/>
      <c r="O1114" s="5"/>
      <c r="P1114" s="4"/>
      <c r="Q1114" s="21" t="str">
        <f>VLOOKUP(tblProductos[[#This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3857</v>
      </c>
      <c r="D1115" s="2" t="s">
        <v>4009</v>
      </c>
      <c r="E1115" s="2" t="s">
        <v>3856</v>
      </c>
      <c r="F1115" s="2">
        <v>200</v>
      </c>
      <c r="G1115" s="2" t="s">
        <v>3842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3843</v>
      </c>
      <c r="N1115" s="4"/>
      <c r="O1115" s="5"/>
      <c r="P1115" s="4"/>
      <c r="Q1115" s="21" t="str">
        <f>VLOOKUP(tblProductos[[#This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3857</v>
      </c>
      <c r="D1116" s="2" t="s">
        <v>4013</v>
      </c>
      <c r="E1116" s="2" t="s">
        <v>3856</v>
      </c>
      <c r="F1116" s="2">
        <v>200</v>
      </c>
      <c r="G1116" s="2" t="s">
        <v>3842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3843</v>
      </c>
      <c r="N1116" s="4"/>
      <c r="O1116" s="5"/>
      <c r="P1116" s="4"/>
      <c r="Q1116" s="21" t="str">
        <f>VLOOKUP(tblProductos[[#This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3857</v>
      </c>
      <c r="D1117" s="2" t="s">
        <v>4019</v>
      </c>
      <c r="E1117" s="2" t="s">
        <v>3856</v>
      </c>
      <c r="F1117" s="2">
        <v>200</v>
      </c>
      <c r="G1117" s="2" t="s">
        <v>3842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3843</v>
      </c>
      <c r="N1117" s="4"/>
      <c r="O1117" s="5"/>
      <c r="P1117" s="4"/>
      <c r="Q1117" s="21" t="str">
        <f>VLOOKUP(tblProductos[[#This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3857</v>
      </c>
      <c r="D1118" s="2" t="s">
        <v>4032</v>
      </c>
      <c r="E1118" s="2" t="s">
        <v>3856</v>
      </c>
      <c r="F1118" s="2">
        <v>200</v>
      </c>
      <c r="G1118" s="2" t="s">
        <v>3842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3843</v>
      </c>
      <c r="N1118" s="4"/>
      <c r="O1118" s="5"/>
      <c r="P1118" s="4"/>
      <c r="Q1118" s="21" t="str">
        <f>VLOOKUP(tblProductos[[#This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3857</v>
      </c>
      <c r="D1119" s="2" t="s">
        <v>3888</v>
      </c>
      <c r="E1119" s="2" t="s">
        <v>3856</v>
      </c>
      <c r="F1119" s="2">
        <v>200</v>
      </c>
      <c r="G1119" s="2" t="s">
        <v>3842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3843</v>
      </c>
      <c r="N1119" s="4"/>
      <c r="O1119" s="5"/>
      <c r="P1119" s="4"/>
      <c r="Q1119" s="21" t="str">
        <f>VLOOKUP(tblProductos[[#This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3857</v>
      </c>
      <c r="D1120" s="2" t="s">
        <v>4033</v>
      </c>
      <c r="E1120" s="2" t="s">
        <v>3856</v>
      </c>
      <c r="F1120" s="2">
        <v>200</v>
      </c>
      <c r="G1120" s="2" t="s">
        <v>3842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3843</v>
      </c>
      <c r="N1120" s="4"/>
      <c r="O1120" s="5"/>
      <c r="P1120" s="4"/>
      <c r="Q1120" s="21" t="str">
        <f>VLOOKUP(tblProductos[[#This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3857</v>
      </c>
      <c r="D1121" s="2" t="s">
        <v>4144</v>
      </c>
      <c r="E1121" s="2" t="s">
        <v>3856</v>
      </c>
      <c r="F1121" s="2">
        <v>200</v>
      </c>
      <c r="G1121" s="2" t="s">
        <v>3842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3843</v>
      </c>
      <c r="N1121" s="4"/>
      <c r="O1121" s="5"/>
      <c r="P1121" s="4"/>
      <c r="Q1121" s="21" t="str">
        <f>VLOOKUP(tblProductos[[#This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3857</v>
      </c>
      <c r="D1122" s="2" t="s">
        <v>4014</v>
      </c>
      <c r="E1122" s="2" t="s">
        <v>3856</v>
      </c>
      <c r="F1122" s="2">
        <v>200</v>
      </c>
      <c r="G1122" s="2" t="s">
        <v>3842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3843</v>
      </c>
      <c r="N1122" s="4"/>
      <c r="O1122" s="5"/>
      <c r="P1122" s="4"/>
      <c r="Q1122" s="21" t="str">
        <f>VLOOKUP(tblProductos[[#This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3857</v>
      </c>
      <c r="D1123" s="2" t="s">
        <v>4008</v>
      </c>
      <c r="E1123" s="2" t="s">
        <v>3856</v>
      </c>
      <c r="F1123" s="2">
        <v>200</v>
      </c>
      <c r="G1123" s="2" t="s">
        <v>3842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3843</v>
      </c>
      <c r="N1123" s="4"/>
      <c r="O1123" s="5"/>
      <c r="P1123" s="4"/>
      <c r="Q1123" s="21" t="str">
        <f>VLOOKUP(tblProductos[[#This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3857</v>
      </c>
      <c r="D1124" s="2" t="s">
        <v>4020</v>
      </c>
      <c r="E1124" s="2" t="s">
        <v>3856</v>
      </c>
      <c r="F1124" s="2">
        <v>200</v>
      </c>
      <c r="G1124" s="2" t="s">
        <v>3842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3843</v>
      </c>
      <c r="N1124" s="4"/>
      <c r="O1124" s="5"/>
      <c r="P1124" s="4"/>
      <c r="Q1124" s="21" t="str">
        <f>VLOOKUP(tblProductos[[#This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3857</v>
      </c>
      <c r="D1125" s="2" t="s">
        <v>4016</v>
      </c>
      <c r="E1125" s="2" t="s">
        <v>3856</v>
      </c>
      <c r="F1125" s="2">
        <v>200</v>
      </c>
      <c r="G1125" s="2" t="s">
        <v>3842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3843</v>
      </c>
      <c r="N1125" s="4"/>
      <c r="O1125" s="5"/>
      <c r="P1125" s="4"/>
      <c r="Q1125" s="21" t="str">
        <f>VLOOKUP(tblProductos[[#This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3857</v>
      </c>
      <c r="D1126" s="2" t="s">
        <v>4145</v>
      </c>
      <c r="E1126" s="2" t="s">
        <v>3856</v>
      </c>
      <c r="F1126" s="2">
        <v>200</v>
      </c>
      <c r="G1126" s="2" t="s">
        <v>3842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3843</v>
      </c>
      <c r="N1126" s="4"/>
      <c r="O1126" s="5"/>
      <c r="P1126" s="4"/>
      <c r="Q1126" s="21" t="str">
        <f>VLOOKUP(tblProductos[[#This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3857</v>
      </c>
      <c r="D1127" s="2" t="s">
        <v>4021</v>
      </c>
      <c r="E1127" s="2" t="s">
        <v>3856</v>
      </c>
      <c r="F1127" s="2">
        <v>200</v>
      </c>
      <c r="G1127" s="2" t="s">
        <v>3842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3843</v>
      </c>
      <c r="N1127" s="4"/>
      <c r="O1127" s="5"/>
      <c r="P1127" s="4"/>
      <c r="Q1127" s="21" t="str">
        <f>VLOOKUP(tblProductos[[#This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3857</v>
      </c>
      <c r="D1128" s="2" t="s">
        <v>4015</v>
      </c>
      <c r="E1128" s="2" t="s">
        <v>3856</v>
      </c>
      <c r="F1128" s="2">
        <v>200</v>
      </c>
      <c r="G1128" s="2" t="s">
        <v>3842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3843</v>
      </c>
      <c r="N1128" s="4"/>
      <c r="O1128" s="5"/>
      <c r="P1128" s="4"/>
      <c r="Q1128" s="21" t="str">
        <f>VLOOKUP(tblProductos[[#This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3857</v>
      </c>
      <c r="D1129" s="2" t="s">
        <v>4054</v>
      </c>
      <c r="E1129" s="2" t="s">
        <v>3856</v>
      </c>
      <c r="F1129" s="2">
        <v>200</v>
      </c>
      <c r="G1129" s="2" t="s">
        <v>3842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3843</v>
      </c>
      <c r="N1129" s="4"/>
      <c r="O1129" s="5"/>
      <c r="P1129" s="4"/>
      <c r="Q1129" s="21" t="str">
        <f>VLOOKUP(tblProductos[[#This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3857</v>
      </c>
      <c r="D1130" s="2" t="s">
        <v>4118</v>
      </c>
      <c r="E1130" s="2" t="s">
        <v>3856</v>
      </c>
      <c r="F1130" s="2">
        <v>200</v>
      </c>
      <c r="G1130" s="2" t="s">
        <v>3842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3843</v>
      </c>
      <c r="N1130" s="4"/>
      <c r="O1130" s="5"/>
      <c r="P1130" s="4"/>
      <c r="Q1130" s="21" t="str">
        <f>VLOOKUP(tblProductos[[#This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3857</v>
      </c>
      <c r="D1131" s="2" t="s">
        <v>4022</v>
      </c>
      <c r="E1131" s="2" t="s">
        <v>3856</v>
      </c>
      <c r="F1131" s="2">
        <v>200</v>
      </c>
      <c r="G1131" s="2" t="s">
        <v>3842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3843</v>
      </c>
      <c r="N1131" s="4"/>
      <c r="O1131" s="5"/>
      <c r="P1131" s="4"/>
      <c r="Q1131" s="21" t="str">
        <f>VLOOKUP(tblProductos[[#This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3857</v>
      </c>
      <c r="D1132" s="2" t="s">
        <v>3919</v>
      </c>
      <c r="E1132" s="2" t="s">
        <v>3856</v>
      </c>
      <c r="F1132" s="2">
        <v>200</v>
      </c>
      <c r="G1132" s="2" t="s">
        <v>3842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3843</v>
      </c>
      <c r="N1132" s="4"/>
      <c r="O1132" s="5"/>
      <c r="P1132" s="4"/>
      <c r="Q1132" s="21" t="str">
        <f>VLOOKUP(tblProductos[[#This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3857</v>
      </c>
      <c r="D1133" s="2" t="s">
        <v>4023</v>
      </c>
      <c r="E1133" s="2" t="s">
        <v>3856</v>
      </c>
      <c r="F1133" s="2">
        <v>200</v>
      </c>
      <c r="G1133" s="2" t="s">
        <v>3842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3843</v>
      </c>
      <c r="N1133" s="4"/>
      <c r="O1133" s="5"/>
      <c r="P1133" s="4"/>
      <c r="Q1133" s="21" t="str">
        <f>VLOOKUP(tblProductos[[#This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3857</v>
      </c>
      <c r="D1134" s="2" t="s">
        <v>4029</v>
      </c>
      <c r="E1134" s="2" t="s">
        <v>3856</v>
      </c>
      <c r="F1134" s="2">
        <v>200</v>
      </c>
      <c r="G1134" s="2" t="s">
        <v>3842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3843</v>
      </c>
      <c r="N1134" s="4"/>
      <c r="O1134" s="5"/>
      <c r="P1134" s="4"/>
      <c r="Q1134" s="21" t="str">
        <f>VLOOKUP(tblProductos[[#This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3857</v>
      </c>
      <c r="D1135" s="2" t="s">
        <v>4024</v>
      </c>
      <c r="E1135" s="2" t="s">
        <v>3856</v>
      </c>
      <c r="F1135" s="2">
        <v>200</v>
      </c>
      <c r="G1135" s="2" t="s">
        <v>3842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3843</v>
      </c>
      <c r="N1135" s="4"/>
      <c r="O1135" s="5"/>
      <c r="P1135" s="4"/>
      <c r="Q1135" s="21" t="str">
        <f>VLOOKUP(tblProductos[[#This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3857</v>
      </c>
      <c r="D1136" s="2" t="s">
        <v>4034</v>
      </c>
      <c r="E1136" s="2" t="s">
        <v>3856</v>
      </c>
      <c r="F1136" s="2">
        <v>200</v>
      </c>
      <c r="G1136" s="2" t="s">
        <v>3842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3843</v>
      </c>
      <c r="N1136" s="4"/>
      <c r="O1136" s="5"/>
      <c r="P1136" s="4"/>
      <c r="Q1136" s="21" t="str">
        <f>VLOOKUP(tblProductos[[#This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3857</v>
      </c>
      <c r="D1137" s="2" t="s">
        <v>4035</v>
      </c>
      <c r="E1137" s="2" t="s">
        <v>3856</v>
      </c>
      <c r="F1137" s="2">
        <v>200</v>
      </c>
      <c r="G1137" s="2" t="s">
        <v>3842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3843</v>
      </c>
      <c r="N1137" s="4"/>
      <c r="O1137" s="5"/>
      <c r="P1137" s="4"/>
      <c r="Q1137" s="21" t="str">
        <f>VLOOKUP(tblProductos[[#This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3857</v>
      </c>
      <c r="D1138" s="2" t="s">
        <v>4010</v>
      </c>
      <c r="E1138" s="2" t="s">
        <v>3858</v>
      </c>
      <c r="F1138" s="2">
        <v>200</v>
      </c>
      <c r="G1138" s="2" t="s">
        <v>3842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3843</v>
      </c>
      <c r="N1138" s="4"/>
      <c r="O1138" s="5"/>
      <c r="P1138" s="4"/>
      <c r="Q1138" s="21" t="str">
        <f>VLOOKUP(tblProductos[[#This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3857</v>
      </c>
      <c r="D1139" s="2" t="s">
        <v>4125</v>
      </c>
      <c r="E1139" s="2" t="s">
        <v>3858</v>
      </c>
      <c r="F1139" s="2">
        <v>200</v>
      </c>
      <c r="G1139" s="2" t="s">
        <v>3842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3843</v>
      </c>
      <c r="N1139" s="4"/>
      <c r="O1139" s="5"/>
      <c r="P1139" s="4"/>
      <c r="Q1139" s="21" t="str">
        <f>VLOOKUP(tblProductos[[#This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3857</v>
      </c>
      <c r="D1140" s="2" t="s">
        <v>4056</v>
      </c>
      <c r="E1140" s="2" t="s">
        <v>3858</v>
      </c>
      <c r="F1140" s="2">
        <v>200</v>
      </c>
      <c r="G1140" s="2" t="s">
        <v>3842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3843</v>
      </c>
      <c r="N1140" s="4"/>
      <c r="O1140" s="5"/>
      <c r="P1140" s="4"/>
      <c r="Q1140" s="21" t="str">
        <f>VLOOKUP(tblProductos[[#This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3857</v>
      </c>
      <c r="D1141" s="2" t="s">
        <v>4006</v>
      </c>
      <c r="E1141" s="2" t="s">
        <v>3858</v>
      </c>
      <c r="F1141" s="2">
        <v>200</v>
      </c>
      <c r="G1141" s="2" t="s">
        <v>3842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3843</v>
      </c>
      <c r="N1141" s="4"/>
      <c r="O1141" s="5"/>
      <c r="P1141" s="4"/>
      <c r="Q1141" s="21" t="str">
        <f>VLOOKUP(tblProductos[[#This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3857</v>
      </c>
      <c r="D1142" s="2" t="s">
        <v>4143</v>
      </c>
      <c r="E1142" s="2" t="s">
        <v>3858</v>
      </c>
      <c r="F1142" s="2">
        <v>200</v>
      </c>
      <c r="G1142" s="2" t="s">
        <v>3842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3843</v>
      </c>
      <c r="N1142" s="4"/>
      <c r="O1142" s="5"/>
      <c r="P1142" s="4"/>
      <c r="Q1142" s="21" t="str">
        <f>VLOOKUP(tblProductos[[#This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3857</v>
      </c>
      <c r="D1143" s="2" t="s">
        <v>4031</v>
      </c>
      <c r="E1143" s="2" t="s">
        <v>3858</v>
      </c>
      <c r="F1143" s="2">
        <v>200</v>
      </c>
      <c r="G1143" s="2" t="s">
        <v>3842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3843</v>
      </c>
      <c r="N1143" s="4"/>
      <c r="O1143" s="5"/>
      <c r="P1143" s="4"/>
      <c r="Q1143" s="21" t="str">
        <f>VLOOKUP(tblProductos[[#This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3857</v>
      </c>
      <c r="D1144" s="2" t="s">
        <v>4030</v>
      </c>
      <c r="E1144" s="2" t="s">
        <v>3858</v>
      </c>
      <c r="F1144" s="2">
        <v>200</v>
      </c>
      <c r="G1144" s="2" t="s">
        <v>3842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3843</v>
      </c>
      <c r="N1144" s="4"/>
      <c r="O1144" s="5"/>
      <c r="P1144" s="4"/>
      <c r="Q1144" s="21" t="str">
        <f>VLOOKUP(tblProductos[[#This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3857</v>
      </c>
      <c r="D1145" s="2" t="s">
        <v>4013</v>
      </c>
      <c r="E1145" s="2" t="s">
        <v>3858</v>
      </c>
      <c r="F1145" s="2">
        <v>200</v>
      </c>
      <c r="G1145" s="2" t="s">
        <v>3842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3843</v>
      </c>
      <c r="N1145" s="4"/>
      <c r="O1145" s="5"/>
      <c r="P1145" s="4"/>
      <c r="Q1145" s="21" t="str">
        <f>VLOOKUP(tblProductos[[#This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3857</v>
      </c>
      <c r="D1146" s="2" t="s">
        <v>4032</v>
      </c>
      <c r="E1146" s="2" t="s">
        <v>3858</v>
      </c>
      <c r="F1146" s="2">
        <v>200</v>
      </c>
      <c r="G1146" s="2" t="s">
        <v>3842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3843</v>
      </c>
      <c r="N1146" s="4"/>
      <c r="O1146" s="5"/>
      <c r="P1146" s="4"/>
      <c r="Q1146" s="21" t="str">
        <f>VLOOKUP(tblProductos[[#This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3857</v>
      </c>
      <c r="D1147" s="2" t="s">
        <v>3888</v>
      </c>
      <c r="E1147" s="2" t="s">
        <v>3858</v>
      </c>
      <c r="F1147" s="2">
        <v>200</v>
      </c>
      <c r="G1147" s="2" t="s">
        <v>3842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3843</v>
      </c>
      <c r="N1147" s="4"/>
      <c r="O1147" s="5"/>
      <c r="P1147" s="4"/>
      <c r="Q1147" s="21" t="str">
        <f>VLOOKUP(tblProductos[[#This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3857</v>
      </c>
      <c r="D1148" s="2" t="s">
        <v>4033</v>
      </c>
      <c r="E1148" s="2" t="s">
        <v>3858</v>
      </c>
      <c r="F1148" s="2">
        <v>200</v>
      </c>
      <c r="G1148" s="2" t="s">
        <v>3842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3843</v>
      </c>
      <c r="N1148" s="4"/>
      <c r="O1148" s="5"/>
      <c r="P1148" s="4"/>
      <c r="Q1148" s="21" t="str">
        <f>VLOOKUP(tblProductos[[#This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3857</v>
      </c>
      <c r="D1149" s="2" t="s">
        <v>4144</v>
      </c>
      <c r="E1149" s="2" t="s">
        <v>3858</v>
      </c>
      <c r="F1149" s="2">
        <v>200</v>
      </c>
      <c r="G1149" s="2" t="s">
        <v>3842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3843</v>
      </c>
      <c r="N1149" s="4"/>
      <c r="O1149" s="5"/>
      <c r="P1149" s="4"/>
      <c r="Q1149" s="21" t="str">
        <f>VLOOKUP(tblProductos[[#This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3857</v>
      </c>
      <c r="D1150" s="2" t="s">
        <v>4014</v>
      </c>
      <c r="E1150" s="2" t="s">
        <v>3858</v>
      </c>
      <c r="F1150" s="2">
        <v>200</v>
      </c>
      <c r="G1150" s="2" t="s">
        <v>3842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3843</v>
      </c>
      <c r="N1150" s="4"/>
      <c r="O1150" s="5"/>
      <c r="P1150" s="4"/>
      <c r="Q1150" s="21" t="str">
        <f>VLOOKUP(tblProductos[[#This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3857</v>
      </c>
      <c r="D1151" s="2" t="s">
        <v>4016</v>
      </c>
      <c r="E1151" s="2" t="s">
        <v>3858</v>
      </c>
      <c r="F1151" s="2">
        <v>200</v>
      </c>
      <c r="G1151" s="2" t="s">
        <v>3842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3843</v>
      </c>
      <c r="N1151" s="4"/>
      <c r="O1151" s="5"/>
      <c r="P1151" s="4"/>
      <c r="Q1151" s="21" t="str">
        <f>VLOOKUP(tblProductos[[#This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3857</v>
      </c>
      <c r="D1152" s="2" t="s">
        <v>4145</v>
      </c>
      <c r="E1152" s="2" t="s">
        <v>3858</v>
      </c>
      <c r="F1152" s="2">
        <v>200</v>
      </c>
      <c r="G1152" s="2" t="s">
        <v>3842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3843</v>
      </c>
      <c r="N1152" s="4"/>
      <c r="O1152" s="5"/>
      <c r="P1152" s="4"/>
      <c r="Q1152" s="21" t="str">
        <f>VLOOKUP(tblProductos[[#This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3857</v>
      </c>
      <c r="D1153" s="2" t="s">
        <v>4015</v>
      </c>
      <c r="E1153" s="2" t="s">
        <v>3858</v>
      </c>
      <c r="F1153" s="2">
        <v>200</v>
      </c>
      <c r="G1153" s="2" t="s">
        <v>3842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3843</v>
      </c>
      <c r="N1153" s="4"/>
      <c r="O1153" s="5"/>
      <c r="P1153" s="4"/>
      <c r="Q1153" s="21" t="str">
        <f>VLOOKUP(tblProductos[[#This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3857</v>
      </c>
      <c r="D1154" s="2" t="s">
        <v>4054</v>
      </c>
      <c r="E1154" s="2" t="s">
        <v>3858</v>
      </c>
      <c r="F1154" s="2">
        <v>200</v>
      </c>
      <c r="G1154" s="2" t="s">
        <v>3842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3843</v>
      </c>
      <c r="N1154" s="4"/>
      <c r="O1154" s="5"/>
      <c r="P1154" s="4"/>
      <c r="Q1154" s="21" t="str">
        <f>VLOOKUP(tblProductos[[#This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3857</v>
      </c>
      <c r="D1155" s="2" t="s">
        <v>4118</v>
      </c>
      <c r="E1155" s="2" t="s">
        <v>3858</v>
      </c>
      <c r="F1155" s="2">
        <v>200</v>
      </c>
      <c r="G1155" s="2" t="s">
        <v>3842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3843</v>
      </c>
      <c r="N1155" s="4"/>
      <c r="O1155" s="5"/>
      <c r="P1155" s="4"/>
      <c r="Q1155" s="21" t="str">
        <f>VLOOKUP(tblProductos[[#This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3857</v>
      </c>
      <c r="D1156" s="2" t="s">
        <v>3919</v>
      </c>
      <c r="E1156" s="2" t="s">
        <v>3858</v>
      </c>
      <c r="F1156" s="2">
        <v>200</v>
      </c>
      <c r="G1156" s="2" t="s">
        <v>3842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3843</v>
      </c>
      <c r="N1156" s="4"/>
      <c r="O1156" s="5"/>
      <c r="P1156" s="4"/>
      <c r="Q1156" s="21" t="str">
        <f>VLOOKUP(tblProductos[[#This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3857</v>
      </c>
      <c r="D1157" s="2" t="s">
        <v>4029</v>
      </c>
      <c r="E1157" s="2" t="s">
        <v>3858</v>
      </c>
      <c r="F1157" s="2">
        <v>200</v>
      </c>
      <c r="G1157" s="2" t="s">
        <v>3842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3843</v>
      </c>
      <c r="N1157" s="4"/>
      <c r="O1157" s="5"/>
      <c r="P1157" s="4"/>
      <c r="Q1157" s="21" t="str">
        <f>VLOOKUP(tblProductos[[#This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3857</v>
      </c>
      <c r="D1158" s="2" t="s">
        <v>4034</v>
      </c>
      <c r="E1158" s="2" t="s">
        <v>3858</v>
      </c>
      <c r="F1158" s="2">
        <v>200</v>
      </c>
      <c r="G1158" s="2" t="s">
        <v>3842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3843</v>
      </c>
      <c r="N1158" s="4"/>
      <c r="O1158" s="5"/>
      <c r="P1158" s="4"/>
      <c r="Q1158" s="21" t="str">
        <f>VLOOKUP(tblProductos[[#This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3857</v>
      </c>
      <c r="D1159" s="2" t="s">
        <v>4035</v>
      </c>
      <c r="E1159" s="2" t="s">
        <v>3858</v>
      </c>
      <c r="F1159" s="2">
        <v>200</v>
      </c>
      <c r="G1159" s="2" t="s">
        <v>3842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3843</v>
      </c>
      <c r="N1159" s="4"/>
      <c r="O1159" s="5"/>
      <c r="P1159" s="4"/>
      <c r="Q1159" s="21" t="str">
        <f>VLOOKUP(tblProductos[[#This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3857</v>
      </c>
      <c r="D1160" s="2" t="s">
        <v>4010</v>
      </c>
      <c r="E1160" s="2" t="s">
        <v>3858</v>
      </c>
      <c r="F1160" s="2">
        <v>200</v>
      </c>
      <c r="G1160" s="2" t="s">
        <v>3842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3843</v>
      </c>
      <c r="N1160" s="4"/>
      <c r="O1160" s="5"/>
      <c r="P1160" s="4"/>
      <c r="Q1160" s="21" t="str">
        <f>VLOOKUP(tblProductos[[#This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3857</v>
      </c>
      <c r="D1161" s="2" t="s">
        <v>4125</v>
      </c>
      <c r="E1161" s="2" t="s">
        <v>3858</v>
      </c>
      <c r="F1161" s="2">
        <v>200</v>
      </c>
      <c r="G1161" s="2" t="s">
        <v>3842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3843</v>
      </c>
      <c r="N1161" s="4"/>
      <c r="O1161" s="5"/>
      <c r="P1161" s="4"/>
      <c r="Q1161" s="21" t="str">
        <f>VLOOKUP(tblProductos[[#This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3857</v>
      </c>
      <c r="D1162" s="2" t="s">
        <v>4056</v>
      </c>
      <c r="E1162" s="2" t="s">
        <v>3858</v>
      </c>
      <c r="F1162" s="2">
        <v>200</v>
      </c>
      <c r="G1162" s="2" t="s">
        <v>3842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3843</v>
      </c>
      <c r="N1162" s="4"/>
      <c r="O1162" s="5"/>
      <c r="P1162" s="4"/>
      <c r="Q1162" s="21" t="str">
        <f>VLOOKUP(tblProductos[[#This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3857</v>
      </c>
      <c r="D1163" s="2" t="s">
        <v>4006</v>
      </c>
      <c r="E1163" s="2" t="s">
        <v>3858</v>
      </c>
      <c r="F1163" s="2">
        <v>200</v>
      </c>
      <c r="G1163" s="2" t="s">
        <v>3842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3843</v>
      </c>
      <c r="N1163" s="4"/>
      <c r="O1163" s="5"/>
      <c r="P1163" s="4"/>
      <c r="Q1163" s="21" t="str">
        <f>VLOOKUP(tblProductos[[#This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3857</v>
      </c>
      <c r="D1164" s="2" t="s">
        <v>4143</v>
      </c>
      <c r="E1164" s="2" t="s">
        <v>3858</v>
      </c>
      <c r="F1164" s="2">
        <v>200</v>
      </c>
      <c r="G1164" s="2" t="s">
        <v>3842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3843</v>
      </c>
      <c r="N1164" s="4"/>
      <c r="O1164" s="5"/>
      <c r="P1164" s="4"/>
      <c r="Q1164" s="21" t="str">
        <f>VLOOKUP(tblProductos[[#This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3857</v>
      </c>
      <c r="D1165" s="2" t="s">
        <v>4031</v>
      </c>
      <c r="E1165" s="2" t="s">
        <v>3858</v>
      </c>
      <c r="F1165" s="2">
        <v>200</v>
      </c>
      <c r="G1165" s="2" t="s">
        <v>3842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3843</v>
      </c>
      <c r="N1165" s="4"/>
      <c r="O1165" s="5"/>
      <c r="P1165" s="4"/>
      <c r="Q1165" s="21" t="str">
        <f>VLOOKUP(tblProductos[[#This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3857</v>
      </c>
      <c r="D1166" s="2" t="s">
        <v>4030</v>
      </c>
      <c r="E1166" s="2" t="s">
        <v>3858</v>
      </c>
      <c r="F1166" s="2">
        <v>200</v>
      </c>
      <c r="G1166" s="2" t="s">
        <v>3842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3843</v>
      </c>
      <c r="N1166" s="4"/>
      <c r="O1166" s="5"/>
      <c r="P1166" s="4"/>
      <c r="Q1166" s="21" t="str">
        <f>VLOOKUP(tblProductos[[#This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3857</v>
      </c>
      <c r="D1167" s="2" t="s">
        <v>4013</v>
      </c>
      <c r="E1167" s="2" t="s">
        <v>3858</v>
      </c>
      <c r="F1167" s="2">
        <v>200</v>
      </c>
      <c r="G1167" s="2" t="s">
        <v>3842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3843</v>
      </c>
      <c r="N1167" s="4"/>
      <c r="O1167" s="5"/>
      <c r="P1167" s="4"/>
      <c r="Q1167" s="21" t="str">
        <f>VLOOKUP(tblProductos[[#This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3857</v>
      </c>
      <c r="D1168" s="2" t="s">
        <v>4032</v>
      </c>
      <c r="E1168" s="2" t="s">
        <v>3858</v>
      </c>
      <c r="F1168" s="2">
        <v>200</v>
      </c>
      <c r="G1168" s="2" t="s">
        <v>3842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3843</v>
      </c>
      <c r="N1168" s="4"/>
      <c r="O1168" s="5"/>
      <c r="P1168" s="4"/>
      <c r="Q1168" s="21" t="str">
        <f>VLOOKUP(tblProductos[[#This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3857</v>
      </c>
      <c r="D1169" s="2" t="s">
        <v>3888</v>
      </c>
      <c r="E1169" s="2" t="s">
        <v>3858</v>
      </c>
      <c r="F1169" s="2">
        <v>200</v>
      </c>
      <c r="G1169" s="2" t="s">
        <v>3842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3843</v>
      </c>
      <c r="N1169" s="4"/>
      <c r="O1169" s="5"/>
      <c r="P1169" s="4"/>
      <c r="Q1169" s="21" t="str">
        <f>VLOOKUP(tblProductos[[#This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3857</v>
      </c>
      <c r="D1170" s="2" t="s">
        <v>4033</v>
      </c>
      <c r="E1170" s="2" t="s">
        <v>3858</v>
      </c>
      <c r="F1170" s="2">
        <v>200</v>
      </c>
      <c r="G1170" s="2" t="s">
        <v>3842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3843</v>
      </c>
      <c r="N1170" s="4"/>
      <c r="O1170" s="5"/>
      <c r="P1170" s="4"/>
      <c r="Q1170" s="21" t="str">
        <f>VLOOKUP(tblProductos[[#This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3857</v>
      </c>
      <c r="D1171" s="2" t="s">
        <v>4144</v>
      </c>
      <c r="E1171" s="2" t="s">
        <v>3858</v>
      </c>
      <c r="F1171" s="2">
        <v>200</v>
      </c>
      <c r="G1171" s="2" t="s">
        <v>3842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3843</v>
      </c>
      <c r="N1171" s="4"/>
      <c r="O1171" s="5"/>
      <c r="P1171" s="4"/>
      <c r="Q1171" s="21" t="str">
        <f>VLOOKUP(tblProductos[[#This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3857</v>
      </c>
      <c r="D1172" s="2" t="s">
        <v>4014</v>
      </c>
      <c r="E1172" s="2" t="s">
        <v>3858</v>
      </c>
      <c r="F1172" s="2">
        <v>200</v>
      </c>
      <c r="G1172" s="2" t="s">
        <v>3842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3843</v>
      </c>
      <c r="N1172" s="4"/>
      <c r="O1172" s="5"/>
      <c r="P1172" s="4"/>
      <c r="Q1172" s="21" t="str">
        <f>VLOOKUP(tblProductos[[#This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3857</v>
      </c>
      <c r="D1173" s="2" t="s">
        <v>4016</v>
      </c>
      <c r="E1173" s="2" t="s">
        <v>3858</v>
      </c>
      <c r="F1173" s="2">
        <v>200</v>
      </c>
      <c r="G1173" s="2" t="s">
        <v>3842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3843</v>
      </c>
      <c r="N1173" s="4"/>
      <c r="O1173" s="5"/>
      <c r="P1173" s="4"/>
      <c r="Q1173" s="21" t="str">
        <f>VLOOKUP(tblProductos[[#This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3857</v>
      </c>
      <c r="D1174" s="2" t="s">
        <v>4145</v>
      </c>
      <c r="E1174" s="2" t="s">
        <v>3858</v>
      </c>
      <c r="F1174" s="2">
        <v>200</v>
      </c>
      <c r="G1174" s="2" t="s">
        <v>3842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3843</v>
      </c>
      <c r="N1174" s="4"/>
      <c r="O1174" s="5"/>
      <c r="P1174" s="4"/>
      <c r="Q1174" s="21" t="str">
        <f>VLOOKUP(tblProductos[[#This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3857</v>
      </c>
      <c r="D1175" s="2" t="s">
        <v>4015</v>
      </c>
      <c r="E1175" s="2" t="s">
        <v>3858</v>
      </c>
      <c r="F1175" s="2">
        <v>200</v>
      </c>
      <c r="G1175" s="2" t="s">
        <v>3842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3843</v>
      </c>
      <c r="N1175" s="4"/>
      <c r="O1175" s="5"/>
      <c r="P1175" s="4"/>
      <c r="Q1175" s="21" t="str">
        <f>VLOOKUP(tblProductos[[#This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3857</v>
      </c>
      <c r="D1176" s="2" t="s">
        <v>4054</v>
      </c>
      <c r="E1176" s="2" t="s">
        <v>3858</v>
      </c>
      <c r="F1176" s="2">
        <v>200</v>
      </c>
      <c r="G1176" s="2" t="s">
        <v>3842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3843</v>
      </c>
      <c r="N1176" s="4"/>
      <c r="O1176" s="5"/>
      <c r="P1176" s="4"/>
      <c r="Q1176" s="21" t="str">
        <f>VLOOKUP(tblProductos[[#This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3857</v>
      </c>
      <c r="D1177" s="2" t="s">
        <v>4118</v>
      </c>
      <c r="E1177" s="2" t="s">
        <v>3858</v>
      </c>
      <c r="F1177" s="2">
        <v>200</v>
      </c>
      <c r="G1177" s="2" t="s">
        <v>3842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3843</v>
      </c>
      <c r="N1177" s="4"/>
      <c r="O1177" s="5"/>
      <c r="P1177" s="4"/>
      <c r="Q1177" s="21" t="str">
        <f>VLOOKUP(tblProductos[[#This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3857</v>
      </c>
      <c r="D1178" s="2" t="s">
        <v>3919</v>
      </c>
      <c r="E1178" s="2" t="s">
        <v>3858</v>
      </c>
      <c r="F1178" s="2">
        <v>200</v>
      </c>
      <c r="G1178" s="2" t="s">
        <v>3842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3843</v>
      </c>
      <c r="N1178" s="4"/>
      <c r="O1178" s="5"/>
      <c r="P1178" s="4"/>
      <c r="Q1178" s="21" t="str">
        <f>VLOOKUP(tblProductos[[#This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3857</v>
      </c>
      <c r="D1179" s="2" t="s">
        <v>4029</v>
      </c>
      <c r="E1179" s="2" t="s">
        <v>3858</v>
      </c>
      <c r="F1179" s="2">
        <v>200</v>
      </c>
      <c r="G1179" s="2" t="s">
        <v>3842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3843</v>
      </c>
      <c r="N1179" s="4"/>
      <c r="O1179" s="5"/>
      <c r="P1179" s="4"/>
      <c r="Q1179" s="21" t="str">
        <f>VLOOKUP(tblProductos[[#This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3857</v>
      </c>
      <c r="D1180" s="2" t="s">
        <v>4034</v>
      </c>
      <c r="E1180" s="2" t="s">
        <v>3858</v>
      </c>
      <c r="F1180" s="2">
        <v>200</v>
      </c>
      <c r="G1180" s="2" t="s">
        <v>3842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3843</v>
      </c>
      <c r="N1180" s="4"/>
      <c r="O1180" s="5"/>
      <c r="P1180" s="4"/>
      <c r="Q1180" s="21" t="str">
        <f>VLOOKUP(tblProductos[[#This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3857</v>
      </c>
      <c r="D1181" s="2" t="s">
        <v>4035</v>
      </c>
      <c r="E1181" s="2" t="s">
        <v>3858</v>
      </c>
      <c r="F1181" s="2">
        <v>200</v>
      </c>
      <c r="G1181" s="2" t="s">
        <v>3842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3843</v>
      </c>
      <c r="N1181" s="4"/>
      <c r="O1181" s="5"/>
      <c r="P1181" s="4"/>
      <c r="Q1181" s="21" t="str">
        <f>VLOOKUP(tblProductos[[#This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3859</v>
      </c>
      <c r="D1182" s="2" t="s">
        <v>4010</v>
      </c>
      <c r="E1182" s="2" t="s">
        <v>3860</v>
      </c>
      <c r="F1182" s="2">
        <v>200</v>
      </c>
      <c r="G1182" s="2" t="s">
        <v>3842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3843</v>
      </c>
      <c r="N1182" s="4"/>
      <c r="O1182" s="5"/>
      <c r="P1182" s="4"/>
      <c r="Q1182" s="21" t="str">
        <f>VLOOKUP(tblProductos[[#This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3859</v>
      </c>
      <c r="D1183" s="2" t="s">
        <v>4125</v>
      </c>
      <c r="E1183" s="2" t="s">
        <v>3860</v>
      </c>
      <c r="F1183" s="2">
        <v>200</v>
      </c>
      <c r="G1183" s="2" t="s">
        <v>3842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3843</v>
      </c>
      <c r="N1183" s="4"/>
      <c r="O1183" s="5"/>
      <c r="P1183" s="4"/>
      <c r="Q1183" s="21" t="str">
        <f>VLOOKUP(tblProductos[[#This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3859</v>
      </c>
      <c r="D1184" s="2" t="s">
        <v>4056</v>
      </c>
      <c r="E1184" s="2" t="s">
        <v>3860</v>
      </c>
      <c r="F1184" s="2">
        <v>200</v>
      </c>
      <c r="G1184" s="2" t="s">
        <v>3842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3843</v>
      </c>
      <c r="N1184" s="4"/>
      <c r="O1184" s="5"/>
      <c r="P1184" s="4"/>
      <c r="Q1184" s="21" t="str">
        <f>VLOOKUP(tblProductos[[#This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3859</v>
      </c>
      <c r="D1185" s="2" t="s">
        <v>4006</v>
      </c>
      <c r="E1185" s="2" t="s">
        <v>3860</v>
      </c>
      <c r="F1185" s="2">
        <v>200</v>
      </c>
      <c r="G1185" s="2" t="s">
        <v>3842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3843</v>
      </c>
      <c r="N1185" s="4"/>
      <c r="O1185" s="5"/>
      <c r="P1185" s="4"/>
      <c r="Q1185" s="21" t="str">
        <f>VLOOKUP(tblProductos[[#This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3859</v>
      </c>
      <c r="D1186" s="2" t="s">
        <v>4143</v>
      </c>
      <c r="E1186" s="2" t="s">
        <v>3860</v>
      </c>
      <c r="F1186" s="2">
        <v>200</v>
      </c>
      <c r="G1186" s="2" t="s">
        <v>3842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3843</v>
      </c>
      <c r="N1186" s="4"/>
      <c r="O1186" s="5"/>
      <c r="P1186" s="4"/>
      <c r="Q1186" s="21" t="str">
        <f>VLOOKUP(tblProductos[[#This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3859</v>
      </c>
      <c r="D1187" s="2" t="s">
        <v>4031</v>
      </c>
      <c r="E1187" s="2" t="s">
        <v>3860</v>
      </c>
      <c r="F1187" s="2">
        <v>200</v>
      </c>
      <c r="G1187" s="2" t="s">
        <v>3842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3843</v>
      </c>
      <c r="N1187" s="4"/>
      <c r="O1187" s="5"/>
      <c r="P1187" s="4"/>
      <c r="Q1187" s="21" t="str">
        <f>VLOOKUP(tblProductos[[#This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3859</v>
      </c>
      <c r="D1188" s="2" t="s">
        <v>4030</v>
      </c>
      <c r="E1188" s="2" t="s">
        <v>3860</v>
      </c>
      <c r="F1188" s="2">
        <v>200</v>
      </c>
      <c r="G1188" s="2" t="s">
        <v>3842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3843</v>
      </c>
      <c r="N1188" s="4"/>
      <c r="O1188" s="5"/>
      <c r="P1188" s="4"/>
      <c r="Q1188" s="21" t="str">
        <f>VLOOKUP(tblProductos[[#This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3859</v>
      </c>
      <c r="D1189" s="2" t="s">
        <v>4013</v>
      </c>
      <c r="E1189" s="2" t="s">
        <v>3860</v>
      </c>
      <c r="F1189" s="2">
        <v>200</v>
      </c>
      <c r="G1189" s="2" t="s">
        <v>3842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3843</v>
      </c>
      <c r="N1189" s="4"/>
      <c r="O1189" s="5"/>
      <c r="P1189" s="4"/>
      <c r="Q1189" s="21" t="str">
        <f>VLOOKUP(tblProductos[[#This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3859</v>
      </c>
      <c r="D1190" s="2" t="s">
        <v>4032</v>
      </c>
      <c r="E1190" s="2" t="s">
        <v>3860</v>
      </c>
      <c r="F1190" s="2">
        <v>200</v>
      </c>
      <c r="G1190" s="2" t="s">
        <v>3842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3843</v>
      </c>
      <c r="N1190" s="4"/>
      <c r="O1190" s="5"/>
      <c r="P1190" s="4"/>
      <c r="Q1190" s="21" t="str">
        <f>VLOOKUP(tblProductos[[#This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3859</v>
      </c>
      <c r="D1191" s="2" t="s">
        <v>3888</v>
      </c>
      <c r="E1191" s="2" t="s">
        <v>3860</v>
      </c>
      <c r="F1191" s="2">
        <v>200</v>
      </c>
      <c r="G1191" s="2" t="s">
        <v>3842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3843</v>
      </c>
      <c r="N1191" s="4"/>
      <c r="O1191" s="5"/>
      <c r="P1191" s="4"/>
      <c r="Q1191" s="21" t="str">
        <f>VLOOKUP(tblProductos[[#This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3859</v>
      </c>
      <c r="D1192" s="2" t="s">
        <v>4033</v>
      </c>
      <c r="E1192" s="2" t="s">
        <v>3860</v>
      </c>
      <c r="F1192" s="2">
        <v>200</v>
      </c>
      <c r="G1192" s="2" t="s">
        <v>3842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3843</v>
      </c>
      <c r="N1192" s="4"/>
      <c r="O1192" s="5"/>
      <c r="P1192" s="4"/>
      <c r="Q1192" s="21" t="str">
        <f>VLOOKUP(tblProductos[[#This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3859</v>
      </c>
      <c r="D1193" s="2" t="s">
        <v>4144</v>
      </c>
      <c r="E1193" s="2" t="s">
        <v>3860</v>
      </c>
      <c r="F1193" s="2">
        <v>200</v>
      </c>
      <c r="G1193" s="2" t="s">
        <v>3842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3843</v>
      </c>
      <c r="N1193" s="4"/>
      <c r="O1193" s="5"/>
      <c r="P1193" s="4"/>
      <c r="Q1193" s="21" t="str">
        <f>VLOOKUP(tblProductos[[#This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3859</v>
      </c>
      <c r="D1194" s="2" t="s">
        <v>4014</v>
      </c>
      <c r="E1194" s="2" t="s">
        <v>3860</v>
      </c>
      <c r="F1194" s="2">
        <v>200</v>
      </c>
      <c r="G1194" s="2" t="s">
        <v>3842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3843</v>
      </c>
      <c r="N1194" s="4"/>
      <c r="O1194" s="5"/>
      <c r="P1194" s="4"/>
      <c r="Q1194" s="21" t="str">
        <f>VLOOKUP(tblProductos[[#This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3859</v>
      </c>
      <c r="D1195" s="2" t="s">
        <v>4016</v>
      </c>
      <c r="E1195" s="2" t="s">
        <v>3860</v>
      </c>
      <c r="F1195" s="2">
        <v>200</v>
      </c>
      <c r="G1195" s="2" t="s">
        <v>3842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3843</v>
      </c>
      <c r="N1195" s="4"/>
      <c r="O1195" s="5"/>
      <c r="P1195" s="4"/>
      <c r="Q1195" s="21" t="str">
        <f>VLOOKUP(tblProductos[[#This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3859</v>
      </c>
      <c r="D1196" s="2" t="s">
        <v>4145</v>
      </c>
      <c r="E1196" s="2" t="s">
        <v>3860</v>
      </c>
      <c r="F1196" s="2">
        <v>200</v>
      </c>
      <c r="G1196" s="2" t="s">
        <v>3842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3843</v>
      </c>
      <c r="N1196" s="4"/>
      <c r="O1196" s="5"/>
      <c r="P1196" s="4"/>
      <c r="Q1196" s="21" t="str">
        <f>VLOOKUP(tblProductos[[#This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3859</v>
      </c>
      <c r="D1197" s="2" t="s">
        <v>4015</v>
      </c>
      <c r="E1197" s="2" t="s">
        <v>3860</v>
      </c>
      <c r="F1197" s="2">
        <v>200</v>
      </c>
      <c r="G1197" s="2" t="s">
        <v>3842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3843</v>
      </c>
      <c r="N1197" s="4"/>
      <c r="O1197" s="5"/>
      <c r="P1197" s="4"/>
      <c r="Q1197" s="21" t="str">
        <f>VLOOKUP(tblProductos[[#This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3859</v>
      </c>
      <c r="D1198" s="2" t="s">
        <v>4054</v>
      </c>
      <c r="E1198" s="2" t="s">
        <v>3860</v>
      </c>
      <c r="F1198" s="2">
        <v>200</v>
      </c>
      <c r="G1198" s="2" t="s">
        <v>3842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3843</v>
      </c>
      <c r="N1198" s="4"/>
      <c r="O1198" s="5"/>
      <c r="P1198" s="4"/>
      <c r="Q1198" s="21" t="str">
        <f>VLOOKUP(tblProductos[[#This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3859</v>
      </c>
      <c r="D1199" s="2" t="s">
        <v>4118</v>
      </c>
      <c r="E1199" s="2" t="s">
        <v>3860</v>
      </c>
      <c r="F1199" s="2">
        <v>200</v>
      </c>
      <c r="G1199" s="2" t="s">
        <v>3842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3843</v>
      </c>
      <c r="N1199" s="4"/>
      <c r="O1199" s="5"/>
      <c r="P1199" s="4"/>
      <c r="Q1199" s="21" t="str">
        <f>VLOOKUP(tblProductos[[#This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3859</v>
      </c>
      <c r="D1200" s="2" t="s">
        <v>3919</v>
      </c>
      <c r="E1200" s="2" t="s">
        <v>3860</v>
      </c>
      <c r="F1200" s="2">
        <v>200</v>
      </c>
      <c r="G1200" s="2" t="s">
        <v>3842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3843</v>
      </c>
      <c r="N1200" s="4"/>
      <c r="O1200" s="5"/>
      <c r="P1200" s="4"/>
      <c r="Q1200" s="21" t="str">
        <f>VLOOKUP(tblProductos[[#This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3859</v>
      </c>
      <c r="D1201" s="2" t="s">
        <v>4029</v>
      </c>
      <c r="E1201" s="2" t="s">
        <v>3860</v>
      </c>
      <c r="F1201" s="2">
        <v>200</v>
      </c>
      <c r="G1201" s="2" t="s">
        <v>3842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3843</v>
      </c>
      <c r="N1201" s="4"/>
      <c r="O1201" s="5"/>
      <c r="P1201" s="4"/>
      <c r="Q1201" s="21" t="str">
        <f>VLOOKUP(tblProductos[[#This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3859</v>
      </c>
      <c r="D1202" s="2" t="s">
        <v>4034</v>
      </c>
      <c r="E1202" s="2" t="s">
        <v>3860</v>
      </c>
      <c r="F1202" s="2">
        <v>200</v>
      </c>
      <c r="G1202" s="2" t="s">
        <v>3842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3843</v>
      </c>
      <c r="N1202" s="4"/>
      <c r="O1202" s="5"/>
      <c r="P1202" s="4"/>
      <c r="Q1202" s="21" t="str">
        <f>VLOOKUP(tblProductos[[#This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3859</v>
      </c>
      <c r="D1203" s="2" t="s">
        <v>4035</v>
      </c>
      <c r="E1203" s="2" t="s">
        <v>3860</v>
      </c>
      <c r="F1203" s="2">
        <v>200</v>
      </c>
      <c r="G1203" s="2" t="s">
        <v>3842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3843</v>
      </c>
      <c r="N1203" s="4"/>
      <c r="O1203" s="5"/>
      <c r="P1203" s="4"/>
      <c r="Q1203" s="21" t="str">
        <f>VLOOKUP(tblProductos[[#This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3859</v>
      </c>
      <c r="D1204" s="2" t="s">
        <v>4010</v>
      </c>
      <c r="E1204" s="2" t="s">
        <v>3860</v>
      </c>
      <c r="F1204" s="2">
        <v>200</v>
      </c>
      <c r="G1204" s="2" t="s">
        <v>3842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3843</v>
      </c>
      <c r="N1204" s="4"/>
      <c r="O1204" s="5"/>
      <c r="P1204" s="4"/>
      <c r="Q1204" s="21" t="str">
        <f>VLOOKUP(tblProductos[[#This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3859</v>
      </c>
      <c r="D1205" s="2" t="s">
        <v>4125</v>
      </c>
      <c r="E1205" s="2" t="s">
        <v>3860</v>
      </c>
      <c r="F1205" s="2">
        <v>200</v>
      </c>
      <c r="G1205" s="2" t="s">
        <v>3842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3843</v>
      </c>
      <c r="N1205" s="4"/>
      <c r="O1205" s="5"/>
      <c r="P1205" s="4"/>
      <c r="Q1205" s="21" t="str">
        <f>VLOOKUP(tblProductos[[#This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3859</v>
      </c>
      <c r="D1206" s="2" t="s">
        <v>4056</v>
      </c>
      <c r="E1206" s="2" t="s">
        <v>3860</v>
      </c>
      <c r="F1206" s="2">
        <v>200</v>
      </c>
      <c r="G1206" s="2" t="s">
        <v>3842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3843</v>
      </c>
      <c r="N1206" s="4"/>
      <c r="O1206" s="5"/>
      <c r="P1206" s="4"/>
      <c r="Q1206" s="21" t="str">
        <f>VLOOKUP(tblProductos[[#This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3859</v>
      </c>
      <c r="D1207" s="2" t="s">
        <v>4006</v>
      </c>
      <c r="E1207" s="2" t="s">
        <v>3860</v>
      </c>
      <c r="F1207" s="2">
        <v>200</v>
      </c>
      <c r="G1207" s="2" t="s">
        <v>3842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3843</v>
      </c>
      <c r="N1207" s="4"/>
      <c r="O1207" s="5"/>
      <c r="P1207" s="4"/>
      <c r="Q1207" s="21" t="str">
        <f>VLOOKUP(tblProductos[[#This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3859</v>
      </c>
      <c r="D1208" s="2" t="s">
        <v>4143</v>
      </c>
      <c r="E1208" s="2" t="s">
        <v>3860</v>
      </c>
      <c r="F1208" s="2">
        <v>200</v>
      </c>
      <c r="G1208" s="2" t="s">
        <v>3842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3843</v>
      </c>
      <c r="N1208" s="4"/>
      <c r="O1208" s="5"/>
      <c r="P1208" s="4"/>
      <c r="Q1208" s="21" t="str">
        <f>VLOOKUP(tblProductos[[#This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3859</v>
      </c>
      <c r="D1209" s="2" t="s">
        <v>4031</v>
      </c>
      <c r="E1209" s="2" t="s">
        <v>3860</v>
      </c>
      <c r="F1209" s="2">
        <v>200</v>
      </c>
      <c r="G1209" s="2" t="s">
        <v>3842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3843</v>
      </c>
      <c r="N1209" s="4"/>
      <c r="O1209" s="5"/>
      <c r="P1209" s="4"/>
      <c r="Q1209" s="21" t="str">
        <f>VLOOKUP(tblProductos[[#This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3859</v>
      </c>
      <c r="D1210" s="2" t="s">
        <v>4030</v>
      </c>
      <c r="E1210" s="2" t="s">
        <v>3860</v>
      </c>
      <c r="F1210" s="2">
        <v>200</v>
      </c>
      <c r="G1210" s="2" t="s">
        <v>3842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3843</v>
      </c>
      <c r="N1210" s="4"/>
      <c r="O1210" s="5"/>
      <c r="P1210" s="4"/>
      <c r="Q1210" s="21" t="str">
        <f>VLOOKUP(tblProductos[[#This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3859</v>
      </c>
      <c r="D1211" s="2" t="s">
        <v>4013</v>
      </c>
      <c r="E1211" s="2" t="s">
        <v>3860</v>
      </c>
      <c r="F1211" s="2">
        <v>200</v>
      </c>
      <c r="G1211" s="2" t="s">
        <v>3842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3843</v>
      </c>
      <c r="N1211" s="4"/>
      <c r="O1211" s="5"/>
      <c r="P1211" s="4"/>
      <c r="Q1211" s="21" t="str">
        <f>VLOOKUP(tblProductos[[#This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3859</v>
      </c>
      <c r="D1212" s="2" t="s">
        <v>4032</v>
      </c>
      <c r="E1212" s="2" t="s">
        <v>3860</v>
      </c>
      <c r="F1212" s="2">
        <v>200</v>
      </c>
      <c r="G1212" s="2" t="s">
        <v>3842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3843</v>
      </c>
      <c r="N1212" s="4"/>
      <c r="O1212" s="5"/>
      <c r="P1212" s="4"/>
      <c r="Q1212" s="21" t="str">
        <f>VLOOKUP(tblProductos[[#This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3859</v>
      </c>
      <c r="D1213" s="2" t="s">
        <v>3888</v>
      </c>
      <c r="E1213" s="2" t="s">
        <v>3860</v>
      </c>
      <c r="F1213" s="2">
        <v>200</v>
      </c>
      <c r="G1213" s="2" t="s">
        <v>3842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3843</v>
      </c>
      <c r="N1213" s="4"/>
      <c r="O1213" s="5"/>
      <c r="P1213" s="4"/>
      <c r="Q1213" s="21" t="str">
        <f>VLOOKUP(tblProductos[[#This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3859</v>
      </c>
      <c r="D1214" s="2" t="s">
        <v>4033</v>
      </c>
      <c r="E1214" s="2" t="s">
        <v>3860</v>
      </c>
      <c r="F1214" s="2">
        <v>200</v>
      </c>
      <c r="G1214" s="2" t="s">
        <v>3842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3843</v>
      </c>
      <c r="N1214" s="4"/>
      <c r="O1214" s="5"/>
      <c r="P1214" s="4"/>
      <c r="Q1214" s="21" t="str">
        <f>VLOOKUP(tblProductos[[#This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3859</v>
      </c>
      <c r="D1215" s="2" t="s">
        <v>4144</v>
      </c>
      <c r="E1215" s="2" t="s">
        <v>3860</v>
      </c>
      <c r="F1215" s="2">
        <v>200</v>
      </c>
      <c r="G1215" s="2" t="s">
        <v>3842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3843</v>
      </c>
      <c r="N1215" s="4"/>
      <c r="O1215" s="5"/>
      <c r="P1215" s="4"/>
      <c r="Q1215" s="21" t="str">
        <f>VLOOKUP(tblProductos[[#This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3859</v>
      </c>
      <c r="D1216" s="2" t="s">
        <v>4014</v>
      </c>
      <c r="E1216" s="2" t="s">
        <v>3860</v>
      </c>
      <c r="F1216" s="2">
        <v>200</v>
      </c>
      <c r="G1216" s="2" t="s">
        <v>3842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3843</v>
      </c>
      <c r="N1216" s="4"/>
      <c r="O1216" s="5"/>
      <c r="P1216" s="4"/>
      <c r="Q1216" s="21" t="str">
        <f>VLOOKUP(tblProductos[[#This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3859</v>
      </c>
      <c r="D1217" s="2" t="s">
        <v>4016</v>
      </c>
      <c r="E1217" s="2" t="s">
        <v>3860</v>
      </c>
      <c r="F1217" s="2">
        <v>200</v>
      </c>
      <c r="G1217" s="2" t="s">
        <v>3842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3843</v>
      </c>
      <c r="N1217" s="4"/>
      <c r="O1217" s="5"/>
      <c r="P1217" s="4"/>
      <c r="Q1217" s="21" t="str">
        <f>VLOOKUP(tblProductos[[#This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3859</v>
      </c>
      <c r="D1218" s="2" t="s">
        <v>4145</v>
      </c>
      <c r="E1218" s="2" t="s">
        <v>3860</v>
      </c>
      <c r="F1218" s="2">
        <v>200</v>
      </c>
      <c r="G1218" s="2" t="s">
        <v>3842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3843</v>
      </c>
      <c r="N1218" s="4"/>
      <c r="O1218" s="5"/>
      <c r="P1218" s="4"/>
      <c r="Q1218" s="21" t="str">
        <f>VLOOKUP(tblProductos[[#This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3859</v>
      </c>
      <c r="D1219" s="2" t="s">
        <v>4015</v>
      </c>
      <c r="E1219" s="2" t="s">
        <v>3860</v>
      </c>
      <c r="F1219" s="2">
        <v>200</v>
      </c>
      <c r="G1219" s="2" t="s">
        <v>3842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3843</v>
      </c>
      <c r="N1219" s="4"/>
      <c r="O1219" s="5"/>
      <c r="P1219" s="4"/>
      <c r="Q1219" s="21" t="str">
        <f>VLOOKUP(tblProductos[[#This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3859</v>
      </c>
      <c r="D1220" s="2" t="s">
        <v>4054</v>
      </c>
      <c r="E1220" s="2" t="s">
        <v>3860</v>
      </c>
      <c r="F1220" s="2">
        <v>200</v>
      </c>
      <c r="G1220" s="2" t="s">
        <v>3842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3843</v>
      </c>
      <c r="N1220" s="4"/>
      <c r="O1220" s="5"/>
      <c r="P1220" s="4"/>
      <c r="Q1220" s="21" t="str">
        <f>VLOOKUP(tblProductos[[#This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3859</v>
      </c>
      <c r="D1221" s="2" t="s">
        <v>4118</v>
      </c>
      <c r="E1221" s="2" t="s">
        <v>3860</v>
      </c>
      <c r="F1221" s="2">
        <v>200</v>
      </c>
      <c r="G1221" s="2" t="s">
        <v>3842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3843</v>
      </c>
      <c r="N1221" s="4"/>
      <c r="O1221" s="5"/>
      <c r="P1221" s="4"/>
      <c r="Q1221" s="21" t="str">
        <f>VLOOKUP(tblProductos[[#This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3859</v>
      </c>
      <c r="D1222" s="2" t="s">
        <v>3919</v>
      </c>
      <c r="E1222" s="2" t="s">
        <v>3860</v>
      </c>
      <c r="F1222" s="2">
        <v>200</v>
      </c>
      <c r="G1222" s="2" t="s">
        <v>3842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3843</v>
      </c>
      <c r="N1222" s="4"/>
      <c r="O1222" s="5"/>
      <c r="P1222" s="4"/>
      <c r="Q1222" s="21" t="str">
        <f>VLOOKUP(tblProductos[[#This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3859</v>
      </c>
      <c r="D1223" s="2" t="s">
        <v>4029</v>
      </c>
      <c r="E1223" s="2" t="s">
        <v>3860</v>
      </c>
      <c r="F1223" s="2">
        <v>200</v>
      </c>
      <c r="G1223" s="2" t="s">
        <v>3842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3843</v>
      </c>
      <c r="N1223" s="4"/>
      <c r="O1223" s="5"/>
      <c r="P1223" s="4"/>
      <c r="Q1223" s="21" t="str">
        <f>VLOOKUP(tblProductos[[#This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3859</v>
      </c>
      <c r="D1224" s="2" t="s">
        <v>4024</v>
      </c>
      <c r="E1224" s="2" t="s">
        <v>3860</v>
      </c>
      <c r="F1224" s="2">
        <v>200</v>
      </c>
      <c r="G1224" s="2" t="s">
        <v>3842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3843</v>
      </c>
      <c r="N1224" s="4"/>
      <c r="O1224" s="5"/>
      <c r="P1224" s="4"/>
      <c r="Q1224" s="21" t="str">
        <f>VLOOKUP(tblProductos[[#This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3859</v>
      </c>
      <c r="D1225" s="2" t="s">
        <v>4034</v>
      </c>
      <c r="E1225" s="2" t="s">
        <v>3860</v>
      </c>
      <c r="F1225" s="2">
        <v>200</v>
      </c>
      <c r="G1225" s="2" t="s">
        <v>3842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3843</v>
      </c>
      <c r="N1225" s="4"/>
      <c r="O1225" s="5"/>
      <c r="P1225" s="4"/>
      <c r="Q1225" s="21" t="str">
        <f>VLOOKUP(tblProductos[[#This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3859</v>
      </c>
      <c r="D1226" s="2" t="s">
        <v>4035</v>
      </c>
      <c r="E1226" s="2" t="s">
        <v>3860</v>
      </c>
      <c r="F1226" s="2">
        <v>200</v>
      </c>
      <c r="G1226" s="2" t="s">
        <v>3842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3843</v>
      </c>
      <c r="N1226" s="4"/>
      <c r="O1226" s="5"/>
      <c r="P1226" s="4"/>
      <c r="Q1226" s="21" t="str">
        <f>VLOOKUP(tblProductos[[#This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3861</v>
      </c>
      <c r="D1227" s="2" t="s">
        <v>4010</v>
      </c>
      <c r="E1227" s="2" t="s">
        <v>3862</v>
      </c>
      <c r="F1227" s="2">
        <v>200</v>
      </c>
      <c r="G1227" s="2" t="s">
        <v>3842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3843</v>
      </c>
      <c r="N1227" s="4"/>
      <c r="O1227" s="5"/>
      <c r="P1227" s="4"/>
      <c r="Q1227" s="21" t="str">
        <f>VLOOKUP(tblProductos[[#This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3861</v>
      </c>
      <c r="D1228" s="2" t="s">
        <v>4125</v>
      </c>
      <c r="E1228" s="2" t="s">
        <v>3862</v>
      </c>
      <c r="F1228" s="2">
        <v>200</v>
      </c>
      <c r="G1228" s="2" t="s">
        <v>3842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3843</v>
      </c>
      <c r="N1228" s="4"/>
      <c r="O1228" s="5"/>
      <c r="P1228" s="4"/>
      <c r="Q1228" s="21" t="str">
        <f>VLOOKUP(tblProductos[[#This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3861</v>
      </c>
      <c r="D1229" s="2" t="s">
        <v>4056</v>
      </c>
      <c r="E1229" s="2" t="s">
        <v>3862</v>
      </c>
      <c r="F1229" s="2">
        <v>200</v>
      </c>
      <c r="G1229" s="2" t="s">
        <v>3842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3843</v>
      </c>
      <c r="N1229" s="4"/>
      <c r="O1229" s="5"/>
      <c r="P1229" s="4"/>
      <c r="Q1229" s="21" t="str">
        <f>VLOOKUP(tblProductos[[#This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3861</v>
      </c>
      <c r="D1230" s="2" t="s">
        <v>4006</v>
      </c>
      <c r="E1230" s="2" t="s">
        <v>3862</v>
      </c>
      <c r="F1230" s="2">
        <v>200</v>
      </c>
      <c r="G1230" s="2" t="s">
        <v>3842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3843</v>
      </c>
      <c r="N1230" s="4"/>
      <c r="O1230" s="5"/>
      <c r="P1230" s="4"/>
      <c r="Q1230" s="21" t="str">
        <f>VLOOKUP(tblProductos[[#This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3861</v>
      </c>
      <c r="D1231" s="2" t="s">
        <v>4143</v>
      </c>
      <c r="E1231" s="2" t="s">
        <v>3862</v>
      </c>
      <c r="F1231" s="2">
        <v>200</v>
      </c>
      <c r="G1231" s="2" t="s">
        <v>3842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3843</v>
      </c>
      <c r="N1231" s="4"/>
      <c r="O1231" s="5"/>
      <c r="P1231" s="4"/>
      <c r="Q1231" s="21" t="str">
        <f>VLOOKUP(tblProductos[[#This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3861</v>
      </c>
      <c r="D1232" s="2" t="s">
        <v>4031</v>
      </c>
      <c r="E1232" s="2" t="s">
        <v>3862</v>
      </c>
      <c r="F1232" s="2">
        <v>200</v>
      </c>
      <c r="G1232" s="2" t="s">
        <v>3842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3843</v>
      </c>
      <c r="N1232" s="4"/>
      <c r="O1232" s="5"/>
      <c r="P1232" s="4"/>
      <c r="Q1232" s="21" t="str">
        <f>VLOOKUP(tblProductos[[#This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3861</v>
      </c>
      <c r="D1233" s="2" t="s">
        <v>4030</v>
      </c>
      <c r="E1233" s="2" t="s">
        <v>3862</v>
      </c>
      <c r="F1233" s="2">
        <v>200</v>
      </c>
      <c r="G1233" s="2" t="s">
        <v>3842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3843</v>
      </c>
      <c r="N1233" s="4"/>
      <c r="O1233" s="5"/>
      <c r="P1233" s="4"/>
      <c r="Q1233" s="21" t="str">
        <f>VLOOKUP(tblProductos[[#This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3861</v>
      </c>
      <c r="D1234" s="2" t="s">
        <v>4013</v>
      </c>
      <c r="E1234" s="2" t="s">
        <v>3862</v>
      </c>
      <c r="F1234" s="2">
        <v>200</v>
      </c>
      <c r="G1234" s="2" t="s">
        <v>3842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3843</v>
      </c>
      <c r="N1234" s="4"/>
      <c r="O1234" s="5"/>
      <c r="P1234" s="4"/>
      <c r="Q1234" s="21" t="str">
        <f>VLOOKUP(tblProductos[[#This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3861</v>
      </c>
      <c r="D1235" s="2" t="s">
        <v>4032</v>
      </c>
      <c r="E1235" s="2" t="s">
        <v>3862</v>
      </c>
      <c r="F1235" s="2">
        <v>200</v>
      </c>
      <c r="G1235" s="2" t="s">
        <v>3842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3843</v>
      </c>
      <c r="N1235" s="4"/>
      <c r="O1235" s="5"/>
      <c r="P1235" s="4"/>
      <c r="Q1235" s="21" t="str">
        <f>VLOOKUP(tblProductos[[#This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3861</v>
      </c>
      <c r="D1236" s="2" t="s">
        <v>3888</v>
      </c>
      <c r="E1236" s="2" t="s">
        <v>3862</v>
      </c>
      <c r="F1236" s="2">
        <v>200</v>
      </c>
      <c r="G1236" s="2" t="s">
        <v>3842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3843</v>
      </c>
      <c r="N1236" s="4"/>
      <c r="O1236" s="5"/>
      <c r="P1236" s="4"/>
      <c r="Q1236" s="21" t="str">
        <f>VLOOKUP(tblProductos[[#This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3861</v>
      </c>
      <c r="D1237" s="2" t="s">
        <v>4033</v>
      </c>
      <c r="E1237" s="2" t="s">
        <v>3862</v>
      </c>
      <c r="F1237" s="2">
        <v>200</v>
      </c>
      <c r="G1237" s="2" t="s">
        <v>3842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3843</v>
      </c>
      <c r="N1237" s="4"/>
      <c r="O1237" s="5"/>
      <c r="P1237" s="4"/>
      <c r="Q1237" s="21" t="str">
        <f>VLOOKUP(tblProductos[[#This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3861</v>
      </c>
      <c r="D1238" s="2" t="s">
        <v>4144</v>
      </c>
      <c r="E1238" s="2" t="s">
        <v>3862</v>
      </c>
      <c r="F1238" s="2">
        <v>200</v>
      </c>
      <c r="G1238" s="2" t="s">
        <v>3842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3843</v>
      </c>
      <c r="N1238" s="4"/>
      <c r="O1238" s="5"/>
      <c r="P1238" s="4"/>
      <c r="Q1238" s="21" t="str">
        <f>VLOOKUP(tblProductos[[#This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3861</v>
      </c>
      <c r="D1239" s="2" t="s">
        <v>4014</v>
      </c>
      <c r="E1239" s="2" t="s">
        <v>3862</v>
      </c>
      <c r="F1239" s="2">
        <v>200</v>
      </c>
      <c r="G1239" s="2" t="s">
        <v>3842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3843</v>
      </c>
      <c r="N1239" s="4"/>
      <c r="O1239" s="5"/>
      <c r="P1239" s="4"/>
      <c r="Q1239" s="21" t="str">
        <f>VLOOKUP(tblProductos[[#This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3861</v>
      </c>
      <c r="D1240" s="2" t="s">
        <v>4016</v>
      </c>
      <c r="E1240" s="2" t="s">
        <v>3862</v>
      </c>
      <c r="F1240" s="2">
        <v>200</v>
      </c>
      <c r="G1240" s="2" t="s">
        <v>3842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3843</v>
      </c>
      <c r="N1240" s="4"/>
      <c r="O1240" s="5"/>
      <c r="P1240" s="4"/>
      <c r="Q1240" s="21" t="str">
        <f>VLOOKUP(tblProductos[[#This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3861</v>
      </c>
      <c r="D1241" s="2" t="s">
        <v>4145</v>
      </c>
      <c r="E1241" s="2" t="s">
        <v>3862</v>
      </c>
      <c r="F1241" s="2">
        <v>200</v>
      </c>
      <c r="G1241" s="2" t="s">
        <v>3842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3843</v>
      </c>
      <c r="N1241" s="4"/>
      <c r="O1241" s="5"/>
      <c r="P1241" s="4"/>
      <c r="Q1241" s="21" t="str">
        <f>VLOOKUP(tblProductos[[#This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3861</v>
      </c>
      <c r="D1242" s="2" t="s">
        <v>4015</v>
      </c>
      <c r="E1242" s="2" t="s">
        <v>3862</v>
      </c>
      <c r="F1242" s="2">
        <v>200</v>
      </c>
      <c r="G1242" s="2" t="s">
        <v>3842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3843</v>
      </c>
      <c r="N1242" s="4"/>
      <c r="O1242" s="5"/>
      <c r="P1242" s="4"/>
      <c r="Q1242" s="21" t="str">
        <f>VLOOKUP(tblProductos[[#This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3861</v>
      </c>
      <c r="D1243" s="2" t="s">
        <v>4054</v>
      </c>
      <c r="E1243" s="2" t="s">
        <v>3862</v>
      </c>
      <c r="F1243" s="2">
        <v>200</v>
      </c>
      <c r="G1243" s="2" t="s">
        <v>3842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3843</v>
      </c>
      <c r="N1243" s="4"/>
      <c r="O1243" s="5"/>
      <c r="P1243" s="4"/>
      <c r="Q1243" s="21" t="str">
        <f>VLOOKUP(tblProductos[[#This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3861</v>
      </c>
      <c r="D1244" s="2" t="s">
        <v>4118</v>
      </c>
      <c r="E1244" s="2" t="s">
        <v>3862</v>
      </c>
      <c r="F1244" s="2">
        <v>200</v>
      </c>
      <c r="G1244" s="2" t="s">
        <v>3842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3843</v>
      </c>
      <c r="N1244" s="4"/>
      <c r="O1244" s="5"/>
      <c r="P1244" s="4"/>
      <c r="Q1244" s="21" t="str">
        <f>VLOOKUP(tblProductos[[#This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3861</v>
      </c>
      <c r="D1245" s="2" t="s">
        <v>3919</v>
      </c>
      <c r="E1245" s="2" t="s">
        <v>3862</v>
      </c>
      <c r="F1245" s="2">
        <v>200</v>
      </c>
      <c r="G1245" s="2" t="s">
        <v>3842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3843</v>
      </c>
      <c r="N1245" s="4"/>
      <c r="O1245" s="5"/>
      <c r="P1245" s="4"/>
      <c r="Q1245" s="21" t="str">
        <f>VLOOKUP(tblProductos[[#This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3861</v>
      </c>
      <c r="D1246" s="2" t="s">
        <v>4029</v>
      </c>
      <c r="E1246" s="2" t="s">
        <v>3862</v>
      </c>
      <c r="F1246" s="2">
        <v>200</v>
      </c>
      <c r="G1246" s="2" t="s">
        <v>3842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3843</v>
      </c>
      <c r="N1246" s="4"/>
      <c r="O1246" s="5"/>
      <c r="P1246" s="4"/>
      <c r="Q1246" s="21" t="str">
        <f>VLOOKUP(tblProductos[[#This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3861</v>
      </c>
      <c r="D1247" s="2" t="s">
        <v>4034</v>
      </c>
      <c r="E1247" s="2" t="s">
        <v>3862</v>
      </c>
      <c r="F1247" s="2">
        <v>200</v>
      </c>
      <c r="G1247" s="2" t="s">
        <v>3842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3843</v>
      </c>
      <c r="N1247" s="4"/>
      <c r="O1247" s="5"/>
      <c r="P1247" s="4"/>
      <c r="Q1247" s="21" t="str">
        <f>VLOOKUP(tblProductos[[#This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3861</v>
      </c>
      <c r="D1248" s="2" t="s">
        <v>4035</v>
      </c>
      <c r="E1248" s="2" t="s">
        <v>3862</v>
      </c>
      <c r="F1248" s="2">
        <v>200</v>
      </c>
      <c r="G1248" s="2" t="s">
        <v>3842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3843</v>
      </c>
      <c r="N1248" s="4"/>
      <c r="O1248" s="5"/>
      <c r="P1248" s="4"/>
      <c r="Q1248" s="21" t="str">
        <f>VLOOKUP(tblProductos[[#This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3861</v>
      </c>
      <c r="D1249" s="2" t="s">
        <v>4017</v>
      </c>
      <c r="E1249" s="2" t="s">
        <v>3862</v>
      </c>
      <c r="F1249" s="2">
        <v>200</v>
      </c>
      <c r="G1249" s="2" t="s">
        <v>3842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3843</v>
      </c>
      <c r="N1249" s="4"/>
      <c r="O1249" s="5"/>
      <c r="P1249" s="4"/>
      <c r="Q1249" s="21" t="str">
        <f>VLOOKUP(tblProductos[[#This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3861</v>
      </c>
      <c r="D1250" s="2" t="s">
        <v>4010</v>
      </c>
      <c r="E1250" s="2" t="s">
        <v>3862</v>
      </c>
      <c r="F1250" s="2">
        <v>200</v>
      </c>
      <c r="G1250" s="2" t="s">
        <v>3842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3843</v>
      </c>
      <c r="N1250" s="4"/>
      <c r="O1250" s="5"/>
      <c r="P1250" s="4"/>
      <c r="Q1250" s="21" t="str">
        <f>VLOOKUP(tblProductos[[#This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3861</v>
      </c>
      <c r="D1251" s="2" t="s">
        <v>4125</v>
      </c>
      <c r="E1251" s="2" t="s">
        <v>3862</v>
      </c>
      <c r="F1251" s="2">
        <v>200</v>
      </c>
      <c r="G1251" s="2" t="s">
        <v>3842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3843</v>
      </c>
      <c r="N1251" s="4"/>
      <c r="O1251" s="5"/>
      <c r="P1251" s="4"/>
      <c r="Q1251" s="21" t="str">
        <f>VLOOKUP(tblProductos[[#This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3861</v>
      </c>
      <c r="D1252" s="2" t="s">
        <v>4056</v>
      </c>
      <c r="E1252" s="2" t="s">
        <v>3862</v>
      </c>
      <c r="F1252" s="2">
        <v>200</v>
      </c>
      <c r="G1252" s="2" t="s">
        <v>3842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3843</v>
      </c>
      <c r="N1252" s="4"/>
      <c r="O1252" s="5"/>
      <c r="P1252" s="4"/>
      <c r="Q1252" s="21" t="str">
        <f>VLOOKUP(tblProductos[[#This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3861</v>
      </c>
      <c r="D1253" s="2" t="s">
        <v>4006</v>
      </c>
      <c r="E1253" s="2" t="s">
        <v>3862</v>
      </c>
      <c r="F1253" s="2">
        <v>200</v>
      </c>
      <c r="G1253" s="2" t="s">
        <v>3842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3843</v>
      </c>
      <c r="N1253" s="4"/>
      <c r="O1253" s="5"/>
      <c r="P1253" s="4"/>
      <c r="Q1253" s="21" t="str">
        <f>VLOOKUP(tblProductos[[#This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3861</v>
      </c>
      <c r="D1254" s="2" t="s">
        <v>4143</v>
      </c>
      <c r="E1254" s="2" t="s">
        <v>3862</v>
      </c>
      <c r="F1254" s="2">
        <v>200</v>
      </c>
      <c r="G1254" s="2" t="s">
        <v>3842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3843</v>
      </c>
      <c r="N1254" s="4"/>
      <c r="O1254" s="5"/>
      <c r="P1254" s="4"/>
      <c r="Q1254" s="21" t="str">
        <f>VLOOKUP(tblProductos[[#This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3861</v>
      </c>
      <c r="D1255" s="2" t="s">
        <v>4031</v>
      </c>
      <c r="E1255" s="2" t="s">
        <v>3862</v>
      </c>
      <c r="F1255" s="2">
        <v>200</v>
      </c>
      <c r="G1255" s="2" t="s">
        <v>3842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3843</v>
      </c>
      <c r="N1255" s="4"/>
      <c r="O1255" s="5"/>
      <c r="P1255" s="4"/>
      <c r="Q1255" s="21" t="str">
        <f>VLOOKUP(tblProductos[[#This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3861</v>
      </c>
      <c r="D1256" s="2" t="s">
        <v>4011</v>
      </c>
      <c r="E1256" s="2" t="s">
        <v>3862</v>
      </c>
      <c r="F1256" s="2">
        <v>200</v>
      </c>
      <c r="G1256" s="2" t="s">
        <v>3842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3843</v>
      </c>
      <c r="N1256" s="4"/>
      <c r="O1256" s="5"/>
      <c r="P1256" s="4"/>
      <c r="Q1256" s="21" t="str">
        <f>VLOOKUP(tblProductos[[#This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3861</v>
      </c>
      <c r="D1257" s="2" t="s">
        <v>4030</v>
      </c>
      <c r="E1257" s="2" t="s">
        <v>3862</v>
      </c>
      <c r="F1257" s="2">
        <v>200</v>
      </c>
      <c r="G1257" s="2" t="s">
        <v>3842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3843</v>
      </c>
      <c r="N1257" s="4"/>
      <c r="O1257" s="5"/>
      <c r="P1257" s="4"/>
      <c r="Q1257" s="21" t="str">
        <f>VLOOKUP(tblProductos[[#This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3861</v>
      </c>
      <c r="D1258" s="2" t="s">
        <v>4018</v>
      </c>
      <c r="E1258" s="2" t="s">
        <v>3862</v>
      </c>
      <c r="F1258" s="2">
        <v>200</v>
      </c>
      <c r="G1258" s="2" t="s">
        <v>3842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3843</v>
      </c>
      <c r="N1258" s="4"/>
      <c r="O1258" s="5"/>
      <c r="P1258" s="4"/>
      <c r="Q1258" s="21" t="str">
        <f>VLOOKUP(tblProductos[[#This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3861</v>
      </c>
      <c r="D1259" s="2" t="s">
        <v>4009</v>
      </c>
      <c r="E1259" s="2" t="s">
        <v>3862</v>
      </c>
      <c r="F1259" s="2">
        <v>200</v>
      </c>
      <c r="G1259" s="2" t="s">
        <v>3842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3843</v>
      </c>
      <c r="N1259" s="4"/>
      <c r="O1259" s="5"/>
      <c r="P1259" s="4"/>
      <c r="Q1259" s="21" t="str">
        <f>VLOOKUP(tblProductos[[#This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3861</v>
      </c>
      <c r="D1260" s="2" t="s">
        <v>4012</v>
      </c>
      <c r="E1260" s="2" t="s">
        <v>3862</v>
      </c>
      <c r="F1260" s="2">
        <v>200</v>
      </c>
      <c r="G1260" s="2" t="s">
        <v>3842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3843</v>
      </c>
      <c r="N1260" s="4"/>
      <c r="O1260" s="5"/>
      <c r="P1260" s="4"/>
      <c r="Q1260" s="21" t="str">
        <f>VLOOKUP(tblProductos[[#This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3861</v>
      </c>
      <c r="D1261" s="2" t="s">
        <v>4013</v>
      </c>
      <c r="E1261" s="2" t="s">
        <v>3862</v>
      </c>
      <c r="F1261" s="2">
        <v>200</v>
      </c>
      <c r="G1261" s="2" t="s">
        <v>3842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3843</v>
      </c>
      <c r="N1261" s="4"/>
      <c r="O1261" s="5"/>
      <c r="P1261" s="4"/>
      <c r="Q1261" s="21" t="str">
        <f>VLOOKUP(tblProductos[[#This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3861</v>
      </c>
      <c r="D1262" s="2" t="s">
        <v>3923</v>
      </c>
      <c r="E1262" s="2" t="s">
        <v>3862</v>
      </c>
      <c r="F1262" s="2">
        <v>200</v>
      </c>
      <c r="G1262" s="2" t="s">
        <v>3842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3843</v>
      </c>
      <c r="N1262" s="4"/>
      <c r="O1262" s="5"/>
      <c r="P1262" s="4"/>
      <c r="Q1262" s="21" t="str">
        <f>VLOOKUP(tblProductos[[#This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3861</v>
      </c>
      <c r="D1263" s="2" t="s">
        <v>4019</v>
      </c>
      <c r="E1263" s="2" t="s">
        <v>3862</v>
      </c>
      <c r="F1263" s="2">
        <v>200</v>
      </c>
      <c r="G1263" s="2" t="s">
        <v>3842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3843</v>
      </c>
      <c r="N1263" s="4"/>
      <c r="O1263" s="5"/>
      <c r="P1263" s="4"/>
      <c r="Q1263" s="21" t="str">
        <f>VLOOKUP(tblProductos[[#This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3861</v>
      </c>
      <c r="D1264" s="2" t="s">
        <v>4032</v>
      </c>
      <c r="E1264" s="2" t="s">
        <v>3862</v>
      </c>
      <c r="F1264" s="2">
        <v>200</v>
      </c>
      <c r="G1264" s="2" t="s">
        <v>3842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3843</v>
      </c>
      <c r="N1264" s="4"/>
      <c r="O1264" s="5"/>
      <c r="P1264" s="4"/>
      <c r="Q1264" s="21" t="str">
        <f>VLOOKUP(tblProductos[[#This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3861</v>
      </c>
      <c r="D1265" s="2" t="s">
        <v>4007</v>
      </c>
      <c r="E1265" s="2" t="s">
        <v>3862</v>
      </c>
      <c r="F1265" s="2">
        <v>200</v>
      </c>
      <c r="G1265" s="2" t="s">
        <v>3842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3843</v>
      </c>
      <c r="N1265" s="4"/>
      <c r="O1265" s="5"/>
      <c r="P1265" s="4"/>
      <c r="Q1265" s="21" t="str">
        <f>VLOOKUP(tblProductos[[#This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3861</v>
      </c>
      <c r="D1266" s="2" t="s">
        <v>3888</v>
      </c>
      <c r="E1266" s="2" t="s">
        <v>3862</v>
      </c>
      <c r="F1266" s="2">
        <v>200</v>
      </c>
      <c r="G1266" s="2" t="s">
        <v>3842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3843</v>
      </c>
      <c r="N1266" s="4"/>
      <c r="O1266" s="5"/>
      <c r="P1266" s="4"/>
      <c r="Q1266" s="21" t="str">
        <f>VLOOKUP(tblProductos[[#This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3861</v>
      </c>
      <c r="D1267" s="2" t="s">
        <v>4033</v>
      </c>
      <c r="E1267" s="2" t="s">
        <v>3862</v>
      </c>
      <c r="F1267" s="2">
        <v>200</v>
      </c>
      <c r="G1267" s="2" t="s">
        <v>3842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3843</v>
      </c>
      <c r="N1267" s="4"/>
      <c r="O1267" s="5"/>
      <c r="P1267" s="4"/>
      <c r="Q1267" s="21" t="str">
        <f>VLOOKUP(tblProductos[[#This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3861</v>
      </c>
      <c r="D1268" s="2" t="s">
        <v>4144</v>
      </c>
      <c r="E1268" s="2" t="s">
        <v>3862</v>
      </c>
      <c r="F1268" s="2">
        <v>200</v>
      </c>
      <c r="G1268" s="2" t="s">
        <v>3842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3843</v>
      </c>
      <c r="N1268" s="4"/>
      <c r="O1268" s="5"/>
      <c r="P1268" s="4"/>
      <c r="Q1268" s="21" t="str">
        <f>VLOOKUP(tblProductos[[#This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3861</v>
      </c>
      <c r="D1269" s="2" t="s">
        <v>4014</v>
      </c>
      <c r="E1269" s="2" t="s">
        <v>3862</v>
      </c>
      <c r="F1269" s="2">
        <v>200</v>
      </c>
      <c r="G1269" s="2" t="s">
        <v>3842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3843</v>
      </c>
      <c r="N1269" s="4"/>
      <c r="O1269" s="5"/>
      <c r="P1269" s="4"/>
      <c r="Q1269" s="21" t="str">
        <f>VLOOKUP(tblProductos[[#This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3861</v>
      </c>
      <c r="D1270" s="2" t="s">
        <v>4008</v>
      </c>
      <c r="E1270" s="2" t="s">
        <v>3862</v>
      </c>
      <c r="F1270" s="2">
        <v>200</v>
      </c>
      <c r="G1270" s="2" t="s">
        <v>3842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3843</v>
      </c>
      <c r="N1270" s="4"/>
      <c r="O1270" s="5"/>
      <c r="P1270" s="4"/>
      <c r="Q1270" s="21" t="str">
        <f>VLOOKUP(tblProductos[[#This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3861</v>
      </c>
      <c r="D1271" s="2" t="s">
        <v>4020</v>
      </c>
      <c r="E1271" s="2" t="s">
        <v>3862</v>
      </c>
      <c r="F1271" s="2">
        <v>200</v>
      </c>
      <c r="G1271" s="2" t="s">
        <v>3842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3843</v>
      </c>
      <c r="N1271" s="4"/>
      <c r="O1271" s="5"/>
      <c r="P1271" s="4"/>
      <c r="Q1271" s="21" t="str">
        <f>VLOOKUP(tblProductos[[#This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3861</v>
      </c>
      <c r="D1272" s="2" t="s">
        <v>4016</v>
      </c>
      <c r="E1272" s="2" t="s">
        <v>3862</v>
      </c>
      <c r="F1272" s="2">
        <v>200</v>
      </c>
      <c r="G1272" s="2" t="s">
        <v>3842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3843</v>
      </c>
      <c r="N1272" s="4"/>
      <c r="O1272" s="5"/>
      <c r="P1272" s="4"/>
      <c r="Q1272" s="21" t="str">
        <f>VLOOKUP(tblProductos[[#This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3861</v>
      </c>
      <c r="D1273" s="2" t="s">
        <v>4145</v>
      </c>
      <c r="E1273" s="2" t="s">
        <v>3862</v>
      </c>
      <c r="F1273" s="2">
        <v>200</v>
      </c>
      <c r="G1273" s="2" t="s">
        <v>3842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3843</v>
      </c>
      <c r="N1273" s="4"/>
      <c r="O1273" s="5"/>
      <c r="P1273" s="4"/>
      <c r="Q1273" s="21" t="str">
        <f>VLOOKUP(tblProductos[[#This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3861</v>
      </c>
      <c r="D1274" s="2" t="s">
        <v>4021</v>
      </c>
      <c r="E1274" s="2" t="s">
        <v>3862</v>
      </c>
      <c r="F1274" s="2">
        <v>200</v>
      </c>
      <c r="G1274" s="2" t="s">
        <v>3842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3843</v>
      </c>
      <c r="N1274" s="4"/>
      <c r="O1274" s="5"/>
      <c r="P1274" s="4"/>
      <c r="Q1274" s="21" t="str">
        <f>VLOOKUP(tblProductos[[#This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3861</v>
      </c>
      <c r="D1275" s="2" t="s">
        <v>4015</v>
      </c>
      <c r="E1275" s="2" t="s">
        <v>3862</v>
      </c>
      <c r="F1275" s="2">
        <v>200</v>
      </c>
      <c r="G1275" s="2" t="s">
        <v>3842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3843</v>
      </c>
      <c r="N1275" s="4"/>
      <c r="O1275" s="5"/>
      <c r="P1275" s="4"/>
      <c r="Q1275" s="21" t="str">
        <f>VLOOKUP(tblProductos[[#This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3861</v>
      </c>
      <c r="D1276" s="2" t="s">
        <v>4054</v>
      </c>
      <c r="E1276" s="2" t="s">
        <v>3862</v>
      </c>
      <c r="F1276" s="2">
        <v>200</v>
      </c>
      <c r="G1276" s="2" t="s">
        <v>3842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3843</v>
      </c>
      <c r="N1276" s="4"/>
      <c r="O1276" s="5"/>
      <c r="P1276" s="4"/>
      <c r="Q1276" s="21" t="str">
        <f>VLOOKUP(tblProductos[[#This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3861</v>
      </c>
      <c r="D1277" s="2" t="s">
        <v>4118</v>
      </c>
      <c r="E1277" s="2" t="s">
        <v>3862</v>
      </c>
      <c r="F1277" s="2">
        <v>200</v>
      </c>
      <c r="G1277" s="2" t="s">
        <v>3842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3843</v>
      </c>
      <c r="N1277" s="4"/>
      <c r="O1277" s="5"/>
      <c r="P1277" s="4"/>
      <c r="Q1277" s="21" t="str">
        <f>VLOOKUP(tblProductos[[#This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3861</v>
      </c>
      <c r="D1278" s="2" t="s">
        <v>4022</v>
      </c>
      <c r="E1278" s="2" t="s">
        <v>3862</v>
      </c>
      <c r="F1278" s="2">
        <v>200</v>
      </c>
      <c r="G1278" s="2" t="s">
        <v>3842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3843</v>
      </c>
      <c r="N1278" s="4"/>
      <c r="O1278" s="5"/>
      <c r="P1278" s="4"/>
      <c r="Q1278" s="21" t="str">
        <f>VLOOKUP(tblProductos[[#This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3861</v>
      </c>
      <c r="D1279" s="2" t="s">
        <v>3919</v>
      </c>
      <c r="E1279" s="2" t="s">
        <v>3862</v>
      </c>
      <c r="F1279" s="2">
        <v>200</v>
      </c>
      <c r="G1279" s="2" t="s">
        <v>3842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3843</v>
      </c>
      <c r="N1279" s="4"/>
      <c r="O1279" s="5"/>
      <c r="P1279" s="4"/>
      <c r="Q1279" s="21" t="str">
        <f>VLOOKUP(tblProductos[[#This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3861</v>
      </c>
      <c r="D1280" s="2" t="s">
        <v>4023</v>
      </c>
      <c r="E1280" s="2" t="s">
        <v>3862</v>
      </c>
      <c r="F1280" s="2">
        <v>200</v>
      </c>
      <c r="G1280" s="2" t="s">
        <v>3842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3843</v>
      </c>
      <c r="N1280" s="4"/>
      <c r="O1280" s="5"/>
      <c r="P1280" s="4"/>
      <c r="Q1280" s="21" t="str">
        <f>VLOOKUP(tblProductos[[#This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3861</v>
      </c>
      <c r="D1281" s="2" t="s">
        <v>4029</v>
      </c>
      <c r="E1281" s="2" t="s">
        <v>3862</v>
      </c>
      <c r="F1281" s="2">
        <v>200</v>
      </c>
      <c r="G1281" s="2" t="s">
        <v>3842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3843</v>
      </c>
      <c r="N1281" s="4"/>
      <c r="O1281" s="5"/>
      <c r="P1281" s="4"/>
      <c r="Q1281" s="21" t="str">
        <f>VLOOKUP(tblProductos[[#This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3861</v>
      </c>
      <c r="D1282" s="2" t="s">
        <v>4034</v>
      </c>
      <c r="E1282" s="2" t="s">
        <v>3862</v>
      </c>
      <c r="F1282" s="2">
        <v>200</v>
      </c>
      <c r="G1282" s="2" t="s">
        <v>3842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3843</v>
      </c>
      <c r="N1282" s="4"/>
      <c r="O1282" s="5"/>
      <c r="P1282" s="4"/>
      <c r="Q1282" s="21" t="str">
        <f>VLOOKUP(tblProductos[[#This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3861</v>
      </c>
      <c r="D1283" s="2" t="s">
        <v>4035</v>
      </c>
      <c r="E1283" s="2" t="s">
        <v>3862</v>
      </c>
      <c r="F1283" s="2">
        <v>200</v>
      </c>
      <c r="G1283" s="2" t="s">
        <v>3842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3843</v>
      </c>
      <c r="N1283" s="4"/>
      <c r="O1283" s="5"/>
      <c r="P1283" s="4"/>
      <c r="Q1283" s="21" t="str">
        <f>VLOOKUP(tblProductos[[#This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3849</v>
      </c>
      <c r="D1284" s="2" t="s">
        <v>4010</v>
      </c>
      <c r="E1284" s="2" t="s">
        <v>3850</v>
      </c>
      <c r="F1284" s="2">
        <v>500</v>
      </c>
      <c r="G1284" s="2" t="s">
        <v>3842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3843</v>
      </c>
      <c r="N1284" s="4"/>
      <c r="O1284" s="5"/>
      <c r="P1284" s="4"/>
      <c r="Q1284" s="21" t="str">
        <f>VLOOKUP(tblProductos[[#This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3849</v>
      </c>
      <c r="D1285" s="2" t="s">
        <v>4125</v>
      </c>
      <c r="E1285" s="2" t="s">
        <v>3850</v>
      </c>
      <c r="F1285" s="2">
        <v>500</v>
      </c>
      <c r="G1285" s="2" t="s">
        <v>3842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3843</v>
      </c>
      <c r="N1285" s="4"/>
      <c r="O1285" s="5"/>
      <c r="P1285" s="4"/>
      <c r="Q1285" s="21" t="str">
        <f>VLOOKUP(tblProductos[[#This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3849</v>
      </c>
      <c r="D1286" s="2" t="s">
        <v>4056</v>
      </c>
      <c r="E1286" s="2" t="s">
        <v>3850</v>
      </c>
      <c r="F1286" s="2">
        <v>500</v>
      </c>
      <c r="G1286" s="2" t="s">
        <v>3842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3843</v>
      </c>
      <c r="N1286" s="4"/>
      <c r="O1286" s="5"/>
      <c r="P1286" s="4"/>
      <c r="Q1286" s="21" t="str">
        <f>VLOOKUP(tblProductos[[#This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3849</v>
      </c>
      <c r="D1287" s="2" t="s">
        <v>4006</v>
      </c>
      <c r="E1287" s="2" t="s">
        <v>3850</v>
      </c>
      <c r="F1287" s="2">
        <v>500</v>
      </c>
      <c r="G1287" s="2" t="s">
        <v>3842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3843</v>
      </c>
      <c r="N1287" s="4"/>
      <c r="O1287" s="5"/>
      <c r="P1287" s="4"/>
      <c r="Q1287" s="21" t="str">
        <f>VLOOKUP(tblProductos[[#This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3849</v>
      </c>
      <c r="D1288" s="2" t="s">
        <v>4143</v>
      </c>
      <c r="E1288" s="2" t="s">
        <v>3850</v>
      </c>
      <c r="F1288" s="2">
        <v>500</v>
      </c>
      <c r="G1288" s="2" t="s">
        <v>3842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3843</v>
      </c>
      <c r="N1288" s="4"/>
      <c r="O1288" s="5"/>
      <c r="P1288" s="4"/>
      <c r="Q1288" s="21" t="str">
        <f>VLOOKUP(tblProductos[[#This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3849</v>
      </c>
      <c r="D1289" s="2" t="s">
        <v>4031</v>
      </c>
      <c r="E1289" s="2" t="s">
        <v>3850</v>
      </c>
      <c r="F1289" s="2">
        <v>500</v>
      </c>
      <c r="G1289" s="2" t="s">
        <v>3842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3843</v>
      </c>
      <c r="N1289" s="4"/>
      <c r="O1289" s="5"/>
      <c r="P1289" s="4"/>
      <c r="Q1289" s="21" t="str">
        <f>VLOOKUP(tblProductos[[#This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3849</v>
      </c>
      <c r="D1290" s="2" t="s">
        <v>4030</v>
      </c>
      <c r="E1290" s="2" t="s">
        <v>3850</v>
      </c>
      <c r="F1290" s="2">
        <v>500</v>
      </c>
      <c r="G1290" s="2" t="s">
        <v>3842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3843</v>
      </c>
      <c r="N1290" s="4"/>
      <c r="O1290" s="5"/>
      <c r="P1290" s="4"/>
      <c r="Q1290" s="21" t="str">
        <f>VLOOKUP(tblProductos[[#This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3849</v>
      </c>
      <c r="D1291" s="2" t="s">
        <v>4013</v>
      </c>
      <c r="E1291" s="2" t="s">
        <v>3850</v>
      </c>
      <c r="F1291" s="2">
        <v>500</v>
      </c>
      <c r="G1291" s="2" t="s">
        <v>3842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3843</v>
      </c>
      <c r="N1291" s="4"/>
      <c r="O1291" s="5"/>
      <c r="P1291" s="4"/>
      <c r="Q1291" s="21" t="str">
        <f>VLOOKUP(tblProductos[[#This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3849</v>
      </c>
      <c r="D1292" s="2" t="s">
        <v>4032</v>
      </c>
      <c r="E1292" s="2" t="s">
        <v>3850</v>
      </c>
      <c r="F1292" s="2">
        <v>500</v>
      </c>
      <c r="G1292" s="2" t="s">
        <v>3842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3843</v>
      </c>
      <c r="N1292" s="4"/>
      <c r="O1292" s="5"/>
      <c r="P1292" s="4"/>
      <c r="Q1292" s="21" t="str">
        <f>VLOOKUP(tblProductos[[#This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3849</v>
      </c>
      <c r="D1293" s="2" t="s">
        <v>3888</v>
      </c>
      <c r="E1293" s="2" t="s">
        <v>3850</v>
      </c>
      <c r="F1293" s="2">
        <v>500</v>
      </c>
      <c r="G1293" s="2" t="s">
        <v>3842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3843</v>
      </c>
      <c r="N1293" s="4"/>
      <c r="O1293" s="5"/>
      <c r="P1293" s="4"/>
      <c r="Q1293" s="21" t="str">
        <f>VLOOKUP(tblProductos[[#This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3849</v>
      </c>
      <c r="D1294" s="2" t="s">
        <v>4033</v>
      </c>
      <c r="E1294" s="2" t="s">
        <v>3850</v>
      </c>
      <c r="F1294" s="2">
        <v>500</v>
      </c>
      <c r="G1294" s="2" t="s">
        <v>3842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3843</v>
      </c>
      <c r="N1294" s="4"/>
      <c r="O1294" s="5"/>
      <c r="P1294" s="4"/>
      <c r="Q1294" s="21" t="str">
        <f>VLOOKUP(tblProductos[[#This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3849</v>
      </c>
      <c r="D1295" s="2" t="s">
        <v>4144</v>
      </c>
      <c r="E1295" s="2" t="s">
        <v>3850</v>
      </c>
      <c r="F1295" s="2">
        <v>500</v>
      </c>
      <c r="G1295" s="2" t="s">
        <v>3842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3843</v>
      </c>
      <c r="N1295" s="4"/>
      <c r="O1295" s="5"/>
      <c r="P1295" s="4"/>
      <c r="Q1295" s="21" t="str">
        <f>VLOOKUP(tblProductos[[#This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3849</v>
      </c>
      <c r="D1296" s="2" t="s">
        <v>4014</v>
      </c>
      <c r="E1296" s="2" t="s">
        <v>3850</v>
      </c>
      <c r="F1296" s="2">
        <v>500</v>
      </c>
      <c r="G1296" s="2" t="s">
        <v>3842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3843</v>
      </c>
      <c r="N1296" s="4"/>
      <c r="O1296" s="5"/>
      <c r="P1296" s="4"/>
      <c r="Q1296" s="21" t="str">
        <f>VLOOKUP(tblProductos[[#This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3849</v>
      </c>
      <c r="D1297" s="2" t="s">
        <v>4016</v>
      </c>
      <c r="E1297" s="2" t="s">
        <v>3850</v>
      </c>
      <c r="F1297" s="2">
        <v>500</v>
      </c>
      <c r="G1297" s="2" t="s">
        <v>3842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3843</v>
      </c>
      <c r="N1297" s="4"/>
      <c r="O1297" s="5"/>
      <c r="P1297" s="4"/>
      <c r="Q1297" s="21" t="str">
        <f>VLOOKUP(tblProductos[[#This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3849</v>
      </c>
      <c r="D1298" s="2" t="s">
        <v>4145</v>
      </c>
      <c r="E1298" s="2" t="s">
        <v>3850</v>
      </c>
      <c r="F1298" s="2">
        <v>500</v>
      </c>
      <c r="G1298" s="2" t="s">
        <v>3842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3843</v>
      </c>
      <c r="N1298" s="4"/>
      <c r="O1298" s="5"/>
      <c r="P1298" s="4"/>
      <c r="Q1298" s="21" t="str">
        <f>VLOOKUP(tblProductos[[#This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3849</v>
      </c>
      <c r="D1299" s="2" t="s">
        <v>4015</v>
      </c>
      <c r="E1299" s="2" t="s">
        <v>3850</v>
      </c>
      <c r="F1299" s="2">
        <v>500</v>
      </c>
      <c r="G1299" s="2" t="s">
        <v>3842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3843</v>
      </c>
      <c r="N1299" s="4"/>
      <c r="O1299" s="5"/>
      <c r="P1299" s="4"/>
      <c r="Q1299" s="21" t="str">
        <f>VLOOKUP(tblProductos[[#This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3849</v>
      </c>
      <c r="D1300" s="2" t="s">
        <v>4054</v>
      </c>
      <c r="E1300" s="2" t="s">
        <v>3850</v>
      </c>
      <c r="F1300" s="2">
        <v>500</v>
      </c>
      <c r="G1300" s="2" t="s">
        <v>3842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3843</v>
      </c>
      <c r="N1300" s="4"/>
      <c r="O1300" s="5"/>
      <c r="P1300" s="4"/>
      <c r="Q1300" s="21" t="str">
        <f>VLOOKUP(tblProductos[[#This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3849</v>
      </c>
      <c r="D1301" s="2" t="s">
        <v>4118</v>
      </c>
      <c r="E1301" s="2" t="s">
        <v>3850</v>
      </c>
      <c r="F1301" s="2">
        <v>500</v>
      </c>
      <c r="G1301" s="2" t="s">
        <v>3842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3843</v>
      </c>
      <c r="N1301" s="4"/>
      <c r="O1301" s="5"/>
      <c r="P1301" s="4"/>
      <c r="Q1301" s="21" t="str">
        <f>VLOOKUP(tblProductos[[#This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3849</v>
      </c>
      <c r="D1302" s="2" t="s">
        <v>3919</v>
      </c>
      <c r="E1302" s="2" t="s">
        <v>3850</v>
      </c>
      <c r="F1302" s="2">
        <v>500</v>
      </c>
      <c r="G1302" s="2" t="s">
        <v>3842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3843</v>
      </c>
      <c r="N1302" s="4"/>
      <c r="O1302" s="5"/>
      <c r="P1302" s="4"/>
      <c r="Q1302" s="21" t="str">
        <f>VLOOKUP(tblProductos[[#This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3849</v>
      </c>
      <c r="D1303" s="2" t="s">
        <v>4029</v>
      </c>
      <c r="E1303" s="2" t="s">
        <v>3850</v>
      </c>
      <c r="F1303" s="2">
        <v>500</v>
      </c>
      <c r="G1303" s="2" t="s">
        <v>3842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3843</v>
      </c>
      <c r="N1303" s="4"/>
      <c r="O1303" s="5"/>
      <c r="P1303" s="4"/>
      <c r="Q1303" s="21" t="str">
        <f>VLOOKUP(tblProductos[[#This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3849</v>
      </c>
      <c r="D1304" s="2" t="s">
        <v>4034</v>
      </c>
      <c r="E1304" s="2" t="s">
        <v>3850</v>
      </c>
      <c r="F1304" s="2">
        <v>500</v>
      </c>
      <c r="G1304" s="2" t="s">
        <v>3842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3843</v>
      </c>
      <c r="N1304" s="4"/>
      <c r="O1304" s="5"/>
      <c r="P1304" s="4"/>
      <c r="Q1304" s="21" t="str">
        <f>VLOOKUP(tblProductos[[#This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3849</v>
      </c>
      <c r="D1305" s="2" t="s">
        <v>4035</v>
      </c>
      <c r="E1305" s="2" t="s">
        <v>3850</v>
      </c>
      <c r="F1305" s="2">
        <v>500</v>
      </c>
      <c r="G1305" s="2" t="s">
        <v>3842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3843</v>
      </c>
      <c r="N1305" s="4"/>
      <c r="O1305" s="5"/>
      <c r="P1305" s="4"/>
      <c r="Q1305" s="21" t="str">
        <f>VLOOKUP(tblProductos[[#This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3849</v>
      </c>
      <c r="D1306" s="2" t="s">
        <v>4017</v>
      </c>
      <c r="E1306" s="2" t="s">
        <v>3850</v>
      </c>
      <c r="F1306" s="2">
        <v>500</v>
      </c>
      <c r="G1306" s="2" t="s">
        <v>3842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3843</v>
      </c>
      <c r="N1306" s="4"/>
      <c r="O1306" s="5"/>
      <c r="P1306" s="4"/>
      <c r="Q1306" s="21" t="str">
        <f>VLOOKUP(tblProductos[[#This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3849</v>
      </c>
      <c r="D1307" s="2" t="s">
        <v>4010</v>
      </c>
      <c r="E1307" s="2" t="s">
        <v>3850</v>
      </c>
      <c r="F1307" s="2">
        <v>500</v>
      </c>
      <c r="G1307" s="2" t="s">
        <v>3842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3843</v>
      </c>
      <c r="N1307" s="4"/>
      <c r="O1307" s="5"/>
      <c r="P1307" s="4"/>
      <c r="Q1307" s="21" t="str">
        <f>VLOOKUP(tblProductos[[#This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3849</v>
      </c>
      <c r="D1308" s="2" t="s">
        <v>4125</v>
      </c>
      <c r="E1308" s="2" t="s">
        <v>3850</v>
      </c>
      <c r="F1308" s="2">
        <v>500</v>
      </c>
      <c r="G1308" s="2" t="s">
        <v>3842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3843</v>
      </c>
      <c r="N1308" s="4"/>
      <c r="O1308" s="5"/>
      <c r="P1308" s="4"/>
      <c r="Q1308" s="21" t="str">
        <f>VLOOKUP(tblProductos[[#This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3849</v>
      </c>
      <c r="D1309" s="2" t="s">
        <v>4056</v>
      </c>
      <c r="E1309" s="2" t="s">
        <v>3850</v>
      </c>
      <c r="F1309" s="2">
        <v>500</v>
      </c>
      <c r="G1309" s="2" t="s">
        <v>3842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3843</v>
      </c>
      <c r="N1309" s="4"/>
      <c r="O1309" s="5"/>
      <c r="P1309" s="4"/>
      <c r="Q1309" s="21" t="str">
        <f>VLOOKUP(tblProductos[[#This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3849</v>
      </c>
      <c r="D1310" s="2" t="s">
        <v>4006</v>
      </c>
      <c r="E1310" s="2" t="s">
        <v>3850</v>
      </c>
      <c r="F1310" s="2">
        <v>500</v>
      </c>
      <c r="G1310" s="2" t="s">
        <v>3842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3843</v>
      </c>
      <c r="N1310" s="4"/>
      <c r="O1310" s="5"/>
      <c r="P1310" s="4"/>
      <c r="Q1310" s="21" t="str">
        <f>VLOOKUP(tblProductos[[#This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3849</v>
      </c>
      <c r="D1311" s="2" t="s">
        <v>4143</v>
      </c>
      <c r="E1311" s="2" t="s">
        <v>3850</v>
      </c>
      <c r="F1311" s="2">
        <v>500</v>
      </c>
      <c r="G1311" s="2" t="s">
        <v>3842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3843</v>
      </c>
      <c r="N1311" s="4"/>
      <c r="O1311" s="5"/>
      <c r="P1311" s="4"/>
      <c r="Q1311" s="21" t="str">
        <f>VLOOKUP(tblProductos[[#This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3849</v>
      </c>
      <c r="D1312" s="2" t="s">
        <v>4031</v>
      </c>
      <c r="E1312" s="2" t="s">
        <v>3850</v>
      </c>
      <c r="F1312" s="2">
        <v>500</v>
      </c>
      <c r="G1312" s="2" t="s">
        <v>3842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3843</v>
      </c>
      <c r="N1312" s="4"/>
      <c r="O1312" s="5"/>
      <c r="P1312" s="4"/>
      <c r="Q1312" s="21" t="str">
        <f>VLOOKUP(tblProductos[[#This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3849</v>
      </c>
      <c r="D1313" s="2" t="s">
        <v>4011</v>
      </c>
      <c r="E1313" s="2" t="s">
        <v>3850</v>
      </c>
      <c r="F1313" s="2">
        <v>500</v>
      </c>
      <c r="G1313" s="2" t="s">
        <v>3842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3843</v>
      </c>
      <c r="N1313" s="4"/>
      <c r="O1313" s="5"/>
      <c r="P1313" s="4"/>
      <c r="Q1313" s="21" t="str">
        <f>VLOOKUP(tblProductos[[#This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3849</v>
      </c>
      <c r="D1314" s="2" t="s">
        <v>4030</v>
      </c>
      <c r="E1314" s="2" t="s">
        <v>3850</v>
      </c>
      <c r="F1314" s="2">
        <v>500</v>
      </c>
      <c r="G1314" s="2" t="s">
        <v>3842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3843</v>
      </c>
      <c r="N1314" s="4"/>
      <c r="O1314" s="5"/>
      <c r="P1314" s="4"/>
      <c r="Q1314" s="21" t="str">
        <f>VLOOKUP(tblProductos[[#This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3849</v>
      </c>
      <c r="D1315" s="2" t="s">
        <v>4018</v>
      </c>
      <c r="E1315" s="2" t="s">
        <v>3850</v>
      </c>
      <c r="F1315" s="2">
        <v>500</v>
      </c>
      <c r="G1315" s="2" t="s">
        <v>3842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3843</v>
      </c>
      <c r="N1315" s="4"/>
      <c r="O1315" s="5"/>
      <c r="P1315" s="4"/>
      <c r="Q1315" s="21" t="str">
        <f>VLOOKUP(tblProductos[[#This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3849</v>
      </c>
      <c r="D1316" s="2" t="s">
        <v>4009</v>
      </c>
      <c r="E1316" s="2" t="s">
        <v>3850</v>
      </c>
      <c r="F1316" s="2">
        <v>500</v>
      </c>
      <c r="G1316" s="2" t="s">
        <v>3842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3843</v>
      </c>
      <c r="N1316" s="4"/>
      <c r="O1316" s="5"/>
      <c r="P1316" s="4"/>
      <c r="Q1316" s="21" t="str">
        <f>VLOOKUP(tblProductos[[#This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3849</v>
      </c>
      <c r="D1317" s="2" t="s">
        <v>4012</v>
      </c>
      <c r="E1317" s="2" t="s">
        <v>3850</v>
      </c>
      <c r="F1317" s="2">
        <v>500</v>
      </c>
      <c r="G1317" s="2" t="s">
        <v>3842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3843</v>
      </c>
      <c r="N1317" s="4"/>
      <c r="O1317" s="5"/>
      <c r="P1317" s="4"/>
      <c r="Q1317" s="21" t="str">
        <f>VLOOKUP(tblProductos[[#This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3849</v>
      </c>
      <c r="D1318" s="2" t="s">
        <v>4013</v>
      </c>
      <c r="E1318" s="2" t="s">
        <v>3850</v>
      </c>
      <c r="F1318" s="2">
        <v>500</v>
      </c>
      <c r="G1318" s="2" t="s">
        <v>3842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3843</v>
      </c>
      <c r="N1318" s="4"/>
      <c r="O1318" s="5"/>
      <c r="P1318" s="4"/>
      <c r="Q1318" s="21" t="str">
        <f>VLOOKUP(tblProductos[[#This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3849</v>
      </c>
      <c r="D1319" s="2" t="s">
        <v>3923</v>
      </c>
      <c r="E1319" s="2" t="s">
        <v>3850</v>
      </c>
      <c r="F1319" s="2">
        <v>500</v>
      </c>
      <c r="G1319" s="2" t="s">
        <v>3842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3843</v>
      </c>
      <c r="N1319" s="4"/>
      <c r="O1319" s="5"/>
      <c r="P1319" s="4"/>
      <c r="Q1319" s="21" t="str">
        <f>VLOOKUP(tblProductos[[#This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3849</v>
      </c>
      <c r="D1320" s="2" t="s">
        <v>4019</v>
      </c>
      <c r="E1320" s="2" t="s">
        <v>3850</v>
      </c>
      <c r="F1320" s="2">
        <v>500</v>
      </c>
      <c r="G1320" s="2" t="s">
        <v>3842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3843</v>
      </c>
      <c r="N1320" s="4"/>
      <c r="O1320" s="5"/>
      <c r="P1320" s="4"/>
      <c r="Q1320" s="21" t="str">
        <f>VLOOKUP(tblProductos[[#This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3849</v>
      </c>
      <c r="D1321" s="2" t="s">
        <v>4032</v>
      </c>
      <c r="E1321" s="2" t="s">
        <v>3850</v>
      </c>
      <c r="F1321" s="2">
        <v>500</v>
      </c>
      <c r="G1321" s="2" t="s">
        <v>3842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3843</v>
      </c>
      <c r="N1321" s="4"/>
      <c r="O1321" s="5"/>
      <c r="P1321" s="4"/>
      <c r="Q1321" s="21" t="str">
        <f>VLOOKUP(tblProductos[[#This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3849</v>
      </c>
      <c r="D1322" s="2" t="s">
        <v>4007</v>
      </c>
      <c r="E1322" s="2" t="s">
        <v>3850</v>
      </c>
      <c r="F1322" s="2">
        <v>500</v>
      </c>
      <c r="G1322" s="2" t="s">
        <v>3842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3843</v>
      </c>
      <c r="N1322" s="4"/>
      <c r="O1322" s="5"/>
      <c r="P1322" s="4"/>
      <c r="Q1322" s="21" t="str">
        <f>VLOOKUP(tblProductos[[#This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3849</v>
      </c>
      <c r="D1323" s="2" t="s">
        <v>3888</v>
      </c>
      <c r="E1323" s="2" t="s">
        <v>3850</v>
      </c>
      <c r="F1323" s="2">
        <v>500</v>
      </c>
      <c r="G1323" s="2" t="s">
        <v>3842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3843</v>
      </c>
      <c r="N1323" s="4"/>
      <c r="O1323" s="5"/>
      <c r="P1323" s="4"/>
      <c r="Q1323" s="21" t="str">
        <f>VLOOKUP(tblProductos[[#This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3849</v>
      </c>
      <c r="D1324" s="2" t="s">
        <v>4033</v>
      </c>
      <c r="E1324" s="2" t="s">
        <v>3850</v>
      </c>
      <c r="F1324" s="2">
        <v>500</v>
      </c>
      <c r="G1324" s="2" t="s">
        <v>3842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3843</v>
      </c>
      <c r="N1324" s="4"/>
      <c r="O1324" s="5"/>
      <c r="P1324" s="4"/>
      <c r="Q1324" s="21" t="str">
        <f>VLOOKUP(tblProductos[[#This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3849</v>
      </c>
      <c r="D1325" s="2" t="s">
        <v>4144</v>
      </c>
      <c r="E1325" s="2" t="s">
        <v>3850</v>
      </c>
      <c r="F1325" s="2">
        <v>500</v>
      </c>
      <c r="G1325" s="2" t="s">
        <v>3842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3843</v>
      </c>
      <c r="N1325" s="4"/>
      <c r="O1325" s="5"/>
      <c r="P1325" s="4"/>
      <c r="Q1325" s="21" t="str">
        <f>VLOOKUP(tblProductos[[#This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3849</v>
      </c>
      <c r="D1326" s="2" t="s">
        <v>4014</v>
      </c>
      <c r="E1326" s="2" t="s">
        <v>3850</v>
      </c>
      <c r="F1326" s="2">
        <v>500</v>
      </c>
      <c r="G1326" s="2" t="s">
        <v>3842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3843</v>
      </c>
      <c r="N1326" s="4"/>
      <c r="O1326" s="5"/>
      <c r="P1326" s="4"/>
      <c r="Q1326" s="21" t="str">
        <f>VLOOKUP(tblProductos[[#This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3849</v>
      </c>
      <c r="D1327" s="2" t="s">
        <v>4008</v>
      </c>
      <c r="E1327" s="2" t="s">
        <v>3850</v>
      </c>
      <c r="F1327" s="2">
        <v>500</v>
      </c>
      <c r="G1327" s="2" t="s">
        <v>3842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3843</v>
      </c>
      <c r="N1327" s="4"/>
      <c r="O1327" s="5"/>
      <c r="P1327" s="4"/>
      <c r="Q1327" s="21" t="str">
        <f>VLOOKUP(tblProductos[[#This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3849</v>
      </c>
      <c r="D1328" s="2" t="s">
        <v>4020</v>
      </c>
      <c r="E1328" s="2" t="s">
        <v>3850</v>
      </c>
      <c r="F1328" s="2">
        <v>500</v>
      </c>
      <c r="G1328" s="2" t="s">
        <v>3842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3843</v>
      </c>
      <c r="N1328" s="4"/>
      <c r="O1328" s="5"/>
      <c r="P1328" s="4"/>
      <c r="Q1328" s="21" t="str">
        <f>VLOOKUP(tblProductos[[#This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3849</v>
      </c>
      <c r="D1329" s="2" t="s">
        <v>4016</v>
      </c>
      <c r="E1329" s="2" t="s">
        <v>3850</v>
      </c>
      <c r="F1329" s="2">
        <v>500</v>
      </c>
      <c r="G1329" s="2" t="s">
        <v>3842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3843</v>
      </c>
      <c r="N1329" s="4"/>
      <c r="O1329" s="5"/>
      <c r="P1329" s="4"/>
      <c r="Q1329" s="21" t="str">
        <f>VLOOKUP(tblProductos[[#This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3849</v>
      </c>
      <c r="D1330" s="2" t="s">
        <v>4145</v>
      </c>
      <c r="E1330" s="2" t="s">
        <v>3850</v>
      </c>
      <c r="F1330" s="2">
        <v>500</v>
      </c>
      <c r="G1330" s="2" t="s">
        <v>3842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3843</v>
      </c>
      <c r="N1330" s="4"/>
      <c r="O1330" s="5"/>
      <c r="P1330" s="4"/>
      <c r="Q1330" s="21" t="str">
        <f>VLOOKUP(tblProductos[[#This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3849</v>
      </c>
      <c r="D1331" s="2" t="s">
        <v>4021</v>
      </c>
      <c r="E1331" s="2" t="s">
        <v>3850</v>
      </c>
      <c r="F1331" s="2">
        <v>500</v>
      </c>
      <c r="G1331" s="2" t="s">
        <v>3842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3843</v>
      </c>
      <c r="N1331" s="4"/>
      <c r="O1331" s="5"/>
      <c r="P1331" s="4"/>
      <c r="Q1331" s="21" t="str">
        <f>VLOOKUP(tblProductos[[#This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3849</v>
      </c>
      <c r="D1332" s="2" t="s">
        <v>4015</v>
      </c>
      <c r="E1332" s="2" t="s">
        <v>3850</v>
      </c>
      <c r="F1332" s="2">
        <v>500</v>
      </c>
      <c r="G1332" s="2" t="s">
        <v>3842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3843</v>
      </c>
      <c r="N1332" s="4"/>
      <c r="O1332" s="5"/>
      <c r="P1332" s="4"/>
      <c r="Q1332" s="21" t="str">
        <f>VLOOKUP(tblProductos[[#This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3849</v>
      </c>
      <c r="D1333" s="2" t="s">
        <v>4054</v>
      </c>
      <c r="E1333" s="2" t="s">
        <v>3850</v>
      </c>
      <c r="F1333" s="2">
        <v>500</v>
      </c>
      <c r="G1333" s="2" t="s">
        <v>3842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3843</v>
      </c>
      <c r="N1333" s="4"/>
      <c r="O1333" s="5"/>
      <c r="P1333" s="4"/>
      <c r="Q1333" s="21" t="str">
        <f>VLOOKUP(tblProductos[[#This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3849</v>
      </c>
      <c r="D1334" s="2" t="s">
        <v>4118</v>
      </c>
      <c r="E1334" s="2" t="s">
        <v>3850</v>
      </c>
      <c r="F1334" s="2">
        <v>500</v>
      </c>
      <c r="G1334" s="2" t="s">
        <v>3842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3843</v>
      </c>
      <c r="N1334" s="4"/>
      <c r="O1334" s="5"/>
      <c r="P1334" s="4"/>
      <c r="Q1334" s="21" t="str">
        <f>VLOOKUP(tblProductos[[#This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3849</v>
      </c>
      <c r="D1335" s="2" t="s">
        <v>4022</v>
      </c>
      <c r="E1335" s="2" t="s">
        <v>3850</v>
      </c>
      <c r="F1335" s="2">
        <v>500</v>
      </c>
      <c r="G1335" s="2" t="s">
        <v>3842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3843</v>
      </c>
      <c r="N1335" s="4"/>
      <c r="O1335" s="5"/>
      <c r="P1335" s="4"/>
      <c r="Q1335" s="21" t="str">
        <f>VLOOKUP(tblProductos[[#This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3849</v>
      </c>
      <c r="D1336" s="2" t="s">
        <v>3919</v>
      </c>
      <c r="E1336" s="2" t="s">
        <v>3850</v>
      </c>
      <c r="F1336" s="2">
        <v>500</v>
      </c>
      <c r="G1336" s="2" t="s">
        <v>3842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3843</v>
      </c>
      <c r="N1336" s="4"/>
      <c r="O1336" s="5"/>
      <c r="P1336" s="4"/>
      <c r="Q1336" s="21" t="str">
        <f>VLOOKUP(tblProductos[[#This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3849</v>
      </c>
      <c r="D1337" s="2" t="s">
        <v>4023</v>
      </c>
      <c r="E1337" s="2" t="s">
        <v>3850</v>
      </c>
      <c r="F1337" s="2">
        <v>500</v>
      </c>
      <c r="G1337" s="2" t="s">
        <v>3842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3843</v>
      </c>
      <c r="N1337" s="4"/>
      <c r="O1337" s="5"/>
      <c r="P1337" s="4"/>
      <c r="Q1337" s="21" t="str">
        <f>VLOOKUP(tblProductos[[#This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3849</v>
      </c>
      <c r="D1338" s="2" t="s">
        <v>4029</v>
      </c>
      <c r="E1338" s="2" t="s">
        <v>3850</v>
      </c>
      <c r="F1338" s="2">
        <v>500</v>
      </c>
      <c r="G1338" s="2" t="s">
        <v>3842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3843</v>
      </c>
      <c r="N1338" s="4"/>
      <c r="O1338" s="5"/>
      <c r="P1338" s="4"/>
      <c r="Q1338" s="21" t="str">
        <f>VLOOKUP(tblProductos[[#This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3849</v>
      </c>
      <c r="D1339" s="2" t="s">
        <v>4024</v>
      </c>
      <c r="E1339" s="2" t="s">
        <v>3850</v>
      </c>
      <c r="F1339" s="2">
        <v>500</v>
      </c>
      <c r="G1339" s="2" t="s">
        <v>3842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3843</v>
      </c>
      <c r="N1339" s="4"/>
      <c r="O1339" s="5"/>
      <c r="P1339" s="4"/>
      <c r="Q1339" s="21" t="str">
        <f>VLOOKUP(tblProductos[[#This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3849</v>
      </c>
      <c r="D1340" s="2" t="s">
        <v>4034</v>
      </c>
      <c r="E1340" s="2" t="s">
        <v>3850</v>
      </c>
      <c r="F1340" s="2">
        <v>500</v>
      </c>
      <c r="G1340" s="2" t="s">
        <v>3842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3843</v>
      </c>
      <c r="N1340" s="4"/>
      <c r="O1340" s="5"/>
      <c r="P1340" s="4"/>
      <c r="Q1340" s="21" t="str">
        <f>VLOOKUP(tblProductos[[#This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3849</v>
      </c>
      <c r="D1341" s="2" t="s">
        <v>4035</v>
      </c>
      <c r="E1341" s="2" t="s">
        <v>3850</v>
      </c>
      <c r="F1341" s="2">
        <v>500</v>
      </c>
      <c r="G1341" s="2" t="s">
        <v>3842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3843</v>
      </c>
      <c r="N1341" s="4"/>
      <c r="O1341" s="5"/>
      <c r="P1341" s="4"/>
      <c r="Q1341" s="21" t="str">
        <f>VLOOKUP(tblProductos[[#This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4086</v>
      </c>
      <c r="D1342" s="2" t="s">
        <v>4017</v>
      </c>
      <c r="E1342" s="2" t="s">
        <v>4087</v>
      </c>
      <c r="F1342" s="2">
        <v>200</v>
      </c>
      <c r="G1342" s="2" t="s">
        <v>3842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3843</v>
      </c>
      <c r="N1342" s="4"/>
      <c r="O1342" s="5"/>
      <c r="P1342" s="4"/>
      <c r="Q1342" s="21" t="str">
        <f>VLOOKUP(tblProductos[[#This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4086</v>
      </c>
      <c r="D1343" s="2" t="s">
        <v>4010</v>
      </c>
      <c r="E1343" s="2" t="s">
        <v>4087</v>
      </c>
      <c r="F1343" s="2">
        <v>200</v>
      </c>
      <c r="G1343" s="2" t="s">
        <v>3842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3843</v>
      </c>
      <c r="N1343" s="4"/>
      <c r="O1343" s="5"/>
      <c r="P1343" s="4"/>
      <c r="Q1343" s="21" t="str">
        <f>VLOOKUP(tblProductos[[#This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4086</v>
      </c>
      <c r="D1344" s="2" t="s">
        <v>4125</v>
      </c>
      <c r="E1344" s="2" t="s">
        <v>4087</v>
      </c>
      <c r="F1344" s="2">
        <v>200</v>
      </c>
      <c r="G1344" s="2" t="s">
        <v>3842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3843</v>
      </c>
      <c r="N1344" s="4"/>
      <c r="O1344" s="5"/>
      <c r="P1344" s="4"/>
      <c r="Q1344" s="21" t="str">
        <f>VLOOKUP(tblProductos[[#This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4086</v>
      </c>
      <c r="D1345" s="2" t="s">
        <v>4056</v>
      </c>
      <c r="E1345" s="2" t="s">
        <v>4087</v>
      </c>
      <c r="F1345" s="2">
        <v>200</v>
      </c>
      <c r="G1345" s="2" t="s">
        <v>3842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3843</v>
      </c>
      <c r="N1345" s="4"/>
      <c r="O1345" s="5"/>
      <c r="P1345" s="4"/>
      <c r="Q1345" s="21" t="str">
        <f>VLOOKUP(tblProductos[[#This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4086</v>
      </c>
      <c r="D1346" s="2" t="s">
        <v>4006</v>
      </c>
      <c r="E1346" s="2" t="s">
        <v>4087</v>
      </c>
      <c r="F1346" s="2">
        <v>200</v>
      </c>
      <c r="G1346" s="2" t="s">
        <v>3842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3843</v>
      </c>
      <c r="N1346" s="4"/>
      <c r="O1346" s="5"/>
      <c r="P1346" s="4"/>
      <c r="Q1346" s="21" t="str">
        <f>VLOOKUP(tblProductos[[#This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4086</v>
      </c>
      <c r="D1347" s="2" t="s">
        <v>4143</v>
      </c>
      <c r="E1347" s="2" t="s">
        <v>4087</v>
      </c>
      <c r="F1347" s="2">
        <v>200</v>
      </c>
      <c r="G1347" s="2" t="s">
        <v>3842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3843</v>
      </c>
      <c r="N1347" s="4"/>
      <c r="O1347" s="5"/>
      <c r="P1347" s="4"/>
      <c r="Q1347" s="21" t="str">
        <f>VLOOKUP(tblProductos[[#This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4086</v>
      </c>
      <c r="D1348" s="2" t="s">
        <v>4031</v>
      </c>
      <c r="E1348" s="2" t="s">
        <v>4087</v>
      </c>
      <c r="F1348" s="2">
        <v>200</v>
      </c>
      <c r="G1348" s="2" t="s">
        <v>3842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3843</v>
      </c>
      <c r="N1348" s="4"/>
      <c r="O1348" s="5"/>
      <c r="P1348" s="4"/>
      <c r="Q1348" s="21" t="str">
        <f>VLOOKUP(tblProductos[[#This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4086</v>
      </c>
      <c r="D1349" s="2" t="s">
        <v>4011</v>
      </c>
      <c r="E1349" s="2" t="s">
        <v>4087</v>
      </c>
      <c r="F1349" s="2">
        <v>200</v>
      </c>
      <c r="G1349" s="2" t="s">
        <v>3842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3843</v>
      </c>
      <c r="N1349" s="4"/>
      <c r="O1349" s="5"/>
      <c r="P1349" s="4"/>
      <c r="Q1349" s="21" t="str">
        <f>VLOOKUP(tblProductos[[#This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4086</v>
      </c>
      <c r="D1350" s="2" t="s">
        <v>4030</v>
      </c>
      <c r="E1350" s="2" t="s">
        <v>4087</v>
      </c>
      <c r="F1350" s="2">
        <v>200</v>
      </c>
      <c r="G1350" s="2" t="s">
        <v>3842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3843</v>
      </c>
      <c r="N1350" s="4"/>
      <c r="O1350" s="5"/>
      <c r="P1350" s="4"/>
      <c r="Q1350" s="21" t="str">
        <f>VLOOKUP(tblProductos[[#This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4086</v>
      </c>
      <c r="D1351" s="2" t="s">
        <v>4018</v>
      </c>
      <c r="E1351" s="2" t="s">
        <v>4087</v>
      </c>
      <c r="F1351" s="2">
        <v>200</v>
      </c>
      <c r="G1351" s="2" t="s">
        <v>3842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3843</v>
      </c>
      <c r="N1351" s="4"/>
      <c r="O1351" s="5"/>
      <c r="P1351" s="4"/>
      <c r="Q1351" s="21" t="str">
        <f>VLOOKUP(tblProductos[[#This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4086</v>
      </c>
      <c r="D1352" s="2" t="s">
        <v>4009</v>
      </c>
      <c r="E1352" s="2" t="s">
        <v>4087</v>
      </c>
      <c r="F1352" s="2">
        <v>200</v>
      </c>
      <c r="G1352" s="2" t="s">
        <v>3842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3843</v>
      </c>
      <c r="N1352" s="4"/>
      <c r="O1352" s="5"/>
      <c r="P1352" s="4"/>
      <c r="Q1352" s="21" t="str">
        <f>VLOOKUP(tblProductos[[#This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4086</v>
      </c>
      <c r="D1353" s="2" t="s">
        <v>4012</v>
      </c>
      <c r="E1353" s="2" t="s">
        <v>4087</v>
      </c>
      <c r="F1353" s="2">
        <v>200</v>
      </c>
      <c r="G1353" s="2" t="s">
        <v>3842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3843</v>
      </c>
      <c r="N1353" s="4"/>
      <c r="O1353" s="5"/>
      <c r="P1353" s="4"/>
      <c r="Q1353" s="21" t="str">
        <f>VLOOKUP(tblProductos[[#This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4086</v>
      </c>
      <c r="D1354" s="2" t="s">
        <v>4013</v>
      </c>
      <c r="E1354" s="2" t="s">
        <v>4087</v>
      </c>
      <c r="F1354" s="2">
        <v>200</v>
      </c>
      <c r="G1354" s="2" t="s">
        <v>3842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3843</v>
      </c>
      <c r="N1354" s="4"/>
      <c r="O1354" s="5"/>
      <c r="P1354" s="4"/>
      <c r="Q1354" s="21" t="str">
        <f>VLOOKUP(tblProductos[[#This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4086</v>
      </c>
      <c r="D1355" s="2" t="s">
        <v>3923</v>
      </c>
      <c r="E1355" s="2" t="s">
        <v>4087</v>
      </c>
      <c r="F1355" s="2">
        <v>200</v>
      </c>
      <c r="G1355" s="2" t="s">
        <v>3842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3843</v>
      </c>
      <c r="N1355" s="4"/>
      <c r="O1355" s="5"/>
      <c r="P1355" s="4"/>
      <c r="Q1355" s="21" t="str">
        <f>VLOOKUP(tblProductos[[#This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4086</v>
      </c>
      <c r="D1356" s="2" t="s">
        <v>4019</v>
      </c>
      <c r="E1356" s="2" t="s">
        <v>4087</v>
      </c>
      <c r="F1356" s="2">
        <v>200</v>
      </c>
      <c r="G1356" s="2" t="s">
        <v>3842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3843</v>
      </c>
      <c r="N1356" s="4"/>
      <c r="O1356" s="5"/>
      <c r="P1356" s="4"/>
      <c r="Q1356" s="21" t="str">
        <f>VLOOKUP(tblProductos[[#This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4086</v>
      </c>
      <c r="D1357" s="2" t="s">
        <v>4032</v>
      </c>
      <c r="E1357" s="2" t="s">
        <v>4087</v>
      </c>
      <c r="F1357" s="2">
        <v>200</v>
      </c>
      <c r="G1357" s="2" t="s">
        <v>3842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3843</v>
      </c>
      <c r="N1357" s="4"/>
      <c r="O1357" s="5"/>
      <c r="P1357" s="4"/>
      <c r="Q1357" s="21" t="str">
        <f>VLOOKUP(tblProductos[[#This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4086</v>
      </c>
      <c r="D1358" s="2" t="s">
        <v>4007</v>
      </c>
      <c r="E1358" s="2" t="s">
        <v>4087</v>
      </c>
      <c r="F1358" s="2">
        <v>200</v>
      </c>
      <c r="G1358" s="2" t="s">
        <v>3842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3843</v>
      </c>
      <c r="N1358" s="4"/>
      <c r="O1358" s="5"/>
      <c r="P1358" s="4"/>
      <c r="Q1358" s="21" t="str">
        <f>VLOOKUP(tblProductos[[#This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4086</v>
      </c>
      <c r="D1359" s="2" t="s">
        <v>3888</v>
      </c>
      <c r="E1359" s="2" t="s">
        <v>4087</v>
      </c>
      <c r="F1359" s="2">
        <v>200</v>
      </c>
      <c r="G1359" s="2" t="s">
        <v>3842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3843</v>
      </c>
      <c r="N1359" s="4"/>
      <c r="O1359" s="5"/>
      <c r="P1359" s="4"/>
      <c r="Q1359" s="21" t="str">
        <f>VLOOKUP(tblProductos[[#This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4086</v>
      </c>
      <c r="D1360" s="2" t="s">
        <v>4033</v>
      </c>
      <c r="E1360" s="2" t="s">
        <v>4087</v>
      </c>
      <c r="F1360" s="2">
        <v>200</v>
      </c>
      <c r="G1360" s="2" t="s">
        <v>3842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3843</v>
      </c>
      <c r="N1360" s="4"/>
      <c r="O1360" s="5"/>
      <c r="P1360" s="4"/>
      <c r="Q1360" s="21" t="str">
        <f>VLOOKUP(tblProductos[[#This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4086</v>
      </c>
      <c r="D1361" s="2" t="s">
        <v>4144</v>
      </c>
      <c r="E1361" s="2" t="s">
        <v>4087</v>
      </c>
      <c r="F1361" s="2">
        <v>200</v>
      </c>
      <c r="G1361" s="2" t="s">
        <v>3842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3843</v>
      </c>
      <c r="N1361" s="4"/>
      <c r="O1361" s="5"/>
      <c r="P1361" s="4"/>
      <c r="Q1361" s="21" t="str">
        <f>VLOOKUP(tblProductos[[#This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4086</v>
      </c>
      <c r="D1362" s="2" t="s">
        <v>4014</v>
      </c>
      <c r="E1362" s="2" t="s">
        <v>4087</v>
      </c>
      <c r="F1362" s="2">
        <v>200</v>
      </c>
      <c r="G1362" s="2" t="s">
        <v>3842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3843</v>
      </c>
      <c r="N1362" s="4"/>
      <c r="O1362" s="5"/>
      <c r="P1362" s="4"/>
      <c r="Q1362" s="21" t="str">
        <f>VLOOKUP(tblProductos[[#This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4086</v>
      </c>
      <c r="D1363" s="2" t="s">
        <v>4008</v>
      </c>
      <c r="E1363" s="2" t="s">
        <v>4087</v>
      </c>
      <c r="F1363" s="2">
        <v>200</v>
      </c>
      <c r="G1363" s="2" t="s">
        <v>3842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3843</v>
      </c>
      <c r="N1363" s="4"/>
      <c r="O1363" s="5"/>
      <c r="P1363" s="4"/>
      <c r="Q1363" s="21" t="str">
        <f>VLOOKUP(tblProductos[[#This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4086</v>
      </c>
      <c r="D1364" s="2" t="s">
        <v>4020</v>
      </c>
      <c r="E1364" s="2" t="s">
        <v>4087</v>
      </c>
      <c r="F1364" s="2">
        <v>200</v>
      </c>
      <c r="G1364" s="2" t="s">
        <v>3842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3843</v>
      </c>
      <c r="N1364" s="4"/>
      <c r="O1364" s="5"/>
      <c r="P1364" s="4"/>
      <c r="Q1364" s="21" t="str">
        <f>VLOOKUP(tblProductos[[#This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4086</v>
      </c>
      <c r="D1365" s="2" t="s">
        <v>4016</v>
      </c>
      <c r="E1365" s="2" t="s">
        <v>4087</v>
      </c>
      <c r="F1365" s="2">
        <v>200</v>
      </c>
      <c r="G1365" s="2" t="s">
        <v>3842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3843</v>
      </c>
      <c r="N1365" s="4"/>
      <c r="O1365" s="5"/>
      <c r="P1365" s="4"/>
      <c r="Q1365" s="21" t="str">
        <f>VLOOKUP(tblProductos[[#This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4086</v>
      </c>
      <c r="D1366" s="2" t="s">
        <v>4145</v>
      </c>
      <c r="E1366" s="2" t="s">
        <v>4087</v>
      </c>
      <c r="F1366" s="2">
        <v>200</v>
      </c>
      <c r="G1366" s="2" t="s">
        <v>3842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3843</v>
      </c>
      <c r="N1366" s="4"/>
      <c r="O1366" s="5"/>
      <c r="P1366" s="4"/>
      <c r="Q1366" s="21" t="str">
        <f>VLOOKUP(tblProductos[[#This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4086</v>
      </c>
      <c r="D1367" s="2" t="s">
        <v>4021</v>
      </c>
      <c r="E1367" s="2" t="s">
        <v>4087</v>
      </c>
      <c r="F1367" s="2">
        <v>200</v>
      </c>
      <c r="G1367" s="2" t="s">
        <v>3842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3843</v>
      </c>
      <c r="N1367" s="4"/>
      <c r="O1367" s="5"/>
      <c r="P1367" s="4"/>
      <c r="Q1367" s="21" t="str">
        <f>VLOOKUP(tblProductos[[#This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4086</v>
      </c>
      <c r="D1368" s="2" t="s">
        <v>4015</v>
      </c>
      <c r="E1368" s="2" t="s">
        <v>4087</v>
      </c>
      <c r="F1368" s="2">
        <v>200</v>
      </c>
      <c r="G1368" s="2" t="s">
        <v>3842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3843</v>
      </c>
      <c r="N1368" s="4"/>
      <c r="O1368" s="5"/>
      <c r="P1368" s="4"/>
      <c r="Q1368" s="21" t="str">
        <f>VLOOKUP(tblProductos[[#This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4086</v>
      </c>
      <c r="D1369" s="2" t="s">
        <v>4054</v>
      </c>
      <c r="E1369" s="2" t="s">
        <v>4087</v>
      </c>
      <c r="F1369" s="2">
        <v>200</v>
      </c>
      <c r="G1369" s="2" t="s">
        <v>3842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3843</v>
      </c>
      <c r="N1369" s="4"/>
      <c r="O1369" s="5"/>
      <c r="P1369" s="4"/>
      <c r="Q1369" s="21" t="str">
        <f>VLOOKUP(tblProductos[[#This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4086</v>
      </c>
      <c r="D1370" s="2" t="s">
        <v>4118</v>
      </c>
      <c r="E1370" s="2" t="s">
        <v>4087</v>
      </c>
      <c r="F1370" s="2">
        <v>200</v>
      </c>
      <c r="G1370" s="2" t="s">
        <v>3842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3843</v>
      </c>
      <c r="N1370" s="4"/>
      <c r="O1370" s="5"/>
      <c r="P1370" s="4"/>
      <c r="Q1370" s="21" t="str">
        <f>VLOOKUP(tblProductos[[#This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4086</v>
      </c>
      <c r="D1371" s="2" t="s">
        <v>4022</v>
      </c>
      <c r="E1371" s="2" t="s">
        <v>4087</v>
      </c>
      <c r="F1371" s="2">
        <v>200</v>
      </c>
      <c r="G1371" s="2" t="s">
        <v>3842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3843</v>
      </c>
      <c r="N1371" s="4"/>
      <c r="O1371" s="5"/>
      <c r="P1371" s="4"/>
      <c r="Q1371" s="21" t="str">
        <f>VLOOKUP(tblProductos[[#This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4086</v>
      </c>
      <c r="D1372" s="2" t="s">
        <v>3919</v>
      </c>
      <c r="E1372" s="2" t="s">
        <v>4087</v>
      </c>
      <c r="F1372" s="2">
        <v>200</v>
      </c>
      <c r="G1372" s="2" t="s">
        <v>3842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3843</v>
      </c>
      <c r="N1372" s="4"/>
      <c r="O1372" s="5"/>
      <c r="P1372" s="4"/>
      <c r="Q1372" s="21" t="str">
        <f>VLOOKUP(tblProductos[[#This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4086</v>
      </c>
      <c r="D1373" s="2" t="s">
        <v>4023</v>
      </c>
      <c r="E1373" s="2" t="s">
        <v>4087</v>
      </c>
      <c r="F1373" s="2">
        <v>200</v>
      </c>
      <c r="G1373" s="2" t="s">
        <v>3842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3843</v>
      </c>
      <c r="N1373" s="4"/>
      <c r="O1373" s="5"/>
      <c r="P1373" s="4"/>
      <c r="Q1373" s="21" t="str">
        <f>VLOOKUP(tblProductos[[#This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4086</v>
      </c>
      <c r="D1374" s="2" t="s">
        <v>4029</v>
      </c>
      <c r="E1374" s="2" t="s">
        <v>4087</v>
      </c>
      <c r="F1374" s="2">
        <v>200</v>
      </c>
      <c r="G1374" s="2" t="s">
        <v>3842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3843</v>
      </c>
      <c r="N1374" s="4"/>
      <c r="O1374" s="5"/>
      <c r="P1374" s="4"/>
      <c r="Q1374" s="21" t="str">
        <f>VLOOKUP(tblProductos[[#This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4086</v>
      </c>
      <c r="D1375" s="2" t="s">
        <v>4024</v>
      </c>
      <c r="E1375" s="2" t="s">
        <v>4087</v>
      </c>
      <c r="F1375" s="2">
        <v>200</v>
      </c>
      <c r="G1375" s="2" t="s">
        <v>3842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3843</v>
      </c>
      <c r="N1375" s="4"/>
      <c r="O1375" s="5"/>
      <c r="P1375" s="4"/>
      <c r="Q1375" s="21" t="str">
        <f>VLOOKUP(tblProductos[[#This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4086</v>
      </c>
      <c r="D1376" s="2" t="s">
        <v>4034</v>
      </c>
      <c r="E1376" s="2" t="s">
        <v>4087</v>
      </c>
      <c r="F1376" s="2">
        <v>200</v>
      </c>
      <c r="G1376" s="2" t="s">
        <v>3842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3843</v>
      </c>
      <c r="N1376" s="4"/>
      <c r="O1376" s="5"/>
      <c r="P1376" s="4"/>
      <c r="Q1376" s="21" t="str">
        <f>VLOOKUP(tblProductos[[#This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4086</v>
      </c>
      <c r="D1377" s="2" t="s">
        <v>4035</v>
      </c>
      <c r="E1377" s="2" t="s">
        <v>4087</v>
      </c>
      <c r="F1377" s="2">
        <v>200</v>
      </c>
      <c r="G1377" s="2" t="s">
        <v>3842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3843</v>
      </c>
      <c r="N1377" s="4"/>
      <c r="O1377" s="5"/>
      <c r="P1377" s="4"/>
      <c r="Q1377" s="21" t="str">
        <f>VLOOKUP(tblProductos[[#This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4086</v>
      </c>
      <c r="D1378" s="2" t="s">
        <v>4017</v>
      </c>
      <c r="E1378" s="2" t="s">
        <v>4087</v>
      </c>
      <c r="F1378" s="2">
        <v>200</v>
      </c>
      <c r="G1378" s="2" t="s">
        <v>3842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3843</v>
      </c>
      <c r="N1378" s="4"/>
      <c r="O1378" s="5"/>
      <c r="P1378" s="4"/>
      <c r="Q1378" s="21" t="str">
        <f>VLOOKUP(tblProductos[[#This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4086</v>
      </c>
      <c r="D1379" s="2" t="s">
        <v>4010</v>
      </c>
      <c r="E1379" s="2" t="s">
        <v>4087</v>
      </c>
      <c r="F1379" s="2">
        <v>200</v>
      </c>
      <c r="G1379" s="2" t="s">
        <v>3842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3843</v>
      </c>
      <c r="N1379" s="4"/>
      <c r="O1379" s="5"/>
      <c r="P1379" s="4"/>
      <c r="Q1379" s="21" t="str">
        <f>VLOOKUP(tblProductos[[#This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4086</v>
      </c>
      <c r="D1380" s="2" t="s">
        <v>4125</v>
      </c>
      <c r="E1380" s="2" t="s">
        <v>4087</v>
      </c>
      <c r="F1380" s="2">
        <v>200</v>
      </c>
      <c r="G1380" s="2" t="s">
        <v>3842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3843</v>
      </c>
      <c r="N1380" s="4"/>
      <c r="O1380" s="5"/>
      <c r="P1380" s="4"/>
      <c r="Q1380" s="21" t="str">
        <f>VLOOKUP(tblProductos[[#This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4086</v>
      </c>
      <c r="D1381" s="2" t="s">
        <v>4056</v>
      </c>
      <c r="E1381" s="2" t="s">
        <v>4087</v>
      </c>
      <c r="F1381" s="2">
        <v>200</v>
      </c>
      <c r="G1381" s="2" t="s">
        <v>3842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3843</v>
      </c>
      <c r="N1381" s="4"/>
      <c r="O1381" s="5"/>
      <c r="P1381" s="4"/>
      <c r="Q1381" s="21" t="str">
        <f>VLOOKUP(tblProductos[[#This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4086</v>
      </c>
      <c r="D1382" s="2" t="s">
        <v>4006</v>
      </c>
      <c r="E1382" s="2" t="s">
        <v>4087</v>
      </c>
      <c r="F1382" s="2">
        <v>200</v>
      </c>
      <c r="G1382" s="2" t="s">
        <v>3842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3843</v>
      </c>
      <c r="N1382" s="4"/>
      <c r="O1382" s="5"/>
      <c r="P1382" s="4"/>
      <c r="Q1382" s="21" t="str">
        <f>VLOOKUP(tblProductos[[#This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4086</v>
      </c>
      <c r="D1383" s="2" t="s">
        <v>4143</v>
      </c>
      <c r="E1383" s="2" t="s">
        <v>4087</v>
      </c>
      <c r="F1383" s="2">
        <v>200</v>
      </c>
      <c r="G1383" s="2" t="s">
        <v>3842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3843</v>
      </c>
      <c r="N1383" s="4"/>
      <c r="O1383" s="5"/>
      <c r="P1383" s="4"/>
      <c r="Q1383" s="21" t="str">
        <f>VLOOKUP(tblProductos[[#This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4086</v>
      </c>
      <c r="D1384" s="2" t="s">
        <v>4031</v>
      </c>
      <c r="E1384" s="2" t="s">
        <v>4087</v>
      </c>
      <c r="F1384" s="2">
        <v>200</v>
      </c>
      <c r="G1384" s="2" t="s">
        <v>3842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3843</v>
      </c>
      <c r="N1384" s="4"/>
      <c r="O1384" s="5"/>
      <c r="P1384" s="4"/>
      <c r="Q1384" s="21" t="str">
        <f>VLOOKUP(tblProductos[[#This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4086</v>
      </c>
      <c r="D1385" s="2" t="s">
        <v>4011</v>
      </c>
      <c r="E1385" s="2" t="s">
        <v>4087</v>
      </c>
      <c r="F1385" s="2">
        <v>200</v>
      </c>
      <c r="G1385" s="2" t="s">
        <v>3842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3843</v>
      </c>
      <c r="N1385" s="4"/>
      <c r="O1385" s="5"/>
      <c r="P1385" s="4"/>
      <c r="Q1385" s="21" t="str">
        <f>VLOOKUP(tblProductos[[#This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4086</v>
      </c>
      <c r="D1386" s="2" t="s">
        <v>4030</v>
      </c>
      <c r="E1386" s="2" t="s">
        <v>4087</v>
      </c>
      <c r="F1386" s="2">
        <v>200</v>
      </c>
      <c r="G1386" s="2" t="s">
        <v>3842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3843</v>
      </c>
      <c r="N1386" s="4"/>
      <c r="O1386" s="5"/>
      <c r="P1386" s="4"/>
      <c r="Q1386" s="21" t="str">
        <f>VLOOKUP(tblProductos[[#This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4086</v>
      </c>
      <c r="D1387" s="2" t="s">
        <v>4018</v>
      </c>
      <c r="E1387" s="2" t="s">
        <v>4087</v>
      </c>
      <c r="F1387" s="2">
        <v>200</v>
      </c>
      <c r="G1387" s="2" t="s">
        <v>3842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3843</v>
      </c>
      <c r="N1387" s="4"/>
      <c r="O1387" s="5"/>
      <c r="P1387" s="4"/>
      <c r="Q1387" s="21" t="str">
        <f>VLOOKUP(tblProductos[[#This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4086</v>
      </c>
      <c r="D1388" s="2" t="s">
        <v>4009</v>
      </c>
      <c r="E1388" s="2" t="s">
        <v>4087</v>
      </c>
      <c r="F1388" s="2">
        <v>200</v>
      </c>
      <c r="G1388" s="2" t="s">
        <v>3842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3843</v>
      </c>
      <c r="N1388" s="4"/>
      <c r="O1388" s="5"/>
      <c r="P1388" s="4"/>
      <c r="Q1388" s="21" t="str">
        <f>VLOOKUP(tblProductos[[#This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4086</v>
      </c>
      <c r="D1389" s="2" t="s">
        <v>4012</v>
      </c>
      <c r="E1389" s="2" t="s">
        <v>4087</v>
      </c>
      <c r="F1389" s="2">
        <v>200</v>
      </c>
      <c r="G1389" s="2" t="s">
        <v>3842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3843</v>
      </c>
      <c r="N1389" s="4"/>
      <c r="O1389" s="5"/>
      <c r="P1389" s="4"/>
      <c r="Q1389" s="21" t="str">
        <f>VLOOKUP(tblProductos[[#This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4086</v>
      </c>
      <c r="D1390" s="2" t="s">
        <v>4013</v>
      </c>
      <c r="E1390" s="2" t="s">
        <v>4087</v>
      </c>
      <c r="F1390" s="2">
        <v>200</v>
      </c>
      <c r="G1390" s="2" t="s">
        <v>3842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3843</v>
      </c>
      <c r="N1390" s="4"/>
      <c r="O1390" s="5"/>
      <c r="P1390" s="4"/>
      <c r="Q1390" s="21" t="str">
        <f>VLOOKUP(tblProductos[[#This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4086</v>
      </c>
      <c r="D1391" s="2" t="s">
        <v>3923</v>
      </c>
      <c r="E1391" s="2" t="s">
        <v>4087</v>
      </c>
      <c r="F1391" s="2">
        <v>200</v>
      </c>
      <c r="G1391" s="2" t="s">
        <v>3842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3843</v>
      </c>
      <c r="N1391" s="4"/>
      <c r="O1391" s="5"/>
      <c r="P1391" s="4"/>
      <c r="Q1391" s="21" t="str">
        <f>VLOOKUP(tblProductos[[#This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4086</v>
      </c>
      <c r="D1392" s="2" t="s">
        <v>4019</v>
      </c>
      <c r="E1392" s="2" t="s">
        <v>4087</v>
      </c>
      <c r="F1392" s="2">
        <v>200</v>
      </c>
      <c r="G1392" s="2" t="s">
        <v>3842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3843</v>
      </c>
      <c r="N1392" s="4"/>
      <c r="O1392" s="5"/>
      <c r="P1392" s="4"/>
      <c r="Q1392" s="21" t="str">
        <f>VLOOKUP(tblProductos[[#This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4086</v>
      </c>
      <c r="D1393" s="2" t="s">
        <v>4032</v>
      </c>
      <c r="E1393" s="2" t="s">
        <v>4087</v>
      </c>
      <c r="F1393" s="2">
        <v>200</v>
      </c>
      <c r="G1393" s="2" t="s">
        <v>3842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3843</v>
      </c>
      <c r="N1393" s="4"/>
      <c r="O1393" s="5"/>
      <c r="P1393" s="4"/>
      <c r="Q1393" s="21" t="str">
        <f>VLOOKUP(tblProductos[[#This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4086</v>
      </c>
      <c r="D1394" s="2" t="s">
        <v>4007</v>
      </c>
      <c r="E1394" s="2" t="s">
        <v>4087</v>
      </c>
      <c r="F1394" s="2">
        <v>200</v>
      </c>
      <c r="G1394" s="2" t="s">
        <v>3842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3843</v>
      </c>
      <c r="N1394" s="4"/>
      <c r="O1394" s="5"/>
      <c r="P1394" s="4"/>
      <c r="Q1394" s="21" t="str">
        <f>VLOOKUP(tblProductos[[#This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4086</v>
      </c>
      <c r="D1395" s="2" t="s">
        <v>3888</v>
      </c>
      <c r="E1395" s="2" t="s">
        <v>4087</v>
      </c>
      <c r="F1395" s="2">
        <v>200</v>
      </c>
      <c r="G1395" s="2" t="s">
        <v>3842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3843</v>
      </c>
      <c r="N1395" s="4"/>
      <c r="O1395" s="5"/>
      <c r="P1395" s="4"/>
      <c r="Q1395" s="21" t="str">
        <f>VLOOKUP(tblProductos[[#This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4086</v>
      </c>
      <c r="D1396" s="2" t="s">
        <v>4033</v>
      </c>
      <c r="E1396" s="2" t="s">
        <v>4087</v>
      </c>
      <c r="F1396" s="2">
        <v>200</v>
      </c>
      <c r="G1396" s="2" t="s">
        <v>3842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3843</v>
      </c>
      <c r="N1396" s="4"/>
      <c r="O1396" s="5"/>
      <c r="P1396" s="4"/>
      <c r="Q1396" s="21" t="str">
        <f>VLOOKUP(tblProductos[[#This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4086</v>
      </c>
      <c r="D1397" s="2" t="s">
        <v>4144</v>
      </c>
      <c r="E1397" s="2" t="s">
        <v>4087</v>
      </c>
      <c r="F1397" s="2">
        <v>200</v>
      </c>
      <c r="G1397" s="2" t="s">
        <v>3842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3843</v>
      </c>
      <c r="N1397" s="4"/>
      <c r="O1397" s="5"/>
      <c r="P1397" s="4"/>
      <c r="Q1397" s="21" t="str">
        <f>VLOOKUP(tblProductos[[#This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4086</v>
      </c>
      <c r="D1398" s="2" t="s">
        <v>4014</v>
      </c>
      <c r="E1398" s="2" t="s">
        <v>4087</v>
      </c>
      <c r="F1398" s="2">
        <v>200</v>
      </c>
      <c r="G1398" s="2" t="s">
        <v>3842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3843</v>
      </c>
      <c r="N1398" s="4"/>
      <c r="O1398" s="5"/>
      <c r="P1398" s="4"/>
      <c r="Q1398" s="21" t="str">
        <f>VLOOKUP(tblProductos[[#This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4086</v>
      </c>
      <c r="D1399" s="2" t="s">
        <v>4008</v>
      </c>
      <c r="E1399" s="2" t="s">
        <v>4087</v>
      </c>
      <c r="F1399" s="2">
        <v>200</v>
      </c>
      <c r="G1399" s="2" t="s">
        <v>3842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3843</v>
      </c>
      <c r="N1399" s="4"/>
      <c r="O1399" s="5"/>
      <c r="P1399" s="4"/>
      <c r="Q1399" s="21" t="str">
        <f>VLOOKUP(tblProductos[[#This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4086</v>
      </c>
      <c r="D1400" s="2" t="s">
        <v>4020</v>
      </c>
      <c r="E1400" s="2" t="s">
        <v>4087</v>
      </c>
      <c r="F1400" s="2">
        <v>200</v>
      </c>
      <c r="G1400" s="2" t="s">
        <v>3842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3843</v>
      </c>
      <c r="N1400" s="4"/>
      <c r="O1400" s="5"/>
      <c r="P1400" s="4"/>
      <c r="Q1400" s="21" t="str">
        <f>VLOOKUP(tblProductos[[#This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4086</v>
      </c>
      <c r="D1401" s="2" t="s">
        <v>4016</v>
      </c>
      <c r="E1401" s="2" t="s">
        <v>4087</v>
      </c>
      <c r="F1401" s="2">
        <v>200</v>
      </c>
      <c r="G1401" s="2" t="s">
        <v>3842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3843</v>
      </c>
      <c r="N1401" s="4"/>
      <c r="O1401" s="5"/>
      <c r="P1401" s="4"/>
      <c r="Q1401" s="21" t="str">
        <f>VLOOKUP(tblProductos[[#This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4086</v>
      </c>
      <c r="D1402" s="2" t="s">
        <v>4145</v>
      </c>
      <c r="E1402" s="2" t="s">
        <v>4087</v>
      </c>
      <c r="F1402" s="2">
        <v>200</v>
      </c>
      <c r="G1402" s="2" t="s">
        <v>3842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3843</v>
      </c>
      <c r="N1402" s="4"/>
      <c r="O1402" s="5"/>
      <c r="P1402" s="4"/>
      <c r="Q1402" s="21" t="str">
        <f>VLOOKUP(tblProductos[[#This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4086</v>
      </c>
      <c r="D1403" s="2" t="s">
        <v>4021</v>
      </c>
      <c r="E1403" s="2" t="s">
        <v>4087</v>
      </c>
      <c r="F1403" s="2">
        <v>200</v>
      </c>
      <c r="G1403" s="2" t="s">
        <v>3842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3843</v>
      </c>
      <c r="N1403" s="4"/>
      <c r="O1403" s="5"/>
      <c r="P1403" s="4"/>
      <c r="Q1403" s="21" t="str">
        <f>VLOOKUP(tblProductos[[#This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4086</v>
      </c>
      <c r="D1404" s="2" t="s">
        <v>4015</v>
      </c>
      <c r="E1404" s="2" t="s">
        <v>4087</v>
      </c>
      <c r="F1404" s="2">
        <v>200</v>
      </c>
      <c r="G1404" s="2" t="s">
        <v>3842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3843</v>
      </c>
      <c r="N1404" s="4"/>
      <c r="O1404" s="5"/>
      <c r="P1404" s="4"/>
      <c r="Q1404" s="21" t="str">
        <f>VLOOKUP(tblProductos[[#This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4086</v>
      </c>
      <c r="D1405" s="2" t="s">
        <v>4054</v>
      </c>
      <c r="E1405" s="2" t="s">
        <v>4087</v>
      </c>
      <c r="F1405" s="2">
        <v>200</v>
      </c>
      <c r="G1405" s="2" t="s">
        <v>3842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3843</v>
      </c>
      <c r="N1405" s="4"/>
      <c r="O1405" s="5"/>
      <c r="P1405" s="4"/>
      <c r="Q1405" s="21" t="str">
        <f>VLOOKUP(tblProductos[[#This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4086</v>
      </c>
      <c r="D1406" s="2" t="s">
        <v>4118</v>
      </c>
      <c r="E1406" s="2" t="s">
        <v>4087</v>
      </c>
      <c r="F1406" s="2">
        <v>200</v>
      </c>
      <c r="G1406" s="2" t="s">
        <v>3842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3843</v>
      </c>
      <c r="N1406" s="4"/>
      <c r="O1406" s="5"/>
      <c r="P1406" s="4"/>
      <c r="Q1406" s="21" t="str">
        <f>VLOOKUP(tblProductos[[#This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4086</v>
      </c>
      <c r="D1407" s="2" t="s">
        <v>4022</v>
      </c>
      <c r="E1407" s="2" t="s">
        <v>4087</v>
      </c>
      <c r="F1407" s="2">
        <v>200</v>
      </c>
      <c r="G1407" s="2" t="s">
        <v>3842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3843</v>
      </c>
      <c r="N1407" s="4"/>
      <c r="O1407" s="5"/>
      <c r="P1407" s="4"/>
      <c r="Q1407" s="21" t="str">
        <f>VLOOKUP(tblProductos[[#This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4086</v>
      </c>
      <c r="D1408" s="2" t="s">
        <v>3919</v>
      </c>
      <c r="E1408" s="2" t="s">
        <v>4087</v>
      </c>
      <c r="F1408" s="2">
        <v>200</v>
      </c>
      <c r="G1408" s="2" t="s">
        <v>3842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3843</v>
      </c>
      <c r="N1408" s="4"/>
      <c r="O1408" s="5"/>
      <c r="P1408" s="4"/>
      <c r="Q1408" s="21" t="str">
        <f>VLOOKUP(tblProductos[[#This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4086</v>
      </c>
      <c r="D1409" s="2" t="s">
        <v>4023</v>
      </c>
      <c r="E1409" s="2" t="s">
        <v>4087</v>
      </c>
      <c r="F1409" s="2">
        <v>200</v>
      </c>
      <c r="G1409" s="2" t="s">
        <v>3842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3843</v>
      </c>
      <c r="N1409" s="4"/>
      <c r="O1409" s="5"/>
      <c r="P1409" s="4"/>
      <c r="Q1409" s="21" t="str">
        <f>VLOOKUP(tblProductos[[#This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4086</v>
      </c>
      <c r="D1410" s="2" t="s">
        <v>4029</v>
      </c>
      <c r="E1410" s="2" t="s">
        <v>4087</v>
      </c>
      <c r="F1410" s="2">
        <v>200</v>
      </c>
      <c r="G1410" s="2" t="s">
        <v>3842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3843</v>
      </c>
      <c r="N1410" s="4"/>
      <c r="O1410" s="5"/>
      <c r="P1410" s="4"/>
      <c r="Q1410" s="21" t="str">
        <f>VLOOKUP(tblProductos[[#This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4086</v>
      </c>
      <c r="D1411" s="2" t="s">
        <v>4024</v>
      </c>
      <c r="E1411" s="2" t="s">
        <v>4087</v>
      </c>
      <c r="F1411" s="2">
        <v>200</v>
      </c>
      <c r="G1411" s="2" t="s">
        <v>3842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3843</v>
      </c>
      <c r="N1411" s="4"/>
      <c r="O1411" s="5"/>
      <c r="P1411" s="4"/>
      <c r="Q1411" s="21" t="str">
        <f>VLOOKUP(tblProductos[[#This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4086</v>
      </c>
      <c r="D1412" s="2" t="s">
        <v>4034</v>
      </c>
      <c r="E1412" s="2" t="s">
        <v>4087</v>
      </c>
      <c r="F1412" s="2">
        <v>200</v>
      </c>
      <c r="G1412" s="2" t="s">
        <v>3842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3843</v>
      </c>
      <c r="N1412" s="4"/>
      <c r="O1412" s="5"/>
      <c r="P1412" s="4"/>
      <c r="Q1412" s="21" t="str">
        <f>VLOOKUP(tblProductos[[#This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4086</v>
      </c>
      <c r="D1413" s="2" t="s">
        <v>4035</v>
      </c>
      <c r="E1413" s="2" t="s">
        <v>4087</v>
      </c>
      <c r="F1413" s="2">
        <v>200</v>
      </c>
      <c r="G1413" s="2" t="s">
        <v>3842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3843</v>
      </c>
      <c r="N1413" s="4"/>
      <c r="O1413" s="5"/>
      <c r="P1413" s="4"/>
      <c r="Q1413" s="21" t="str">
        <f>VLOOKUP(tblProductos[[#This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4126</v>
      </c>
      <c r="D1414" s="2" t="s">
        <v>4017</v>
      </c>
      <c r="E1414" s="2" t="s">
        <v>4127</v>
      </c>
      <c r="F1414" s="2">
        <v>200</v>
      </c>
      <c r="G1414" s="2" t="s">
        <v>3842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3843</v>
      </c>
      <c r="N1414" s="4"/>
      <c r="O1414" s="5"/>
      <c r="P1414" s="4"/>
      <c r="Q1414" s="21" t="str">
        <f>VLOOKUP(tblProductos[[#This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4126</v>
      </c>
      <c r="D1415" s="2" t="s">
        <v>4010</v>
      </c>
      <c r="E1415" s="2" t="s">
        <v>4127</v>
      </c>
      <c r="F1415" s="2">
        <v>200</v>
      </c>
      <c r="G1415" s="2" t="s">
        <v>3842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3843</v>
      </c>
      <c r="N1415" s="4"/>
      <c r="O1415" s="5"/>
      <c r="P1415" s="4"/>
      <c r="Q1415" s="21" t="str">
        <f>VLOOKUP(tblProductos[[#This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4126</v>
      </c>
      <c r="D1416" s="2" t="s">
        <v>4125</v>
      </c>
      <c r="E1416" s="2" t="s">
        <v>4127</v>
      </c>
      <c r="F1416" s="2">
        <v>200</v>
      </c>
      <c r="G1416" s="2" t="s">
        <v>3842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3843</v>
      </c>
      <c r="N1416" s="4"/>
      <c r="O1416" s="5"/>
      <c r="P1416" s="4"/>
      <c r="Q1416" s="21" t="str">
        <f>VLOOKUP(tblProductos[[#This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4126</v>
      </c>
      <c r="D1417" s="2" t="s">
        <v>4056</v>
      </c>
      <c r="E1417" s="2" t="s">
        <v>4127</v>
      </c>
      <c r="F1417" s="2">
        <v>200</v>
      </c>
      <c r="G1417" s="2" t="s">
        <v>3842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3843</v>
      </c>
      <c r="N1417" s="4"/>
      <c r="O1417" s="5"/>
      <c r="P1417" s="4"/>
      <c r="Q1417" s="21" t="str">
        <f>VLOOKUP(tblProductos[[#This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4126</v>
      </c>
      <c r="D1418" s="2" t="s">
        <v>4006</v>
      </c>
      <c r="E1418" s="2" t="s">
        <v>4127</v>
      </c>
      <c r="F1418" s="2">
        <v>200</v>
      </c>
      <c r="G1418" s="2" t="s">
        <v>3842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3843</v>
      </c>
      <c r="N1418" s="4"/>
      <c r="O1418" s="5"/>
      <c r="P1418" s="4"/>
      <c r="Q1418" s="21" t="str">
        <f>VLOOKUP(tblProductos[[#This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4126</v>
      </c>
      <c r="D1419" s="2" t="s">
        <v>4143</v>
      </c>
      <c r="E1419" s="2" t="s">
        <v>4127</v>
      </c>
      <c r="F1419" s="2">
        <v>200</v>
      </c>
      <c r="G1419" s="2" t="s">
        <v>3842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3843</v>
      </c>
      <c r="N1419" s="4"/>
      <c r="O1419" s="5"/>
      <c r="P1419" s="4"/>
      <c r="Q1419" s="21" t="str">
        <f>VLOOKUP(tblProductos[[#This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4126</v>
      </c>
      <c r="D1420" s="2" t="s">
        <v>4031</v>
      </c>
      <c r="E1420" s="2" t="s">
        <v>4127</v>
      </c>
      <c r="F1420" s="2">
        <v>200</v>
      </c>
      <c r="G1420" s="2" t="s">
        <v>3842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3843</v>
      </c>
      <c r="N1420" s="4"/>
      <c r="O1420" s="5"/>
      <c r="P1420" s="4"/>
      <c r="Q1420" s="21" t="str">
        <f>VLOOKUP(tblProductos[[#This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4126</v>
      </c>
      <c r="D1421" s="2" t="s">
        <v>4011</v>
      </c>
      <c r="E1421" s="2" t="s">
        <v>4127</v>
      </c>
      <c r="F1421" s="2">
        <v>200</v>
      </c>
      <c r="G1421" s="2" t="s">
        <v>3842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3843</v>
      </c>
      <c r="N1421" s="4"/>
      <c r="O1421" s="5"/>
      <c r="P1421" s="4"/>
      <c r="Q1421" s="21" t="str">
        <f>VLOOKUP(tblProductos[[#This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4126</v>
      </c>
      <c r="D1422" s="2" t="s">
        <v>4030</v>
      </c>
      <c r="E1422" s="2" t="s">
        <v>4127</v>
      </c>
      <c r="F1422" s="2">
        <v>200</v>
      </c>
      <c r="G1422" s="2" t="s">
        <v>3842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3843</v>
      </c>
      <c r="N1422" s="4"/>
      <c r="O1422" s="5"/>
      <c r="P1422" s="4"/>
      <c r="Q1422" s="21" t="str">
        <f>VLOOKUP(tblProductos[[#This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4126</v>
      </c>
      <c r="D1423" s="2" t="s">
        <v>4018</v>
      </c>
      <c r="E1423" s="2" t="s">
        <v>4127</v>
      </c>
      <c r="F1423" s="2">
        <v>200</v>
      </c>
      <c r="G1423" s="2" t="s">
        <v>3842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3843</v>
      </c>
      <c r="N1423" s="4"/>
      <c r="O1423" s="5"/>
      <c r="P1423" s="4"/>
      <c r="Q1423" s="21" t="str">
        <f>VLOOKUP(tblProductos[[#This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4126</v>
      </c>
      <c r="D1424" s="2" t="s">
        <v>4009</v>
      </c>
      <c r="E1424" s="2" t="s">
        <v>4127</v>
      </c>
      <c r="F1424" s="2">
        <v>200</v>
      </c>
      <c r="G1424" s="2" t="s">
        <v>3842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3843</v>
      </c>
      <c r="N1424" s="4"/>
      <c r="O1424" s="5"/>
      <c r="P1424" s="4"/>
      <c r="Q1424" s="21" t="str">
        <f>VLOOKUP(tblProductos[[#This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4126</v>
      </c>
      <c r="D1425" s="2" t="s">
        <v>4012</v>
      </c>
      <c r="E1425" s="2" t="s">
        <v>4127</v>
      </c>
      <c r="F1425" s="2">
        <v>200</v>
      </c>
      <c r="G1425" s="2" t="s">
        <v>3842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3843</v>
      </c>
      <c r="N1425" s="4"/>
      <c r="O1425" s="5"/>
      <c r="P1425" s="4"/>
      <c r="Q1425" s="21" t="str">
        <f>VLOOKUP(tblProductos[[#This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4126</v>
      </c>
      <c r="D1426" s="2" t="s">
        <v>4013</v>
      </c>
      <c r="E1426" s="2" t="s">
        <v>4127</v>
      </c>
      <c r="F1426" s="2">
        <v>200</v>
      </c>
      <c r="G1426" s="2" t="s">
        <v>3842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3843</v>
      </c>
      <c r="N1426" s="4"/>
      <c r="O1426" s="5"/>
      <c r="P1426" s="4"/>
      <c r="Q1426" s="21" t="str">
        <f>VLOOKUP(tblProductos[[#This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4126</v>
      </c>
      <c r="D1427" s="2" t="s">
        <v>3923</v>
      </c>
      <c r="E1427" s="2" t="s">
        <v>4127</v>
      </c>
      <c r="F1427" s="2">
        <v>200</v>
      </c>
      <c r="G1427" s="2" t="s">
        <v>3842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3843</v>
      </c>
      <c r="N1427" s="4"/>
      <c r="O1427" s="5"/>
      <c r="P1427" s="4"/>
      <c r="Q1427" s="21" t="str">
        <f>VLOOKUP(tblProductos[[#This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4126</v>
      </c>
      <c r="D1428" s="2" t="s">
        <v>4019</v>
      </c>
      <c r="E1428" s="2" t="s">
        <v>4127</v>
      </c>
      <c r="F1428" s="2">
        <v>200</v>
      </c>
      <c r="G1428" s="2" t="s">
        <v>3842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3843</v>
      </c>
      <c r="N1428" s="4"/>
      <c r="O1428" s="5"/>
      <c r="P1428" s="4"/>
      <c r="Q1428" s="21" t="str">
        <f>VLOOKUP(tblProductos[[#This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4126</v>
      </c>
      <c r="D1429" s="2" t="s">
        <v>4032</v>
      </c>
      <c r="E1429" s="2" t="s">
        <v>4127</v>
      </c>
      <c r="F1429" s="2">
        <v>200</v>
      </c>
      <c r="G1429" s="2" t="s">
        <v>3842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3843</v>
      </c>
      <c r="N1429" s="4"/>
      <c r="O1429" s="5"/>
      <c r="P1429" s="4"/>
      <c r="Q1429" s="21" t="str">
        <f>VLOOKUP(tblProductos[[#This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4126</v>
      </c>
      <c r="D1430" s="2" t="s">
        <v>4007</v>
      </c>
      <c r="E1430" s="2" t="s">
        <v>4127</v>
      </c>
      <c r="F1430" s="2">
        <v>200</v>
      </c>
      <c r="G1430" s="2" t="s">
        <v>3842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3843</v>
      </c>
      <c r="N1430" s="4"/>
      <c r="O1430" s="5"/>
      <c r="P1430" s="4"/>
      <c r="Q1430" s="21" t="str">
        <f>VLOOKUP(tblProductos[[#This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4126</v>
      </c>
      <c r="D1431" s="2" t="s">
        <v>3888</v>
      </c>
      <c r="E1431" s="2" t="s">
        <v>4127</v>
      </c>
      <c r="F1431" s="2">
        <v>200</v>
      </c>
      <c r="G1431" s="2" t="s">
        <v>3842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3843</v>
      </c>
      <c r="N1431" s="4"/>
      <c r="O1431" s="5"/>
      <c r="P1431" s="4"/>
      <c r="Q1431" s="21" t="str">
        <f>VLOOKUP(tblProductos[[#This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4126</v>
      </c>
      <c r="D1432" s="2" t="s">
        <v>4033</v>
      </c>
      <c r="E1432" s="2" t="s">
        <v>4127</v>
      </c>
      <c r="F1432" s="2">
        <v>200</v>
      </c>
      <c r="G1432" s="2" t="s">
        <v>3842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3843</v>
      </c>
      <c r="N1432" s="4"/>
      <c r="O1432" s="5"/>
      <c r="P1432" s="4"/>
      <c r="Q1432" s="21" t="str">
        <f>VLOOKUP(tblProductos[[#This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4126</v>
      </c>
      <c r="D1433" s="2" t="s">
        <v>4144</v>
      </c>
      <c r="E1433" s="2" t="s">
        <v>4127</v>
      </c>
      <c r="F1433" s="2">
        <v>200</v>
      </c>
      <c r="G1433" s="2" t="s">
        <v>3842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3843</v>
      </c>
      <c r="N1433" s="4"/>
      <c r="O1433" s="5"/>
      <c r="P1433" s="4"/>
      <c r="Q1433" s="21" t="str">
        <f>VLOOKUP(tblProductos[[#This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4126</v>
      </c>
      <c r="D1434" s="2" t="s">
        <v>4014</v>
      </c>
      <c r="E1434" s="2" t="s">
        <v>4127</v>
      </c>
      <c r="F1434" s="2">
        <v>200</v>
      </c>
      <c r="G1434" s="2" t="s">
        <v>3842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3843</v>
      </c>
      <c r="N1434" s="4"/>
      <c r="O1434" s="5"/>
      <c r="P1434" s="4"/>
      <c r="Q1434" s="21" t="str">
        <f>VLOOKUP(tblProductos[[#This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4126</v>
      </c>
      <c r="D1435" s="2" t="s">
        <v>4008</v>
      </c>
      <c r="E1435" s="2" t="s">
        <v>4127</v>
      </c>
      <c r="F1435" s="2">
        <v>200</v>
      </c>
      <c r="G1435" s="2" t="s">
        <v>3842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3843</v>
      </c>
      <c r="N1435" s="4"/>
      <c r="O1435" s="5"/>
      <c r="P1435" s="4"/>
      <c r="Q1435" s="21" t="str">
        <f>VLOOKUP(tblProductos[[#This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4126</v>
      </c>
      <c r="D1436" s="2" t="s">
        <v>4020</v>
      </c>
      <c r="E1436" s="2" t="s">
        <v>4127</v>
      </c>
      <c r="F1436" s="2">
        <v>200</v>
      </c>
      <c r="G1436" s="2" t="s">
        <v>3842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3843</v>
      </c>
      <c r="N1436" s="4"/>
      <c r="O1436" s="5"/>
      <c r="P1436" s="4"/>
      <c r="Q1436" s="21" t="str">
        <f>VLOOKUP(tblProductos[[#This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4126</v>
      </c>
      <c r="D1437" s="2" t="s">
        <v>4016</v>
      </c>
      <c r="E1437" s="2" t="s">
        <v>4127</v>
      </c>
      <c r="F1437" s="2">
        <v>200</v>
      </c>
      <c r="G1437" s="2" t="s">
        <v>3842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3843</v>
      </c>
      <c r="N1437" s="4"/>
      <c r="O1437" s="5"/>
      <c r="P1437" s="4"/>
      <c r="Q1437" s="21" t="str">
        <f>VLOOKUP(tblProductos[[#This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4126</v>
      </c>
      <c r="D1438" s="2" t="s">
        <v>4145</v>
      </c>
      <c r="E1438" s="2" t="s">
        <v>4127</v>
      </c>
      <c r="F1438" s="2">
        <v>200</v>
      </c>
      <c r="G1438" s="2" t="s">
        <v>3842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3843</v>
      </c>
      <c r="N1438" s="4"/>
      <c r="O1438" s="5"/>
      <c r="P1438" s="4"/>
      <c r="Q1438" s="21" t="str">
        <f>VLOOKUP(tblProductos[[#This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4126</v>
      </c>
      <c r="D1439" s="2" t="s">
        <v>4021</v>
      </c>
      <c r="E1439" s="2" t="s">
        <v>4127</v>
      </c>
      <c r="F1439" s="2">
        <v>200</v>
      </c>
      <c r="G1439" s="2" t="s">
        <v>3842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3843</v>
      </c>
      <c r="N1439" s="4"/>
      <c r="O1439" s="5"/>
      <c r="P1439" s="4"/>
      <c r="Q1439" s="21" t="str">
        <f>VLOOKUP(tblProductos[[#This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4126</v>
      </c>
      <c r="D1440" s="2" t="s">
        <v>4015</v>
      </c>
      <c r="E1440" s="2" t="s">
        <v>4127</v>
      </c>
      <c r="F1440" s="2">
        <v>200</v>
      </c>
      <c r="G1440" s="2" t="s">
        <v>3842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3843</v>
      </c>
      <c r="N1440" s="4"/>
      <c r="O1440" s="5"/>
      <c r="P1440" s="4"/>
      <c r="Q1440" s="21" t="str">
        <f>VLOOKUP(tblProductos[[#This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4126</v>
      </c>
      <c r="D1441" s="2" t="s">
        <v>4054</v>
      </c>
      <c r="E1441" s="2" t="s">
        <v>4127</v>
      </c>
      <c r="F1441" s="2">
        <v>200</v>
      </c>
      <c r="G1441" s="2" t="s">
        <v>3842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3843</v>
      </c>
      <c r="N1441" s="4"/>
      <c r="O1441" s="5"/>
      <c r="P1441" s="4"/>
      <c r="Q1441" s="21" t="str">
        <f>VLOOKUP(tblProductos[[#This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4126</v>
      </c>
      <c r="D1442" s="2" t="s">
        <v>4118</v>
      </c>
      <c r="E1442" s="2" t="s">
        <v>4127</v>
      </c>
      <c r="F1442" s="2">
        <v>200</v>
      </c>
      <c r="G1442" s="2" t="s">
        <v>3842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3843</v>
      </c>
      <c r="N1442" s="4"/>
      <c r="O1442" s="5"/>
      <c r="P1442" s="4"/>
      <c r="Q1442" s="21" t="str">
        <f>VLOOKUP(tblProductos[[#This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4126</v>
      </c>
      <c r="D1443" s="2" t="s">
        <v>4022</v>
      </c>
      <c r="E1443" s="2" t="s">
        <v>4127</v>
      </c>
      <c r="F1443" s="2">
        <v>200</v>
      </c>
      <c r="G1443" s="2" t="s">
        <v>3842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3843</v>
      </c>
      <c r="N1443" s="4"/>
      <c r="O1443" s="5"/>
      <c r="P1443" s="4"/>
      <c r="Q1443" s="21" t="str">
        <f>VLOOKUP(tblProductos[[#This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4126</v>
      </c>
      <c r="D1444" s="2" t="s">
        <v>3919</v>
      </c>
      <c r="E1444" s="2" t="s">
        <v>4127</v>
      </c>
      <c r="F1444" s="2">
        <v>200</v>
      </c>
      <c r="G1444" s="2" t="s">
        <v>3842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3843</v>
      </c>
      <c r="N1444" s="4"/>
      <c r="O1444" s="5"/>
      <c r="P1444" s="4"/>
      <c r="Q1444" s="21" t="str">
        <f>VLOOKUP(tblProductos[[#This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4126</v>
      </c>
      <c r="D1445" s="2" t="s">
        <v>4023</v>
      </c>
      <c r="E1445" s="2" t="s">
        <v>4127</v>
      </c>
      <c r="F1445" s="2">
        <v>200</v>
      </c>
      <c r="G1445" s="2" t="s">
        <v>3842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3843</v>
      </c>
      <c r="N1445" s="4"/>
      <c r="O1445" s="5"/>
      <c r="P1445" s="4"/>
      <c r="Q1445" s="21" t="str">
        <f>VLOOKUP(tblProductos[[#This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4126</v>
      </c>
      <c r="D1446" s="2" t="s">
        <v>4029</v>
      </c>
      <c r="E1446" s="2" t="s">
        <v>4127</v>
      </c>
      <c r="F1446" s="2">
        <v>200</v>
      </c>
      <c r="G1446" s="2" t="s">
        <v>3842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3843</v>
      </c>
      <c r="N1446" s="4"/>
      <c r="O1446" s="5"/>
      <c r="P1446" s="4"/>
      <c r="Q1446" s="21" t="str">
        <f>VLOOKUP(tblProductos[[#This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4126</v>
      </c>
      <c r="D1447" s="2" t="s">
        <v>4024</v>
      </c>
      <c r="E1447" s="2" t="s">
        <v>4127</v>
      </c>
      <c r="F1447" s="2">
        <v>200</v>
      </c>
      <c r="G1447" s="2" t="s">
        <v>3842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3843</v>
      </c>
      <c r="N1447" s="4"/>
      <c r="O1447" s="5"/>
      <c r="P1447" s="4"/>
      <c r="Q1447" s="21" t="str">
        <f>VLOOKUP(tblProductos[[#This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4126</v>
      </c>
      <c r="D1448" s="2" t="s">
        <v>4034</v>
      </c>
      <c r="E1448" s="2" t="s">
        <v>4127</v>
      </c>
      <c r="F1448" s="2">
        <v>200</v>
      </c>
      <c r="G1448" s="2" t="s">
        <v>3842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3843</v>
      </c>
      <c r="N1448" s="4"/>
      <c r="O1448" s="5"/>
      <c r="P1448" s="4"/>
      <c r="Q1448" s="21" t="str">
        <f>VLOOKUP(tblProductos[[#This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4126</v>
      </c>
      <c r="D1449" s="2" t="s">
        <v>4035</v>
      </c>
      <c r="E1449" s="2" t="s">
        <v>4127</v>
      </c>
      <c r="F1449" s="2">
        <v>200</v>
      </c>
      <c r="G1449" s="2" t="s">
        <v>3842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3843</v>
      </c>
      <c r="N1449" s="4"/>
      <c r="O1449" s="5"/>
      <c r="P1449" s="4"/>
      <c r="Q1449" s="21" t="str">
        <f>VLOOKUP(tblProductos[[#This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4128</v>
      </c>
      <c r="D1450" s="2" t="s">
        <v>4017</v>
      </c>
      <c r="E1450" s="2" t="s">
        <v>4129</v>
      </c>
      <c r="F1450" s="2">
        <v>200</v>
      </c>
      <c r="G1450" s="2" t="s">
        <v>3842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3843</v>
      </c>
      <c r="N1450" s="4"/>
      <c r="O1450" s="5"/>
      <c r="P1450" s="4"/>
      <c r="Q1450" s="21" t="str">
        <f>VLOOKUP(tblProductos[[#This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4128</v>
      </c>
      <c r="D1451" s="2" t="s">
        <v>4010</v>
      </c>
      <c r="E1451" s="2" t="s">
        <v>4129</v>
      </c>
      <c r="F1451" s="2">
        <v>200</v>
      </c>
      <c r="G1451" s="2" t="s">
        <v>3842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3843</v>
      </c>
      <c r="N1451" s="4"/>
      <c r="O1451" s="5"/>
      <c r="P1451" s="4"/>
      <c r="Q1451" s="21" t="str">
        <f>VLOOKUP(tblProductos[[#This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4128</v>
      </c>
      <c r="D1452" s="2" t="s">
        <v>4125</v>
      </c>
      <c r="E1452" s="2" t="s">
        <v>4129</v>
      </c>
      <c r="F1452" s="2">
        <v>200</v>
      </c>
      <c r="G1452" s="2" t="s">
        <v>3842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3843</v>
      </c>
      <c r="N1452" s="4"/>
      <c r="O1452" s="5"/>
      <c r="P1452" s="4"/>
      <c r="Q1452" s="21" t="str">
        <f>VLOOKUP(tblProductos[[#This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4128</v>
      </c>
      <c r="D1453" s="2" t="s">
        <v>4056</v>
      </c>
      <c r="E1453" s="2" t="s">
        <v>4129</v>
      </c>
      <c r="F1453" s="2">
        <v>200</v>
      </c>
      <c r="G1453" s="2" t="s">
        <v>3842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3843</v>
      </c>
      <c r="N1453" s="4"/>
      <c r="O1453" s="5"/>
      <c r="P1453" s="4"/>
      <c r="Q1453" s="21" t="str">
        <f>VLOOKUP(tblProductos[[#This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4128</v>
      </c>
      <c r="D1454" s="2" t="s">
        <v>4006</v>
      </c>
      <c r="E1454" s="2" t="s">
        <v>4129</v>
      </c>
      <c r="F1454" s="2">
        <v>200</v>
      </c>
      <c r="G1454" s="2" t="s">
        <v>3842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3843</v>
      </c>
      <c r="N1454" s="4"/>
      <c r="O1454" s="5"/>
      <c r="P1454" s="4"/>
      <c r="Q1454" s="21" t="str">
        <f>VLOOKUP(tblProductos[[#This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4128</v>
      </c>
      <c r="D1455" s="2" t="s">
        <v>4143</v>
      </c>
      <c r="E1455" s="2" t="s">
        <v>4129</v>
      </c>
      <c r="F1455" s="2">
        <v>200</v>
      </c>
      <c r="G1455" s="2" t="s">
        <v>3842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3843</v>
      </c>
      <c r="N1455" s="4"/>
      <c r="O1455" s="5"/>
      <c r="P1455" s="4"/>
      <c r="Q1455" s="21" t="str">
        <f>VLOOKUP(tblProductos[[#This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4128</v>
      </c>
      <c r="D1456" s="2" t="s">
        <v>4031</v>
      </c>
      <c r="E1456" s="2" t="s">
        <v>4129</v>
      </c>
      <c r="F1456" s="2">
        <v>200</v>
      </c>
      <c r="G1456" s="2" t="s">
        <v>3842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3843</v>
      </c>
      <c r="N1456" s="4"/>
      <c r="O1456" s="5"/>
      <c r="P1456" s="4"/>
      <c r="Q1456" s="21" t="str">
        <f>VLOOKUP(tblProductos[[#This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4128</v>
      </c>
      <c r="D1457" s="2" t="s">
        <v>4011</v>
      </c>
      <c r="E1457" s="2" t="s">
        <v>4129</v>
      </c>
      <c r="F1457" s="2">
        <v>200</v>
      </c>
      <c r="G1457" s="2" t="s">
        <v>3842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3843</v>
      </c>
      <c r="N1457" s="4"/>
      <c r="O1457" s="5"/>
      <c r="P1457" s="4"/>
      <c r="Q1457" s="21" t="str">
        <f>VLOOKUP(tblProductos[[#This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4128</v>
      </c>
      <c r="D1458" s="2" t="s">
        <v>4030</v>
      </c>
      <c r="E1458" s="2" t="s">
        <v>4129</v>
      </c>
      <c r="F1458" s="2">
        <v>200</v>
      </c>
      <c r="G1458" s="2" t="s">
        <v>3842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3843</v>
      </c>
      <c r="N1458" s="4"/>
      <c r="O1458" s="5"/>
      <c r="P1458" s="4"/>
      <c r="Q1458" s="21" t="str">
        <f>VLOOKUP(tblProductos[[#This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4128</v>
      </c>
      <c r="D1459" s="2" t="s">
        <v>4018</v>
      </c>
      <c r="E1459" s="2" t="s">
        <v>4129</v>
      </c>
      <c r="F1459" s="2">
        <v>200</v>
      </c>
      <c r="G1459" s="2" t="s">
        <v>3842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3843</v>
      </c>
      <c r="N1459" s="4"/>
      <c r="O1459" s="5"/>
      <c r="P1459" s="4"/>
      <c r="Q1459" s="21" t="str">
        <f>VLOOKUP(tblProductos[[#This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4128</v>
      </c>
      <c r="D1460" s="2" t="s">
        <v>4009</v>
      </c>
      <c r="E1460" s="2" t="s">
        <v>4129</v>
      </c>
      <c r="F1460" s="2">
        <v>200</v>
      </c>
      <c r="G1460" s="2" t="s">
        <v>3842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3843</v>
      </c>
      <c r="N1460" s="4"/>
      <c r="O1460" s="5"/>
      <c r="P1460" s="4"/>
      <c r="Q1460" s="21" t="str">
        <f>VLOOKUP(tblProductos[[#This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4128</v>
      </c>
      <c r="D1461" s="2" t="s">
        <v>4012</v>
      </c>
      <c r="E1461" s="2" t="s">
        <v>4129</v>
      </c>
      <c r="F1461" s="2">
        <v>200</v>
      </c>
      <c r="G1461" s="2" t="s">
        <v>3842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3843</v>
      </c>
      <c r="N1461" s="4"/>
      <c r="O1461" s="5"/>
      <c r="P1461" s="4"/>
      <c r="Q1461" s="21" t="str">
        <f>VLOOKUP(tblProductos[[#This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4128</v>
      </c>
      <c r="D1462" s="2" t="s">
        <v>4013</v>
      </c>
      <c r="E1462" s="2" t="s">
        <v>4129</v>
      </c>
      <c r="F1462" s="2">
        <v>200</v>
      </c>
      <c r="G1462" s="2" t="s">
        <v>3842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3843</v>
      </c>
      <c r="N1462" s="4"/>
      <c r="O1462" s="5"/>
      <c r="P1462" s="4"/>
      <c r="Q1462" s="21" t="str">
        <f>VLOOKUP(tblProductos[[#This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4128</v>
      </c>
      <c r="D1463" s="2" t="s">
        <v>3923</v>
      </c>
      <c r="E1463" s="2" t="s">
        <v>4129</v>
      </c>
      <c r="F1463" s="2">
        <v>200</v>
      </c>
      <c r="G1463" s="2" t="s">
        <v>3842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3843</v>
      </c>
      <c r="N1463" s="4"/>
      <c r="O1463" s="5"/>
      <c r="P1463" s="4"/>
      <c r="Q1463" s="21" t="str">
        <f>VLOOKUP(tblProductos[[#This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4128</v>
      </c>
      <c r="D1464" s="2" t="s">
        <v>4019</v>
      </c>
      <c r="E1464" s="2" t="s">
        <v>4129</v>
      </c>
      <c r="F1464" s="2">
        <v>200</v>
      </c>
      <c r="G1464" s="2" t="s">
        <v>3842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3843</v>
      </c>
      <c r="N1464" s="4"/>
      <c r="O1464" s="5"/>
      <c r="P1464" s="4"/>
      <c r="Q1464" s="21" t="str">
        <f>VLOOKUP(tblProductos[[#This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4128</v>
      </c>
      <c r="D1465" s="2" t="s">
        <v>4032</v>
      </c>
      <c r="E1465" s="2" t="s">
        <v>4129</v>
      </c>
      <c r="F1465" s="2">
        <v>200</v>
      </c>
      <c r="G1465" s="2" t="s">
        <v>3842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3843</v>
      </c>
      <c r="N1465" s="4"/>
      <c r="O1465" s="5"/>
      <c r="P1465" s="4"/>
      <c r="Q1465" s="21" t="str">
        <f>VLOOKUP(tblProductos[[#This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4128</v>
      </c>
      <c r="D1466" s="2" t="s">
        <v>4007</v>
      </c>
      <c r="E1466" s="2" t="s">
        <v>4129</v>
      </c>
      <c r="F1466" s="2">
        <v>200</v>
      </c>
      <c r="G1466" s="2" t="s">
        <v>3842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3843</v>
      </c>
      <c r="N1466" s="4"/>
      <c r="O1466" s="5"/>
      <c r="P1466" s="4"/>
      <c r="Q1466" s="21" t="str">
        <f>VLOOKUP(tblProductos[[#This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4128</v>
      </c>
      <c r="D1467" s="2" t="s">
        <v>3888</v>
      </c>
      <c r="E1467" s="2" t="s">
        <v>4129</v>
      </c>
      <c r="F1467" s="2">
        <v>200</v>
      </c>
      <c r="G1467" s="2" t="s">
        <v>3842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3843</v>
      </c>
      <c r="N1467" s="4"/>
      <c r="O1467" s="5"/>
      <c r="P1467" s="4"/>
      <c r="Q1467" s="21" t="str">
        <f>VLOOKUP(tblProductos[[#This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4128</v>
      </c>
      <c r="D1468" s="2" t="s">
        <v>4033</v>
      </c>
      <c r="E1468" s="2" t="s">
        <v>4129</v>
      </c>
      <c r="F1468" s="2">
        <v>200</v>
      </c>
      <c r="G1468" s="2" t="s">
        <v>3842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3843</v>
      </c>
      <c r="N1468" s="4"/>
      <c r="O1468" s="5"/>
      <c r="P1468" s="4"/>
      <c r="Q1468" s="21" t="str">
        <f>VLOOKUP(tblProductos[[#This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4128</v>
      </c>
      <c r="D1469" s="2" t="s">
        <v>4144</v>
      </c>
      <c r="E1469" s="2" t="s">
        <v>4129</v>
      </c>
      <c r="F1469" s="2">
        <v>200</v>
      </c>
      <c r="G1469" s="2" t="s">
        <v>3842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3843</v>
      </c>
      <c r="N1469" s="4"/>
      <c r="O1469" s="5"/>
      <c r="P1469" s="4"/>
      <c r="Q1469" s="21" t="str">
        <f>VLOOKUP(tblProductos[[#This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4128</v>
      </c>
      <c r="D1470" s="2" t="s">
        <v>4014</v>
      </c>
      <c r="E1470" s="2" t="s">
        <v>4129</v>
      </c>
      <c r="F1470" s="2">
        <v>200</v>
      </c>
      <c r="G1470" s="2" t="s">
        <v>3842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3843</v>
      </c>
      <c r="N1470" s="4"/>
      <c r="O1470" s="5"/>
      <c r="P1470" s="4"/>
      <c r="Q1470" s="21" t="str">
        <f>VLOOKUP(tblProductos[[#This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4128</v>
      </c>
      <c r="D1471" s="2" t="s">
        <v>4008</v>
      </c>
      <c r="E1471" s="2" t="s">
        <v>4129</v>
      </c>
      <c r="F1471" s="2">
        <v>200</v>
      </c>
      <c r="G1471" s="2" t="s">
        <v>3842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3843</v>
      </c>
      <c r="N1471" s="4"/>
      <c r="O1471" s="5"/>
      <c r="P1471" s="4"/>
      <c r="Q1471" s="21" t="str">
        <f>VLOOKUP(tblProductos[[#This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4128</v>
      </c>
      <c r="D1472" s="2" t="s">
        <v>4020</v>
      </c>
      <c r="E1472" s="2" t="s">
        <v>4129</v>
      </c>
      <c r="F1472" s="2">
        <v>200</v>
      </c>
      <c r="G1472" s="2" t="s">
        <v>3842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3843</v>
      </c>
      <c r="N1472" s="4"/>
      <c r="O1472" s="5"/>
      <c r="P1472" s="4"/>
      <c r="Q1472" s="21" t="str">
        <f>VLOOKUP(tblProductos[[#This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4128</v>
      </c>
      <c r="D1473" s="2" t="s">
        <v>4016</v>
      </c>
      <c r="E1473" s="2" t="s">
        <v>4129</v>
      </c>
      <c r="F1473" s="2">
        <v>200</v>
      </c>
      <c r="G1473" s="2" t="s">
        <v>3842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3843</v>
      </c>
      <c r="N1473" s="4"/>
      <c r="O1473" s="5"/>
      <c r="P1473" s="4"/>
      <c r="Q1473" s="21" t="str">
        <f>VLOOKUP(tblProductos[[#This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4128</v>
      </c>
      <c r="D1474" s="2" t="s">
        <v>4145</v>
      </c>
      <c r="E1474" s="2" t="s">
        <v>4129</v>
      </c>
      <c r="F1474" s="2">
        <v>200</v>
      </c>
      <c r="G1474" s="2" t="s">
        <v>3842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3843</v>
      </c>
      <c r="N1474" s="4"/>
      <c r="O1474" s="5"/>
      <c r="P1474" s="4"/>
      <c r="Q1474" s="21" t="str">
        <f>VLOOKUP(tblProductos[[#This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4128</v>
      </c>
      <c r="D1475" s="2" t="s">
        <v>4021</v>
      </c>
      <c r="E1475" s="2" t="s">
        <v>4129</v>
      </c>
      <c r="F1475" s="2">
        <v>200</v>
      </c>
      <c r="G1475" s="2" t="s">
        <v>3842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3843</v>
      </c>
      <c r="N1475" s="4"/>
      <c r="O1475" s="5"/>
      <c r="P1475" s="4"/>
      <c r="Q1475" s="21" t="str">
        <f>VLOOKUP(tblProductos[[#This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4128</v>
      </c>
      <c r="D1476" s="2" t="s">
        <v>4015</v>
      </c>
      <c r="E1476" s="2" t="s">
        <v>4129</v>
      </c>
      <c r="F1476" s="2">
        <v>200</v>
      </c>
      <c r="G1476" s="2" t="s">
        <v>3842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3843</v>
      </c>
      <c r="N1476" s="4"/>
      <c r="O1476" s="5"/>
      <c r="P1476" s="4"/>
      <c r="Q1476" s="21" t="str">
        <f>VLOOKUP(tblProductos[[#This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4128</v>
      </c>
      <c r="D1477" s="2" t="s">
        <v>4054</v>
      </c>
      <c r="E1477" s="2" t="s">
        <v>4129</v>
      </c>
      <c r="F1477" s="2">
        <v>200</v>
      </c>
      <c r="G1477" s="2" t="s">
        <v>3842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3843</v>
      </c>
      <c r="N1477" s="4"/>
      <c r="O1477" s="5"/>
      <c r="P1477" s="4"/>
      <c r="Q1477" s="21" t="str">
        <f>VLOOKUP(tblProductos[[#This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4128</v>
      </c>
      <c r="D1478" s="2" t="s">
        <v>4118</v>
      </c>
      <c r="E1478" s="2" t="s">
        <v>4129</v>
      </c>
      <c r="F1478" s="2">
        <v>200</v>
      </c>
      <c r="G1478" s="2" t="s">
        <v>3842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3843</v>
      </c>
      <c r="N1478" s="4"/>
      <c r="O1478" s="5"/>
      <c r="P1478" s="4"/>
      <c r="Q1478" s="21" t="str">
        <f>VLOOKUP(tblProductos[[#This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4128</v>
      </c>
      <c r="D1479" s="2" t="s">
        <v>4022</v>
      </c>
      <c r="E1479" s="2" t="s">
        <v>4129</v>
      </c>
      <c r="F1479" s="2">
        <v>200</v>
      </c>
      <c r="G1479" s="2" t="s">
        <v>3842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3843</v>
      </c>
      <c r="N1479" s="4"/>
      <c r="O1479" s="5"/>
      <c r="P1479" s="4"/>
      <c r="Q1479" s="21" t="str">
        <f>VLOOKUP(tblProductos[[#This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4128</v>
      </c>
      <c r="D1480" s="2" t="s">
        <v>3919</v>
      </c>
      <c r="E1480" s="2" t="s">
        <v>4129</v>
      </c>
      <c r="F1480" s="2">
        <v>200</v>
      </c>
      <c r="G1480" s="2" t="s">
        <v>3842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3843</v>
      </c>
      <c r="N1480" s="4"/>
      <c r="O1480" s="5"/>
      <c r="P1480" s="4"/>
      <c r="Q1480" s="21" t="str">
        <f>VLOOKUP(tblProductos[[#This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4128</v>
      </c>
      <c r="D1481" s="2" t="s">
        <v>4023</v>
      </c>
      <c r="E1481" s="2" t="s">
        <v>4129</v>
      </c>
      <c r="F1481" s="2">
        <v>200</v>
      </c>
      <c r="G1481" s="2" t="s">
        <v>3842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3843</v>
      </c>
      <c r="N1481" s="4"/>
      <c r="O1481" s="5"/>
      <c r="P1481" s="4"/>
      <c r="Q1481" s="21" t="str">
        <f>VLOOKUP(tblProductos[[#This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4128</v>
      </c>
      <c r="D1482" s="2" t="s">
        <v>4029</v>
      </c>
      <c r="E1482" s="2" t="s">
        <v>4129</v>
      </c>
      <c r="F1482" s="2">
        <v>200</v>
      </c>
      <c r="G1482" s="2" t="s">
        <v>3842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3843</v>
      </c>
      <c r="N1482" s="4"/>
      <c r="O1482" s="5"/>
      <c r="P1482" s="4"/>
      <c r="Q1482" s="21" t="str">
        <f>VLOOKUP(tblProductos[[#This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4128</v>
      </c>
      <c r="D1483" s="2" t="s">
        <v>4024</v>
      </c>
      <c r="E1483" s="2" t="s">
        <v>4129</v>
      </c>
      <c r="F1483" s="2">
        <v>200</v>
      </c>
      <c r="G1483" s="2" t="s">
        <v>3842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3843</v>
      </c>
      <c r="N1483" s="4"/>
      <c r="O1483" s="5"/>
      <c r="P1483" s="4"/>
      <c r="Q1483" s="21" t="str">
        <f>VLOOKUP(tblProductos[[#This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4128</v>
      </c>
      <c r="D1484" s="2" t="s">
        <v>4034</v>
      </c>
      <c r="E1484" s="2" t="s">
        <v>4129</v>
      </c>
      <c r="F1484" s="2">
        <v>200</v>
      </c>
      <c r="G1484" s="2" t="s">
        <v>3842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3843</v>
      </c>
      <c r="N1484" s="4"/>
      <c r="O1484" s="5"/>
      <c r="P1484" s="4"/>
      <c r="Q1484" s="21" t="str">
        <f>VLOOKUP(tblProductos[[#This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4128</v>
      </c>
      <c r="D1485" s="2" t="s">
        <v>4035</v>
      </c>
      <c r="E1485" s="2" t="s">
        <v>4129</v>
      </c>
      <c r="F1485" s="2">
        <v>200</v>
      </c>
      <c r="G1485" s="2" t="s">
        <v>3842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3843</v>
      </c>
      <c r="N1485" s="4"/>
      <c r="O1485" s="5"/>
      <c r="P1485" s="4"/>
      <c r="Q1485" s="21" t="str">
        <f>VLOOKUP(tblProductos[[#This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4088</v>
      </c>
      <c r="D1486" s="2" t="s">
        <v>4017</v>
      </c>
      <c r="E1486" s="2" t="s">
        <v>4089</v>
      </c>
      <c r="F1486" s="2">
        <v>500</v>
      </c>
      <c r="G1486" s="2" t="s">
        <v>3842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3843</v>
      </c>
      <c r="N1486" s="4"/>
      <c r="O1486" s="5"/>
      <c r="P1486" s="4"/>
      <c r="Q1486" s="21" t="str">
        <f>VLOOKUP(tblProductos[[#This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4088</v>
      </c>
      <c r="D1487" s="2" t="s">
        <v>4010</v>
      </c>
      <c r="E1487" s="2" t="s">
        <v>4089</v>
      </c>
      <c r="F1487" s="2">
        <v>500</v>
      </c>
      <c r="G1487" s="2" t="s">
        <v>3842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3843</v>
      </c>
      <c r="N1487" s="4"/>
      <c r="O1487" s="5"/>
      <c r="P1487" s="4"/>
      <c r="Q1487" s="21" t="str">
        <f>VLOOKUP(tblProductos[[#This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4088</v>
      </c>
      <c r="D1488" s="2" t="s">
        <v>4125</v>
      </c>
      <c r="E1488" s="2" t="s">
        <v>4089</v>
      </c>
      <c r="F1488" s="2">
        <v>500</v>
      </c>
      <c r="G1488" s="2" t="s">
        <v>3842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3843</v>
      </c>
      <c r="N1488" s="4"/>
      <c r="O1488" s="5"/>
      <c r="P1488" s="4"/>
      <c r="Q1488" s="21" t="str">
        <f>VLOOKUP(tblProductos[[#This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4088</v>
      </c>
      <c r="D1489" s="2" t="s">
        <v>4056</v>
      </c>
      <c r="E1489" s="2" t="s">
        <v>4089</v>
      </c>
      <c r="F1489" s="2">
        <v>500</v>
      </c>
      <c r="G1489" s="2" t="s">
        <v>3842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3843</v>
      </c>
      <c r="N1489" s="4"/>
      <c r="O1489" s="5"/>
      <c r="P1489" s="4"/>
      <c r="Q1489" s="21" t="str">
        <f>VLOOKUP(tblProductos[[#This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4088</v>
      </c>
      <c r="D1490" s="2" t="s">
        <v>4006</v>
      </c>
      <c r="E1490" s="2" t="s">
        <v>4089</v>
      </c>
      <c r="F1490" s="2">
        <v>500</v>
      </c>
      <c r="G1490" s="2" t="s">
        <v>3842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3843</v>
      </c>
      <c r="N1490" s="4"/>
      <c r="O1490" s="5"/>
      <c r="P1490" s="4"/>
      <c r="Q1490" s="21" t="str">
        <f>VLOOKUP(tblProductos[[#This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4088</v>
      </c>
      <c r="D1491" s="2" t="s">
        <v>4143</v>
      </c>
      <c r="E1491" s="2" t="s">
        <v>4089</v>
      </c>
      <c r="F1491" s="2">
        <v>500</v>
      </c>
      <c r="G1491" s="2" t="s">
        <v>3842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3843</v>
      </c>
      <c r="N1491" s="4"/>
      <c r="O1491" s="5"/>
      <c r="P1491" s="4"/>
      <c r="Q1491" s="21" t="str">
        <f>VLOOKUP(tblProductos[[#This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4088</v>
      </c>
      <c r="D1492" s="2" t="s">
        <v>4031</v>
      </c>
      <c r="E1492" s="2" t="s">
        <v>4089</v>
      </c>
      <c r="F1492" s="2">
        <v>500</v>
      </c>
      <c r="G1492" s="2" t="s">
        <v>3842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3843</v>
      </c>
      <c r="N1492" s="4"/>
      <c r="O1492" s="5"/>
      <c r="P1492" s="4"/>
      <c r="Q1492" s="21" t="str">
        <f>VLOOKUP(tblProductos[[#This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4088</v>
      </c>
      <c r="D1493" s="2" t="s">
        <v>4011</v>
      </c>
      <c r="E1493" s="2" t="s">
        <v>4089</v>
      </c>
      <c r="F1493" s="2">
        <v>500</v>
      </c>
      <c r="G1493" s="2" t="s">
        <v>3842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3843</v>
      </c>
      <c r="N1493" s="4"/>
      <c r="O1493" s="5"/>
      <c r="P1493" s="4"/>
      <c r="Q1493" s="21" t="str">
        <f>VLOOKUP(tblProductos[[#This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4088</v>
      </c>
      <c r="D1494" s="2" t="s">
        <v>4030</v>
      </c>
      <c r="E1494" s="2" t="s">
        <v>4089</v>
      </c>
      <c r="F1494" s="2">
        <v>500</v>
      </c>
      <c r="G1494" s="2" t="s">
        <v>3842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3843</v>
      </c>
      <c r="N1494" s="4"/>
      <c r="O1494" s="5"/>
      <c r="P1494" s="4"/>
      <c r="Q1494" s="21" t="str">
        <f>VLOOKUP(tblProductos[[#This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4088</v>
      </c>
      <c r="D1495" s="2" t="s">
        <v>4018</v>
      </c>
      <c r="E1495" s="2" t="s">
        <v>4089</v>
      </c>
      <c r="F1495" s="2">
        <v>500</v>
      </c>
      <c r="G1495" s="2" t="s">
        <v>3842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3843</v>
      </c>
      <c r="N1495" s="4"/>
      <c r="O1495" s="5"/>
      <c r="P1495" s="4"/>
      <c r="Q1495" s="21" t="str">
        <f>VLOOKUP(tblProductos[[#This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4088</v>
      </c>
      <c r="D1496" s="2" t="s">
        <v>4009</v>
      </c>
      <c r="E1496" s="2" t="s">
        <v>4089</v>
      </c>
      <c r="F1496" s="2">
        <v>500</v>
      </c>
      <c r="G1496" s="2" t="s">
        <v>3842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3843</v>
      </c>
      <c r="N1496" s="4"/>
      <c r="O1496" s="5"/>
      <c r="P1496" s="4"/>
      <c r="Q1496" s="21" t="str">
        <f>VLOOKUP(tblProductos[[#This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4088</v>
      </c>
      <c r="D1497" s="2" t="s">
        <v>4012</v>
      </c>
      <c r="E1497" s="2" t="s">
        <v>4089</v>
      </c>
      <c r="F1497" s="2">
        <v>500</v>
      </c>
      <c r="G1497" s="2" t="s">
        <v>3842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3843</v>
      </c>
      <c r="N1497" s="4"/>
      <c r="O1497" s="5"/>
      <c r="P1497" s="4"/>
      <c r="Q1497" s="21" t="str">
        <f>VLOOKUP(tblProductos[[#This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4088</v>
      </c>
      <c r="D1498" s="2" t="s">
        <v>4013</v>
      </c>
      <c r="E1498" s="2" t="s">
        <v>4089</v>
      </c>
      <c r="F1498" s="2">
        <v>500</v>
      </c>
      <c r="G1498" s="2" t="s">
        <v>3842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3843</v>
      </c>
      <c r="N1498" s="4"/>
      <c r="O1498" s="5"/>
      <c r="P1498" s="4"/>
      <c r="Q1498" s="21" t="str">
        <f>VLOOKUP(tblProductos[[#This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4088</v>
      </c>
      <c r="D1499" s="2" t="s">
        <v>3923</v>
      </c>
      <c r="E1499" s="2" t="s">
        <v>4089</v>
      </c>
      <c r="F1499" s="2">
        <v>500</v>
      </c>
      <c r="G1499" s="2" t="s">
        <v>3842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3843</v>
      </c>
      <c r="N1499" s="4"/>
      <c r="O1499" s="5"/>
      <c r="P1499" s="4"/>
      <c r="Q1499" s="21" t="str">
        <f>VLOOKUP(tblProductos[[#This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4088</v>
      </c>
      <c r="D1500" s="2" t="s">
        <v>4019</v>
      </c>
      <c r="E1500" s="2" t="s">
        <v>4089</v>
      </c>
      <c r="F1500" s="2">
        <v>500</v>
      </c>
      <c r="G1500" s="2" t="s">
        <v>3842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3843</v>
      </c>
      <c r="N1500" s="4"/>
      <c r="O1500" s="5"/>
      <c r="P1500" s="4"/>
      <c r="Q1500" s="21" t="str">
        <f>VLOOKUP(tblProductos[[#This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4088</v>
      </c>
      <c r="D1501" s="2" t="s">
        <v>4032</v>
      </c>
      <c r="E1501" s="2" t="s">
        <v>4089</v>
      </c>
      <c r="F1501" s="2">
        <v>500</v>
      </c>
      <c r="G1501" s="2" t="s">
        <v>3842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3843</v>
      </c>
      <c r="N1501" s="4"/>
      <c r="O1501" s="5"/>
      <c r="P1501" s="4"/>
      <c r="Q1501" s="21" t="str">
        <f>VLOOKUP(tblProductos[[#This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4088</v>
      </c>
      <c r="D1502" s="2" t="s">
        <v>4007</v>
      </c>
      <c r="E1502" s="2" t="s">
        <v>4089</v>
      </c>
      <c r="F1502" s="2">
        <v>500</v>
      </c>
      <c r="G1502" s="2" t="s">
        <v>3842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3843</v>
      </c>
      <c r="N1502" s="4"/>
      <c r="O1502" s="5"/>
      <c r="P1502" s="4"/>
      <c r="Q1502" s="21" t="str">
        <f>VLOOKUP(tblProductos[[#This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4088</v>
      </c>
      <c r="D1503" s="2" t="s">
        <v>3888</v>
      </c>
      <c r="E1503" s="2" t="s">
        <v>4089</v>
      </c>
      <c r="F1503" s="2">
        <v>500</v>
      </c>
      <c r="G1503" s="2" t="s">
        <v>3842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3843</v>
      </c>
      <c r="N1503" s="4"/>
      <c r="O1503" s="5"/>
      <c r="P1503" s="4"/>
      <c r="Q1503" s="21" t="str">
        <f>VLOOKUP(tblProductos[[#This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4088</v>
      </c>
      <c r="D1504" s="2" t="s">
        <v>4033</v>
      </c>
      <c r="E1504" s="2" t="s">
        <v>4089</v>
      </c>
      <c r="F1504" s="2">
        <v>500</v>
      </c>
      <c r="G1504" s="2" t="s">
        <v>3842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3843</v>
      </c>
      <c r="N1504" s="4"/>
      <c r="O1504" s="5"/>
      <c r="P1504" s="4"/>
      <c r="Q1504" s="21" t="str">
        <f>VLOOKUP(tblProductos[[#This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4088</v>
      </c>
      <c r="D1505" s="2" t="s">
        <v>4144</v>
      </c>
      <c r="E1505" s="2" t="s">
        <v>4089</v>
      </c>
      <c r="F1505" s="2">
        <v>500</v>
      </c>
      <c r="G1505" s="2" t="s">
        <v>3842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3843</v>
      </c>
      <c r="N1505" s="4"/>
      <c r="O1505" s="5"/>
      <c r="P1505" s="4"/>
      <c r="Q1505" s="21" t="str">
        <f>VLOOKUP(tblProductos[[#This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4088</v>
      </c>
      <c r="D1506" s="2" t="s">
        <v>4014</v>
      </c>
      <c r="E1506" s="2" t="s">
        <v>4089</v>
      </c>
      <c r="F1506" s="2">
        <v>500</v>
      </c>
      <c r="G1506" s="2" t="s">
        <v>3842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3843</v>
      </c>
      <c r="N1506" s="4"/>
      <c r="O1506" s="5"/>
      <c r="P1506" s="4"/>
      <c r="Q1506" s="21" t="str">
        <f>VLOOKUP(tblProductos[[#This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4088</v>
      </c>
      <c r="D1507" s="2" t="s">
        <v>4008</v>
      </c>
      <c r="E1507" s="2" t="s">
        <v>4089</v>
      </c>
      <c r="F1507" s="2">
        <v>500</v>
      </c>
      <c r="G1507" s="2" t="s">
        <v>3842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3843</v>
      </c>
      <c r="N1507" s="4"/>
      <c r="O1507" s="5"/>
      <c r="P1507" s="4"/>
      <c r="Q1507" s="21" t="str">
        <f>VLOOKUP(tblProductos[[#This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4088</v>
      </c>
      <c r="D1508" s="2" t="s">
        <v>4020</v>
      </c>
      <c r="E1508" s="2" t="s">
        <v>4089</v>
      </c>
      <c r="F1508" s="2">
        <v>500</v>
      </c>
      <c r="G1508" s="2" t="s">
        <v>3842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3843</v>
      </c>
      <c r="N1508" s="4"/>
      <c r="O1508" s="5"/>
      <c r="P1508" s="4"/>
      <c r="Q1508" s="21" t="str">
        <f>VLOOKUP(tblProductos[[#This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4088</v>
      </c>
      <c r="D1509" s="2" t="s">
        <v>4016</v>
      </c>
      <c r="E1509" s="2" t="s">
        <v>4089</v>
      </c>
      <c r="F1509" s="2">
        <v>500</v>
      </c>
      <c r="G1509" s="2" t="s">
        <v>3842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3843</v>
      </c>
      <c r="N1509" s="4"/>
      <c r="O1509" s="5"/>
      <c r="P1509" s="4"/>
      <c r="Q1509" s="21" t="str">
        <f>VLOOKUP(tblProductos[[#This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4088</v>
      </c>
      <c r="D1510" s="2" t="s">
        <v>4145</v>
      </c>
      <c r="E1510" s="2" t="s">
        <v>4089</v>
      </c>
      <c r="F1510" s="2">
        <v>500</v>
      </c>
      <c r="G1510" s="2" t="s">
        <v>3842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3843</v>
      </c>
      <c r="N1510" s="4"/>
      <c r="O1510" s="5"/>
      <c r="P1510" s="4"/>
      <c r="Q1510" s="21" t="str">
        <f>VLOOKUP(tblProductos[[#This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4088</v>
      </c>
      <c r="D1511" s="2" t="s">
        <v>4021</v>
      </c>
      <c r="E1511" s="2" t="s">
        <v>4089</v>
      </c>
      <c r="F1511" s="2">
        <v>500</v>
      </c>
      <c r="G1511" s="2" t="s">
        <v>3842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3843</v>
      </c>
      <c r="N1511" s="4"/>
      <c r="O1511" s="5"/>
      <c r="P1511" s="4"/>
      <c r="Q1511" s="21" t="str">
        <f>VLOOKUP(tblProductos[[#This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4088</v>
      </c>
      <c r="D1512" s="2" t="s">
        <v>4015</v>
      </c>
      <c r="E1512" s="2" t="s">
        <v>4089</v>
      </c>
      <c r="F1512" s="2">
        <v>500</v>
      </c>
      <c r="G1512" s="2" t="s">
        <v>3842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3843</v>
      </c>
      <c r="N1512" s="4"/>
      <c r="O1512" s="5"/>
      <c r="P1512" s="4"/>
      <c r="Q1512" s="21" t="str">
        <f>VLOOKUP(tblProductos[[#This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4088</v>
      </c>
      <c r="D1513" s="2" t="s">
        <v>4054</v>
      </c>
      <c r="E1513" s="2" t="s">
        <v>4089</v>
      </c>
      <c r="F1513" s="2">
        <v>500</v>
      </c>
      <c r="G1513" s="2" t="s">
        <v>3842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3843</v>
      </c>
      <c r="N1513" s="4"/>
      <c r="O1513" s="5"/>
      <c r="P1513" s="4"/>
      <c r="Q1513" s="21" t="str">
        <f>VLOOKUP(tblProductos[[#This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4088</v>
      </c>
      <c r="D1514" s="2" t="s">
        <v>4118</v>
      </c>
      <c r="E1514" s="2" t="s">
        <v>4089</v>
      </c>
      <c r="F1514" s="2">
        <v>500</v>
      </c>
      <c r="G1514" s="2" t="s">
        <v>3842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3843</v>
      </c>
      <c r="N1514" s="4"/>
      <c r="O1514" s="5"/>
      <c r="P1514" s="4"/>
      <c r="Q1514" s="21" t="str">
        <f>VLOOKUP(tblProductos[[#This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4088</v>
      </c>
      <c r="D1515" s="2" t="s">
        <v>4022</v>
      </c>
      <c r="E1515" s="2" t="s">
        <v>4089</v>
      </c>
      <c r="F1515" s="2">
        <v>500</v>
      </c>
      <c r="G1515" s="2" t="s">
        <v>3842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3843</v>
      </c>
      <c r="N1515" s="4"/>
      <c r="O1515" s="5"/>
      <c r="P1515" s="4"/>
      <c r="Q1515" s="21" t="str">
        <f>VLOOKUP(tblProductos[[#This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4088</v>
      </c>
      <c r="D1516" s="2" t="s">
        <v>3919</v>
      </c>
      <c r="E1516" s="2" t="s">
        <v>4089</v>
      </c>
      <c r="F1516" s="2">
        <v>500</v>
      </c>
      <c r="G1516" s="2" t="s">
        <v>3842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3843</v>
      </c>
      <c r="N1516" s="4"/>
      <c r="O1516" s="5"/>
      <c r="P1516" s="4"/>
      <c r="Q1516" s="21" t="str">
        <f>VLOOKUP(tblProductos[[#This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4088</v>
      </c>
      <c r="D1517" s="2" t="s">
        <v>4023</v>
      </c>
      <c r="E1517" s="2" t="s">
        <v>4089</v>
      </c>
      <c r="F1517" s="2">
        <v>500</v>
      </c>
      <c r="G1517" s="2" t="s">
        <v>3842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3843</v>
      </c>
      <c r="N1517" s="4"/>
      <c r="O1517" s="5"/>
      <c r="P1517" s="4"/>
      <c r="Q1517" s="21" t="str">
        <f>VLOOKUP(tblProductos[[#This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4088</v>
      </c>
      <c r="D1518" s="2" t="s">
        <v>4029</v>
      </c>
      <c r="E1518" s="2" t="s">
        <v>4089</v>
      </c>
      <c r="F1518" s="2">
        <v>500</v>
      </c>
      <c r="G1518" s="2" t="s">
        <v>3842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3843</v>
      </c>
      <c r="N1518" s="4"/>
      <c r="O1518" s="5"/>
      <c r="P1518" s="4"/>
      <c r="Q1518" s="21" t="str">
        <f>VLOOKUP(tblProductos[[#This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4088</v>
      </c>
      <c r="D1519" s="2" t="s">
        <v>4024</v>
      </c>
      <c r="E1519" s="2" t="s">
        <v>4089</v>
      </c>
      <c r="F1519" s="2">
        <v>500</v>
      </c>
      <c r="G1519" s="2" t="s">
        <v>3842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3843</v>
      </c>
      <c r="N1519" s="4"/>
      <c r="O1519" s="5"/>
      <c r="P1519" s="4"/>
      <c r="Q1519" s="21" t="str">
        <f>VLOOKUP(tblProductos[[#This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4088</v>
      </c>
      <c r="D1520" s="2" t="s">
        <v>4034</v>
      </c>
      <c r="E1520" s="2" t="s">
        <v>4089</v>
      </c>
      <c r="F1520" s="2">
        <v>500</v>
      </c>
      <c r="G1520" s="2" t="s">
        <v>3842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3843</v>
      </c>
      <c r="N1520" s="4"/>
      <c r="O1520" s="5"/>
      <c r="P1520" s="4"/>
      <c r="Q1520" s="21" t="str">
        <f>VLOOKUP(tblProductos[[#This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4088</v>
      </c>
      <c r="D1521" s="2" t="s">
        <v>4035</v>
      </c>
      <c r="E1521" s="2" t="s">
        <v>4089</v>
      </c>
      <c r="F1521" s="2">
        <v>500</v>
      </c>
      <c r="G1521" s="2" t="s">
        <v>3842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3843</v>
      </c>
      <c r="N1521" s="4"/>
      <c r="O1521" s="5"/>
      <c r="P1521" s="4"/>
      <c r="Q1521" s="21" t="str">
        <f>VLOOKUP(tblProductos[[#This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4088</v>
      </c>
      <c r="D1522" s="2" t="s">
        <v>4017</v>
      </c>
      <c r="E1522" s="2" t="s">
        <v>4089</v>
      </c>
      <c r="F1522" s="2">
        <v>500</v>
      </c>
      <c r="G1522" s="2" t="s">
        <v>3842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3843</v>
      </c>
      <c r="N1522" s="4"/>
      <c r="O1522" s="5"/>
      <c r="P1522" s="4"/>
      <c r="Q1522" s="21" t="str">
        <f>VLOOKUP(tblProductos[[#This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4088</v>
      </c>
      <c r="D1523" s="2" t="s">
        <v>4010</v>
      </c>
      <c r="E1523" s="2" t="s">
        <v>4089</v>
      </c>
      <c r="F1523" s="2">
        <v>500</v>
      </c>
      <c r="G1523" s="2" t="s">
        <v>3842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3843</v>
      </c>
      <c r="N1523" s="4"/>
      <c r="O1523" s="5"/>
      <c r="P1523" s="4"/>
      <c r="Q1523" s="21" t="str">
        <f>VLOOKUP(tblProductos[[#This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4088</v>
      </c>
      <c r="D1524" s="2" t="s">
        <v>4125</v>
      </c>
      <c r="E1524" s="2" t="s">
        <v>4089</v>
      </c>
      <c r="F1524" s="2">
        <v>500</v>
      </c>
      <c r="G1524" s="2" t="s">
        <v>3842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3843</v>
      </c>
      <c r="N1524" s="4"/>
      <c r="O1524" s="5"/>
      <c r="P1524" s="4"/>
      <c r="Q1524" s="21" t="str">
        <f>VLOOKUP(tblProductos[[#This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4088</v>
      </c>
      <c r="D1525" s="2" t="s">
        <v>4056</v>
      </c>
      <c r="E1525" s="2" t="s">
        <v>4089</v>
      </c>
      <c r="F1525" s="2">
        <v>500</v>
      </c>
      <c r="G1525" s="2" t="s">
        <v>3842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3843</v>
      </c>
      <c r="N1525" s="4"/>
      <c r="O1525" s="5"/>
      <c r="P1525" s="4"/>
      <c r="Q1525" s="21" t="str">
        <f>VLOOKUP(tblProductos[[#This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4088</v>
      </c>
      <c r="D1526" s="2" t="s">
        <v>4006</v>
      </c>
      <c r="E1526" s="2" t="s">
        <v>4089</v>
      </c>
      <c r="F1526" s="2">
        <v>500</v>
      </c>
      <c r="G1526" s="2" t="s">
        <v>3842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3843</v>
      </c>
      <c r="N1526" s="4"/>
      <c r="O1526" s="5"/>
      <c r="P1526" s="4"/>
      <c r="Q1526" s="21" t="str">
        <f>VLOOKUP(tblProductos[[#This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4088</v>
      </c>
      <c r="D1527" s="2" t="s">
        <v>4143</v>
      </c>
      <c r="E1527" s="2" t="s">
        <v>4089</v>
      </c>
      <c r="F1527" s="2">
        <v>500</v>
      </c>
      <c r="G1527" s="2" t="s">
        <v>3842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3843</v>
      </c>
      <c r="N1527" s="4"/>
      <c r="O1527" s="5"/>
      <c r="P1527" s="4"/>
      <c r="Q1527" s="21" t="str">
        <f>VLOOKUP(tblProductos[[#This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4088</v>
      </c>
      <c r="D1528" s="2" t="s">
        <v>4031</v>
      </c>
      <c r="E1528" s="2" t="s">
        <v>4089</v>
      </c>
      <c r="F1528" s="2">
        <v>500</v>
      </c>
      <c r="G1528" s="2" t="s">
        <v>3842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3843</v>
      </c>
      <c r="N1528" s="4"/>
      <c r="O1528" s="5"/>
      <c r="P1528" s="4"/>
      <c r="Q1528" s="21" t="str">
        <f>VLOOKUP(tblProductos[[#This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4088</v>
      </c>
      <c r="D1529" s="2" t="s">
        <v>4011</v>
      </c>
      <c r="E1529" s="2" t="s">
        <v>4089</v>
      </c>
      <c r="F1529" s="2">
        <v>500</v>
      </c>
      <c r="G1529" s="2" t="s">
        <v>3842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3843</v>
      </c>
      <c r="N1529" s="4"/>
      <c r="O1529" s="5"/>
      <c r="P1529" s="4"/>
      <c r="Q1529" s="21" t="str">
        <f>VLOOKUP(tblProductos[[#This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4088</v>
      </c>
      <c r="D1530" s="2" t="s">
        <v>4030</v>
      </c>
      <c r="E1530" s="2" t="s">
        <v>4089</v>
      </c>
      <c r="F1530" s="2">
        <v>500</v>
      </c>
      <c r="G1530" s="2" t="s">
        <v>3842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3843</v>
      </c>
      <c r="N1530" s="4"/>
      <c r="O1530" s="5"/>
      <c r="P1530" s="4"/>
      <c r="Q1530" s="21" t="str">
        <f>VLOOKUP(tblProductos[[#This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4088</v>
      </c>
      <c r="D1531" s="2" t="s">
        <v>4018</v>
      </c>
      <c r="E1531" s="2" t="s">
        <v>4089</v>
      </c>
      <c r="F1531" s="2">
        <v>500</v>
      </c>
      <c r="G1531" s="2" t="s">
        <v>3842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3843</v>
      </c>
      <c r="N1531" s="4"/>
      <c r="O1531" s="5"/>
      <c r="P1531" s="4"/>
      <c r="Q1531" s="21" t="str">
        <f>VLOOKUP(tblProductos[[#This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4088</v>
      </c>
      <c r="D1532" s="2" t="s">
        <v>4009</v>
      </c>
      <c r="E1532" s="2" t="s">
        <v>4089</v>
      </c>
      <c r="F1532" s="2">
        <v>500</v>
      </c>
      <c r="G1532" s="2" t="s">
        <v>3842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3843</v>
      </c>
      <c r="N1532" s="4"/>
      <c r="O1532" s="5"/>
      <c r="P1532" s="4"/>
      <c r="Q1532" s="21" t="str">
        <f>VLOOKUP(tblProductos[[#This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4088</v>
      </c>
      <c r="D1533" s="2" t="s">
        <v>4012</v>
      </c>
      <c r="E1533" s="2" t="s">
        <v>4089</v>
      </c>
      <c r="F1533" s="2">
        <v>500</v>
      </c>
      <c r="G1533" s="2" t="s">
        <v>3842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3843</v>
      </c>
      <c r="N1533" s="4"/>
      <c r="O1533" s="5"/>
      <c r="P1533" s="4"/>
      <c r="Q1533" s="21" t="str">
        <f>VLOOKUP(tblProductos[[#This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4088</v>
      </c>
      <c r="D1534" s="2" t="s">
        <v>4013</v>
      </c>
      <c r="E1534" s="2" t="s">
        <v>4089</v>
      </c>
      <c r="F1534" s="2">
        <v>500</v>
      </c>
      <c r="G1534" s="2" t="s">
        <v>3842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3843</v>
      </c>
      <c r="N1534" s="4"/>
      <c r="O1534" s="5"/>
      <c r="P1534" s="4"/>
      <c r="Q1534" s="21" t="str">
        <f>VLOOKUP(tblProductos[[#This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4088</v>
      </c>
      <c r="D1535" s="2" t="s">
        <v>3923</v>
      </c>
      <c r="E1535" s="2" t="s">
        <v>4089</v>
      </c>
      <c r="F1535" s="2">
        <v>500</v>
      </c>
      <c r="G1535" s="2" t="s">
        <v>3842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3843</v>
      </c>
      <c r="N1535" s="4"/>
      <c r="O1535" s="5"/>
      <c r="P1535" s="4"/>
      <c r="Q1535" s="21" t="str">
        <f>VLOOKUP(tblProductos[[#This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4088</v>
      </c>
      <c r="D1536" s="2" t="s">
        <v>4019</v>
      </c>
      <c r="E1536" s="2" t="s">
        <v>4089</v>
      </c>
      <c r="F1536" s="2">
        <v>500</v>
      </c>
      <c r="G1536" s="2" t="s">
        <v>3842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3843</v>
      </c>
      <c r="N1536" s="4"/>
      <c r="O1536" s="5"/>
      <c r="P1536" s="4"/>
      <c r="Q1536" s="21" t="str">
        <f>VLOOKUP(tblProductos[[#This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4088</v>
      </c>
      <c r="D1537" s="2" t="s">
        <v>4032</v>
      </c>
      <c r="E1537" s="2" t="s">
        <v>4089</v>
      </c>
      <c r="F1537" s="2">
        <v>500</v>
      </c>
      <c r="G1537" s="2" t="s">
        <v>3842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3843</v>
      </c>
      <c r="N1537" s="4"/>
      <c r="O1537" s="5"/>
      <c r="P1537" s="4"/>
      <c r="Q1537" s="21" t="str">
        <f>VLOOKUP(tblProductos[[#This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4088</v>
      </c>
      <c r="D1538" s="2" t="s">
        <v>4007</v>
      </c>
      <c r="E1538" s="2" t="s">
        <v>4089</v>
      </c>
      <c r="F1538" s="2">
        <v>500</v>
      </c>
      <c r="G1538" s="2" t="s">
        <v>3842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3843</v>
      </c>
      <c r="N1538" s="4"/>
      <c r="O1538" s="5"/>
      <c r="P1538" s="4"/>
      <c r="Q1538" s="21" t="str">
        <f>VLOOKUP(tblProductos[[#This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4088</v>
      </c>
      <c r="D1539" s="2" t="s">
        <v>3888</v>
      </c>
      <c r="E1539" s="2" t="s">
        <v>4089</v>
      </c>
      <c r="F1539" s="2">
        <v>500</v>
      </c>
      <c r="G1539" s="2" t="s">
        <v>3842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3843</v>
      </c>
      <c r="N1539" s="4"/>
      <c r="O1539" s="5"/>
      <c r="P1539" s="4"/>
      <c r="Q1539" s="21" t="str">
        <f>VLOOKUP(tblProductos[[#This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4088</v>
      </c>
      <c r="D1540" s="2" t="s">
        <v>4033</v>
      </c>
      <c r="E1540" s="2" t="s">
        <v>4089</v>
      </c>
      <c r="F1540" s="2">
        <v>500</v>
      </c>
      <c r="G1540" s="2" t="s">
        <v>3842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3843</v>
      </c>
      <c r="N1540" s="4"/>
      <c r="O1540" s="5"/>
      <c r="P1540" s="4"/>
      <c r="Q1540" s="21" t="str">
        <f>VLOOKUP(tblProductos[[#This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4088</v>
      </c>
      <c r="D1541" s="2" t="s">
        <v>4144</v>
      </c>
      <c r="E1541" s="2" t="s">
        <v>4089</v>
      </c>
      <c r="F1541" s="2">
        <v>500</v>
      </c>
      <c r="G1541" s="2" t="s">
        <v>3842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3843</v>
      </c>
      <c r="N1541" s="4"/>
      <c r="O1541" s="5"/>
      <c r="P1541" s="4"/>
      <c r="Q1541" s="21" t="str">
        <f>VLOOKUP(tblProductos[[#This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4088</v>
      </c>
      <c r="D1542" s="2" t="s">
        <v>4014</v>
      </c>
      <c r="E1542" s="2" t="s">
        <v>4089</v>
      </c>
      <c r="F1542" s="2">
        <v>500</v>
      </c>
      <c r="G1542" s="2" t="s">
        <v>3842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3843</v>
      </c>
      <c r="N1542" s="4"/>
      <c r="O1542" s="5"/>
      <c r="P1542" s="4"/>
      <c r="Q1542" s="21" t="str">
        <f>VLOOKUP(tblProductos[[#This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4088</v>
      </c>
      <c r="D1543" s="2" t="s">
        <v>4008</v>
      </c>
      <c r="E1543" s="2" t="s">
        <v>4089</v>
      </c>
      <c r="F1543" s="2">
        <v>500</v>
      </c>
      <c r="G1543" s="2" t="s">
        <v>3842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3843</v>
      </c>
      <c r="N1543" s="4"/>
      <c r="O1543" s="5"/>
      <c r="P1543" s="4"/>
      <c r="Q1543" s="21" t="str">
        <f>VLOOKUP(tblProductos[[#This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4088</v>
      </c>
      <c r="D1544" s="2" t="s">
        <v>4020</v>
      </c>
      <c r="E1544" s="2" t="s">
        <v>4089</v>
      </c>
      <c r="F1544" s="2">
        <v>500</v>
      </c>
      <c r="G1544" s="2" t="s">
        <v>3842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3843</v>
      </c>
      <c r="N1544" s="4"/>
      <c r="O1544" s="5"/>
      <c r="P1544" s="4"/>
      <c r="Q1544" s="21" t="str">
        <f>VLOOKUP(tblProductos[[#This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4088</v>
      </c>
      <c r="D1545" s="2" t="s">
        <v>4016</v>
      </c>
      <c r="E1545" s="2" t="s">
        <v>4089</v>
      </c>
      <c r="F1545" s="2">
        <v>500</v>
      </c>
      <c r="G1545" s="2" t="s">
        <v>3842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3843</v>
      </c>
      <c r="N1545" s="4"/>
      <c r="O1545" s="5"/>
      <c r="P1545" s="4"/>
      <c r="Q1545" s="21" t="str">
        <f>VLOOKUP(tblProductos[[#This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4088</v>
      </c>
      <c r="D1546" s="2" t="s">
        <v>4145</v>
      </c>
      <c r="E1546" s="2" t="s">
        <v>4089</v>
      </c>
      <c r="F1546" s="2">
        <v>500</v>
      </c>
      <c r="G1546" s="2" t="s">
        <v>3842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3843</v>
      </c>
      <c r="N1546" s="4"/>
      <c r="O1546" s="5"/>
      <c r="P1546" s="4"/>
      <c r="Q1546" s="21" t="str">
        <f>VLOOKUP(tblProductos[[#This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4088</v>
      </c>
      <c r="D1547" s="2" t="s">
        <v>4021</v>
      </c>
      <c r="E1547" s="2" t="s">
        <v>4089</v>
      </c>
      <c r="F1547" s="2">
        <v>500</v>
      </c>
      <c r="G1547" s="2" t="s">
        <v>3842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3843</v>
      </c>
      <c r="N1547" s="4"/>
      <c r="O1547" s="5"/>
      <c r="P1547" s="4"/>
      <c r="Q1547" s="21" t="str">
        <f>VLOOKUP(tblProductos[[#This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4088</v>
      </c>
      <c r="D1548" s="2" t="s">
        <v>4015</v>
      </c>
      <c r="E1548" s="2" t="s">
        <v>4089</v>
      </c>
      <c r="F1548" s="2">
        <v>500</v>
      </c>
      <c r="G1548" s="2" t="s">
        <v>3842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3843</v>
      </c>
      <c r="N1548" s="4"/>
      <c r="O1548" s="5"/>
      <c r="P1548" s="4"/>
      <c r="Q1548" s="21" t="str">
        <f>VLOOKUP(tblProductos[[#This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4088</v>
      </c>
      <c r="D1549" s="2" t="s">
        <v>4054</v>
      </c>
      <c r="E1549" s="2" t="s">
        <v>4089</v>
      </c>
      <c r="F1549" s="2">
        <v>500</v>
      </c>
      <c r="G1549" s="2" t="s">
        <v>3842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3843</v>
      </c>
      <c r="N1549" s="4"/>
      <c r="O1549" s="5"/>
      <c r="P1549" s="4"/>
      <c r="Q1549" s="21" t="str">
        <f>VLOOKUP(tblProductos[[#This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4088</v>
      </c>
      <c r="D1550" s="2" t="s">
        <v>4118</v>
      </c>
      <c r="E1550" s="2" t="s">
        <v>4089</v>
      </c>
      <c r="F1550" s="2">
        <v>500</v>
      </c>
      <c r="G1550" s="2" t="s">
        <v>3842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3843</v>
      </c>
      <c r="N1550" s="4"/>
      <c r="O1550" s="5"/>
      <c r="P1550" s="4"/>
      <c r="Q1550" s="21" t="str">
        <f>VLOOKUP(tblProductos[[#This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4088</v>
      </c>
      <c r="D1551" s="2" t="s">
        <v>4022</v>
      </c>
      <c r="E1551" s="2" t="s">
        <v>4089</v>
      </c>
      <c r="F1551" s="2">
        <v>500</v>
      </c>
      <c r="G1551" s="2" t="s">
        <v>3842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3843</v>
      </c>
      <c r="N1551" s="4"/>
      <c r="O1551" s="5"/>
      <c r="P1551" s="4"/>
      <c r="Q1551" s="21" t="str">
        <f>VLOOKUP(tblProductos[[#This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4088</v>
      </c>
      <c r="D1552" s="2" t="s">
        <v>3919</v>
      </c>
      <c r="E1552" s="2" t="s">
        <v>4089</v>
      </c>
      <c r="F1552" s="2">
        <v>500</v>
      </c>
      <c r="G1552" s="2" t="s">
        <v>3842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3843</v>
      </c>
      <c r="N1552" s="4"/>
      <c r="O1552" s="5"/>
      <c r="P1552" s="4"/>
      <c r="Q1552" s="21" t="str">
        <f>VLOOKUP(tblProductos[[#This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4088</v>
      </c>
      <c r="D1553" s="2" t="s">
        <v>4023</v>
      </c>
      <c r="E1553" s="2" t="s">
        <v>4089</v>
      </c>
      <c r="F1553" s="2">
        <v>500</v>
      </c>
      <c r="G1553" s="2" t="s">
        <v>3842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3843</v>
      </c>
      <c r="N1553" s="4"/>
      <c r="O1553" s="5"/>
      <c r="P1553" s="4"/>
      <c r="Q1553" s="21" t="str">
        <f>VLOOKUP(tblProductos[[#This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4088</v>
      </c>
      <c r="D1554" s="2" t="s">
        <v>4029</v>
      </c>
      <c r="E1554" s="2" t="s">
        <v>4089</v>
      </c>
      <c r="F1554" s="2">
        <v>500</v>
      </c>
      <c r="G1554" s="2" t="s">
        <v>3842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3843</v>
      </c>
      <c r="N1554" s="4"/>
      <c r="O1554" s="5"/>
      <c r="P1554" s="4"/>
      <c r="Q1554" s="21" t="str">
        <f>VLOOKUP(tblProductos[[#This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4088</v>
      </c>
      <c r="D1555" s="2" t="s">
        <v>4024</v>
      </c>
      <c r="E1555" s="2" t="s">
        <v>4089</v>
      </c>
      <c r="F1555" s="2">
        <v>500</v>
      </c>
      <c r="G1555" s="2" t="s">
        <v>3842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3843</v>
      </c>
      <c r="N1555" s="4"/>
      <c r="O1555" s="5"/>
      <c r="P1555" s="4"/>
      <c r="Q1555" s="21" t="str">
        <f>VLOOKUP(tblProductos[[#This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4088</v>
      </c>
      <c r="D1556" s="2" t="s">
        <v>4034</v>
      </c>
      <c r="E1556" s="2" t="s">
        <v>4089</v>
      </c>
      <c r="F1556" s="2">
        <v>500</v>
      </c>
      <c r="G1556" s="2" t="s">
        <v>3842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3843</v>
      </c>
      <c r="N1556" s="4"/>
      <c r="O1556" s="5"/>
      <c r="P1556" s="4"/>
      <c r="Q1556" s="21" t="str">
        <f>VLOOKUP(tblProductos[[#This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4088</v>
      </c>
      <c r="D1557" s="2" t="s">
        <v>4035</v>
      </c>
      <c r="E1557" s="2" t="s">
        <v>4089</v>
      </c>
      <c r="F1557" s="2">
        <v>500</v>
      </c>
      <c r="G1557" s="2" t="s">
        <v>3842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3843</v>
      </c>
      <c r="N1557" s="4"/>
      <c r="O1557" s="5"/>
      <c r="P1557" s="4"/>
      <c r="Q1557" s="21" t="str">
        <f>VLOOKUP(tblProductos[[#This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4090</v>
      </c>
      <c r="D1558" s="2" t="s">
        <v>4017</v>
      </c>
      <c r="E1558" s="2" t="s">
        <v>4091</v>
      </c>
      <c r="F1558" s="2">
        <v>500</v>
      </c>
      <c r="G1558" s="2" t="s">
        <v>3842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3843</v>
      </c>
      <c r="N1558" s="4"/>
      <c r="O1558" s="5"/>
      <c r="P1558" s="4"/>
      <c r="Q1558" s="21" t="str">
        <f>VLOOKUP(tblProductos[[#This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4090</v>
      </c>
      <c r="D1559" s="2" t="s">
        <v>4010</v>
      </c>
      <c r="E1559" s="2" t="s">
        <v>4091</v>
      </c>
      <c r="F1559" s="2">
        <v>500</v>
      </c>
      <c r="G1559" s="2" t="s">
        <v>3842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3843</v>
      </c>
      <c r="N1559" s="4"/>
      <c r="O1559" s="5"/>
      <c r="P1559" s="4"/>
      <c r="Q1559" s="21" t="str">
        <f>VLOOKUP(tblProductos[[#This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4090</v>
      </c>
      <c r="D1560" s="2" t="s">
        <v>4125</v>
      </c>
      <c r="E1560" s="2" t="s">
        <v>4091</v>
      </c>
      <c r="F1560" s="2">
        <v>500</v>
      </c>
      <c r="G1560" s="2" t="s">
        <v>3842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3843</v>
      </c>
      <c r="N1560" s="4"/>
      <c r="O1560" s="5"/>
      <c r="P1560" s="4"/>
      <c r="Q1560" s="21" t="str">
        <f>VLOOKUP(tblProductos[[#This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4090</v>
      </c>
      <c r="D1561" s="2" t="s">
        <v>4056</v>
      </c>
      <c r="E1561" s="2" t="s">
        <v>4091</v>
      </c>
      <c r="F1561" s="2">
        <v>500</v>
      </c>
      <c r="G1561" s="2" t="s">
        <v>3842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3843</v>
      </c>
      <c r="N1561" s="4"/>
      <c r="O1561" s="5"/>
      <c r="P1561" s="4"/>
      <c r="Q1561" s="21" t="str">
        <f>VLOOKUP(tblProductos[[#This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4090</v>
      </c>
      <c r="D1562" s="2" t="s">
        <v>4006</v>
      </c>
      <c r="E1562" s="2" t="s">
        <v>4091</v>
      </c>
      <c r="F1562" s="2">
        <v>500</v>
      </c>
      <c r="G1562" s="2" t="s">
        <v>3842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3843</v>
      </c>
      <c r="N1562" s="4"/>
      <c r="O1562" s="5"/>
      <c r="P1562" s="4"/>
      <c r="Q1562" s="21" t="str">
        <f>VLOOKUP(tblProductos[[#This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4090</v>
      </c>
      <c r="D1563" s="2" t="s">
        <v>4143</v>
      </c>
      <c r="E1563" s="2" t="s">
        <v>4091</v>
      </c>
      <c r="F1563" s="2">
        <v>500</v>
      </c>
      <c r="G1563" s="2" t="s">
        <v>3842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3843</v>
      </c>
      <c r="N1563" s="4"/>
      <c r="O1563" s="5"/>
      <c r="P1563" s="4"/>
      <c r="Q1563" s="21" t="str">
        <f>VLOOKUP(tblProductos[[#This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4090</v>
      </c>
      <c r="D1564" s="2" t="s">
        <v>4031</v>
      </c>
      <c r="E1564" s="2" t="s">
        <v>4091</v>
      </c>
      <c r="F1564" s="2">
        <v>500</v>
      </c>
      <c r="G1564" s="2" t="s">
        <v>3842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3843</v>
      </c>
      <c r="N1564" s="4"/>
      <c r="O1564" s="5"/>
      <c r="P1564" s="4"/>
      <c r="Q1564" s="21" t="str">
        <f>VLOOKUP(tblProductos[[#This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4090</v>
      </c>
      <c r="D1565" s="2" t="s">
        <v>4011</v>
      </c>
      <c r="E1565" s="2" t="s">
        <v>4091</v>
      </c>
      <c r="F1565" s="2">
        <v>500</v>
      </c>
      <c r="G1565" s="2" t="s">
        <v>3842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3843</v>
      </c>
      <c r="N1565" s="4"/>
      <c r="O1565" s="5"/>
      <c r="P1565" s="4"/>
      <c r="Q1565" s="21" t="str">
        <f>VLOOKUP(tblProductos[[#This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4090</v>
      </c>
      <c r="D1566" s="2" t="s">
        <v>4030</v>
      </c>
      <c r="E1566" s="2" t="s">
        <v>4091</v>
      </c>
      <c r="F1566" s="2">
        <v>500</v>
      </c>
      <c r="G1566" s="2" t="s">
        <v>3842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3843</v>
      </c>
      <c r="N1566" s="4"/>
      <c r="O1566" s="5"/>
      <c r="P1566" s="4"/>
      <c r="Q1566" s="21" t="str">
        <f>VLOOKUP(tblProductos[[#This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4090</v>
      </c>
      <c r="D1567" s="2" t="s">
        <v>4018</v>
      </c>
      <c r="E1567" s="2" t="s">
        <v>4091</v>
      </c>
      <c r="F1567" s="2">
        <v>500</v>
      </c>
      <c r="G1567" s="2" t="s">
        <v>3842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3843</v>
      </c>
      <c r="N1567" s="4"/>
      <c r="O1567" s="5"/>
      <c r="P1567" s="4"/>
      <c r="Q1567" s="21" t="str">
        <f>VLOOKUP(tblProductos[[#This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4090</v>
      </c>
      <c r="D1568" s="2" t="s">
        <v>4009</v>
      </c>
      <c r="E1568" s="2" t="s">
        <v>4091</v>
      </c>
      <c r="F1568" s="2">
        <v>500</v>
      </c>
      <c r="G1568" s="2" t="s">
        <v>3842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3843</v>
      </c>
      <c r="N1568" s="4"/>
      <c r="O1568" s="5"/>
      <c r="P1568" s="4"/>
      <c r="Q1568" s="21" t="str">
        <f>VLOOKUP(tblProductos[[#This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4090</v>
      </c>
      <c r="D1569" s="2" t="s">
        <v>4012</v>
      </c>
      <c r="E1569" s="2" t="s">
        <v>4091</v>
      </c>
      <c r="F1569" s="2">
        <v>500</v>
      </c>
      <c r="G1569" s="2" t="s">
        <v>3842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3843</v>
      </c>
      <c r="N1569" s="4"/>
      <c r="O1569" s="5"/>
      <c r="P1569" s="4"/>
      <c r="Q1569" s="21" t="str">
        <f>VLOOKUP(tblProductos[[#This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4090</v>
      </c>
      <c r="D1570" s="2" t="s">
        <v>4013</v>
      </c>
      <c r="E1570" s="2" t="s">
        <v>4091</v>
      </c>
      <c r="F1570" s="2">
        <v>500</v>
      </c>
      <c r="G1570" s="2" t="s">
        <v>3842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3843</v>
      </c>
      <c r="N1570" s="4"/>
      <c r="O1570" s="5"/>
      <c r="P1570" s="4"/>
      <c r="Q1570" s="21" t="str">
        <f>VLOOKUP(tblProductos[[#This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4090</v>
      </c>
      <c r="D1571" s="2" t="s">
        <v>3923</v>
      </c>
      <c r="E1571" s="2" t="s">
        <v>4091</v>
      </c>
      <c r="F1571" s="2">
        <v>500</v>
      </c>
      <c r="G1571" s="2" t="s">
        <v>3842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3843</v>
      </c>
      <c r="N1571" s="4"/>
      <c r="O1571" s="5"/>
      <c r="P1571" s="4"/>
      <c r="Q1571" s="21" t="str">
        <f>VLOOKUP(tblProductos[[#This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4090</v>
      </c>
      <c r="D1572" s="2" t="s">
        <v>4019</v>
      </c>
      <c r="E1572" s="2" t="s">
        <v>4091</v>
      </c>
      <c r="F1572" s="2">
        <v>500</v>
      </c>
      <c r="G1572" s="2" t="s">
        <v>3842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3843</v>
      </c>
      <c r="N1572" s="4"/>
      <c r="O1572" s="5"/>
      <c r="P1572" s="4"/>
      <c r="Q1572" s="21" t="str">
        <f>VLOOKUP(tblProductos[[#This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4090</v>
      </c>
      <c r="D1573" s="2" t="s">
        <v>4032</v>
      </c>
      <c r="E1573" s="2" t="s">
        <v>4091</v>
      </c>
      <c r="F1573" s="2">
        <v>500</v>
      </c>
      <c r="G1573" s="2" t="s">
        <v>3842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3843</v>
      </c>
      <c r="N1573" s="4"/>
      <c r="O1573" s="5"/>
      <c r="P1573" s="4"/>
      <c r="Q1573" s="21" t="str">
        <f>VLOOKUP(tblProductos[[#This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4090</v>
      </c>
      <c r="D1574" s="2" t="s">
        <v>4007</v>
      </c>
      <c r="E1574" s="2" t="s">
        <v>4091</v>
      </c>
      <c r="F1574" s="2">
        <v>500</v>
      </c>
      <c r="G1574" s="2" t="s">
        <v>3842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3843</v>
      </c>
      <c r="N1574" s="4"/>
      <c r="O1574" s="5"/>
      <c r="P1574" s="4"/>
      <c r="Q1574" s="21" t="str">
        <f>VLOOKUP(tblProductos[[#This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4090</v>
      </c>
      <c r="D1575" s="2" t="s">
        <v>3888</v>
      </c>
      <c r="E1575" s="2" t="s">
        <v>4091</v>
      </c>
      <c r="F1575" s="2">
        <v>500</v>
      </c>
      <c r="G1575" s="2" t="s">
        <v>3842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3843</v>
      </c>
      <c r="N1575" s="4"/>
      <c r="O1575" s="5"/>
      <c r="P1575" s="4"/>
      <c r="Q1575" s="21" t="str">
        <f>VLOOKUP(tblProductos[[#This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4090</v>
      </c>
      <c r="D1576" s="2" t="s">
        <v>4033</v>
      </c>
      <c r="E1576" s="2" t="s">
        <v>4091</v>
      </c>
      <c r="F1576" s="2">
        <v>500</v>
      </c>
      <c r="G1576" s="2" t="s">
        <v>3842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3843</v>
      </c>
      <c r="N1576" s="4"/>
      <c r="O1576" s="5"/>
      <c r="P1576" s="4"/>
      <c r="Q1576" s="21" t="str">
        <f>VLOOKUP(tblProductos[[#This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4090</v>
      </c>
      <c r="D1577" s="2" t="s">
        <v>4144</v>
      </c>
      <c r="E1577" s="2" t="s">
        <v>4091</v>
      </c>
      <c r="F1577" s="2">
        <v>500</v>
      </c>
      <c r="G1577" s="2" t="s">
        <v>3842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3843</v>
      </c>
      <c r="N1577" s="4"/>
      <c r="O1577" s="5"/>
      <c r="P1577" s="4"/>
      <c r="Q1577" s="21" t="str">
        <f>VLOOKUP(tblProductos[[#This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4090</v>
      </c>
      <c r="D1578" s="2" t="s">
        <v>4014</v>
      </c>
      <c r="E1578" s="2" t="s">
        <v>4091</v>
      </c>
      <c r="F1578" s="2">
        <v>500</v>
      </c>
      <c r="G1578" s="2" t="s">
        <v>3842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3843</v>
      </c>
      <c r="N1578" s="4"/>
      <c r="O1578" s="5"/>
      <c r="P1578" s="4"/>
      <c r="Q1578" s="21" t="str">
        <f>VLOOKUP(tblProductos[[#This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4090</v>
      </c>
      <c r="D1579" s="2" t="s">
        <v>4008</v>
      </c>
      <c r="E1579" s="2" t="s">
        <v>4091</v>
      </c>
      <c r="F1579" s="2">
        <v>500</v>
      </c>
      <c r="G1579" s="2" t="s">
        <v>3842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3843</v>
      </c>
      <c r="N1579" s="4"/>
      <c r="O1579" s="5"/>
      <c r="P1579" s="4"/>
      <c r="Q1579" s="21" t="str">
        <f>VLOOKUP(tblProductos[[#This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4090</v>
      </c>
      <c r="D1580" s="2" t="s">
        <v>4020</v>
      </c>
      <c r="E1580" s="2" t="s">
        <v>4091</v>
      </c>
      <c r="F1580" s="2">
        <v>500</v>
      </c>
      <c r="G1580" s="2" t="s">
        <v>3842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3843</v>
      </c>
      <c r="N1580" s="4"/>
      <c r="O1580" s="5"/>
      <c r="P1580" s="4"/>
      <c r="Q1580" s="21" t="str">
        <f>VLOOKUP(tblProductos[[#This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4090</v>
      </c>
      <c r="D1581" s="2" t="s">
        <v>4016</v>
      </c>
      <c r="E1581" s="2" t="s">
        <v>4091</v>
      </c>
      <c r="F1581" s="2">
        <v>500</v>
      </c>
      <c r="G1581" s="2" t="s">
        <v>3842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3843</v>
      </c>
      <c r="N1581" s="4"/>
      <c r="O1581" s="5"/>
      <c r="P1581" s="4"/>
      <c r="Q1581" s="21" t="str">
        <f>VLOOKUP(tblProductos[[#This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4090</v>
      </c>
      <c r="D1582" s="2" t="s">
        <v>4145</v>
      </c>
      <c r="E1582" s="2" t="s">
        <v>4091</v>
      </c>
      <c r="F1582" s="2">
        <v>500</v>
      </c>
      <c r="G1582" s="2" t="s">
        <v>3842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3843</v>
      </c>
      <c r="N1582" s="4"/>
      <c r="O1582" s="5"/>
      <c r="P1582" s="4"/>
      <c r="Q1582" s="21" t="str">
        <f>VLOOKUP(tblProductos[[#This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4090</v>
      </c>
      <c r="D1583" s="2" t="s">
        <v>4021</v>
      </c>
      <c r="E1583" s="2" t="s">
        <v>4091</v>
      </c>
      <c r="F1583" s="2">
        <v>500</v>
      </c>
      <c r="G1583" s="2" t="s">
        <v>3842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3843</v>
      </c>
      <c r="N1583" s="4"/>
      <c r="O1583" s="5"/>
      <c r="P1583" s="4"/>
      <c r="Q1583" s="21" t="str">
        <f>VLOOKUP(tblProductos[[#This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4090</v>
      </c>
      <c r="D1584" s="2" t="s">
        <v>4015</v>
      </c>
      <c r="E1584" s="2" t="s">
        <v>4091</v>
      </c>
      <c r="F1584" s="2">
        <v>500</v>
      </c>
      <c r="G1584" s="2" t="s">
        <v>3842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3843</v>
      </c>
      <c r="N1584" s="4"/>
      <c r="O1584" s="5"/>
      <c r="P1584" s="4"/>
      <c r="Q1584" s="21" t="str">
        <f>VLOOKUP(tblProductos[[#This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4090</v>
      </c>
      <c r="D1585" s="2" t="s">
        <v>4054</v>
      </c>
      <c r="E1585" s="2" t="s">
        <v>4091</v>
      </c>
      <c r="F1585" s="2">
        <v>500</v>
      </c>
      <c r="G1585" s="2" t="s">
        <v>3842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3843</v>
      </c>
      <c r="N1585" s="4"/>
      <c r="O1585" s="5"/>
      <c r="P1585" s="4"/>
      <c r="Q1585" s="21" t="str">
        <f>VLOOKUP(tblProductos[[#This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4090</v>
      </c>
      <c r="D1586" s="2" t="s">
        <v>4118</v>
      </c>
      <c r="E1586" s="2" t="s">
        <v>4091</v>
      </c>
      <c r="F1586" s="2">
        <v>500</v>
      </c>
      <c r="G1586" s="2" t="s">
        <v>3842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3843</v>
      </c>
      <c r="N1586" s="4"/>
      <c r="O1586" s="5"/>
      <c r="P1586" s="4"/>
      <c r="Q1586" s="21" t="str">
        <f>VLOOKUP(tblProductos[[#This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4090</v>
      </c>
      <c r="D1587" s="2" t="s">
        <v>4022</v>
      </c>
      <c r="E1587" s="2" t="s">
        <v>4091</v>
      </c>
      <c r="F1587" s="2">
        <v>500</v>
      </c>
      <c r="G1587" s="2" t="s">
        <v>3842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3843</v>
      </c>
      <c r="N1587" s="4"/>
      <c r="O1587" s="5"/>
      <c r="P1587" s="4"/>
      <c r="Q1587" s="21" t="str">
        <f>VLOOKUP(tblProductos[[#This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4090</v>
      </c>
      <c r="D1588" s="2" t="s">
        <v>3919</v>
      </c>
      <c r="E1588" s="2" t="s">
        <v>4091</v>
      </c>
      <c r="F1588" s="2">
        <v>500</v>
      </c>
      <c r="G1588" s="2" t="s">
        <v>3842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3843</v>
      </c>
      <c r="N1588" s="4"/>
      <c r="O1588" s="5"/>
      <c r="P1588" s="4"/>
      <c r="Q1588" s="21" t="str">
        <f>VLOOKUP(tblProductos[[#This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4090</v>
      </c>
      <c r="D1589" s="2" t="s">
        <v>4023</v>
      </c>
      <c r="E1589" s="2" t="s">
        <v>4091</v>
      </c>
      <c r="F1589" s="2">
        <v>500</v>
      </c>
      <c r="G1589" s="2" t="s">
        <v>3842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3843</v>
      </c>
      <c r="N1589" s="4"/>
      <c r="O1589" s="5"/>
      <c r="P1589" s="4"/>
      <c r="Q1589" s="21" t="str">
        <f>VLOOKUP(tblProductos[[#This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4090</v>
      </c>
      <c r="D1590" s="2" t="s">
        <v>4029</v>
      </c>
      <c r="E1590" s="2" t="s">
        <v>4091</v>
      </c>
      <c r="F1590" s="2">
        <v>500</v>
      </c>
      <c r="G1590" s="2" t="s">
        <v>3842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3843</v>
      </c>
      <c r="N1590" s="4"/>
      <c r="O1590" s="5"/>
      <c r="P1590" s="4"/>
      <c r="Q1590" s="21" t="str">
        <f>VLOOKUP(tblProductos[[#This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4090</v>
      </c>
      <c r="D1591" s="2" t="s">
        <v>4024</v>
      </c>
      <c r="E1591" s="2" t="s">
        <v>4091</v>
      </c>
      <c r="F1591" s="2">
        <v>500</v>
      </c>
      <c r="G1591" s="2" t="s">
        <v>3842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3843</v>
      </c>
      <c r="N1591" s="4"/>
      <c r="O1591" s="5"/>
      <c r="P1591" s="4"/>
      <c r="Q1591" s="21" t="str">
        <f>VLOOKUP(tblProductos[[#This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4090</v>
      </c>
      <c r="D1592" s="2" t="s">
        <v>4034</v>
      </c>
      <c r="E1592" s="2" t="s">
        <v>4091</v>
      </c>
      <c r="F1592" s="2">
        <v>500</v>
      </c>
      <c r="G1592" s="2" t="s">
        <v>3842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3843</v>
      </c>
      <c r="N1592" s="4"/>
      <c r="O1592" s="5"/>
      <c r="P1592" s="4"/>
      <c r="Q1592" s="21" t="str">
        <f>VLOOKUP(tblProductos[[#This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4090</v>
      </c>
      <c r="D1593" s="2" t="s">
        <v>4035</v>
      </c>
      <c r="E1593" s="2" t="s">
        <v>4091</v>
      </c>
      <c r="F1593" s="2">
        <v>500</v>
      </c>
      <c r="G1593" s="2" t="s">
        <v>3842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3843</v>
      </c>
      <c r="N1593" s="4"/>
      <c r="O1593" s="5"/>
      <c r="P1593" s="4"/>
      <c r="Q1593" s="21" t="str">
        <f>VLOOKUP(tblProductos[[#This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4090</v>
      </c>
      <c r="D1594" s="2" t="s">
        <v>4017</v>
      </c>
      <c r="E1594" s="2" t="s">
        <v>4091</v>
      </c>
      <c r="F1594" s="2">
        <v>500</v>
      </c>
      <c r="G1594" s="2" t="s">
        <v>3842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3843</v>
      </c>
      <c r="N1594" s="4"/>
      <c r="O1594" s="5"/>
      <c r="P1594" s="4"/>
      <c r="Q1594" s="21" t="str">
        <f>VLOOKUP(tblProductos[[#This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4090</v>
      </c>
      <c r="D1595" s="2" t="s">
        <v>4010</v>
      </c>
      <c r="E1595" s="2" t="s">
        <v>4091</v>
      </c>
      <c r="F1595" s="2">
        <v>500</v>
      </c>
      <c r="G1595" s="2" t="s">
        <v>3842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3843</v>
      </c>
      <c r="N1595" s="4"/>
      <c r="O1595" s="5"/>
      <c r="P1595" s="4"/>
      <c r="Q1595" s="21" t="str">
        <f>VLOOKUP(tblProductos[[#This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4090</v>
      </c>
      <c r="D1596" s="2" t="s">
        <v>4125</v>
      </c>
      <c r="E1596" s="2" t="s">
        <v>4091</v>
      </c>
      <c r="F1596" s="2">
        <v>500</v>
      </c>
      <c r="G1596" s="2" t="s">
        <v>3842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3843</v>
      </c>
      <c r="N1596" s="4"/>
      <c r="O1596" s="5"/>
      <c r="P1596" s="4"/>
      <c r="Q1596" s="21" t="str">
        <f>VLOOKUP(tblProductos[[#This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4090</v>
      </c>
      <c r="D1597" s="2" t="s">
        <v>4056</v>
      </c>
      <c r="E1597" s="2" t="s">
        <v>4091</v>
      </c>
      <c r="F1597" s="2">
        <v>500</v>
      </c>
      <c r="G1597" s="2" t="s">
        <v>3842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3843</v>
      </c>
      <c r="N1597" s="4"/>
      <c r="O1597" s="5"/>
      <c r="P1597" s="4"/>
      <c r="Q1597" s="21" t="str">
        <f>VLOOKUP(tblProductos[[#This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4090</v>
      </c>
      <c r="D1598" s="2" t="s">
        <v>4006</v>
      </c>
      <c r="E1598" s="2" t="s">
        <v>4091</v>
      </c>
      <c r="F1598" s="2">
        <v>500</v>
      </c>
      <c r="G1598" s="2" t="s">
        <v>3842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3843</v>
      </c>
      <c r="N1598" s="4"/>
      <c r="O1598" s="5"/>
      <c r="P1598" s="4"/>
      <c r="Q1598" s="21" t="str">
        <f>VLOOKUP(tblProductos[[#This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4090</v>
      </c>
      <c r="D1599" s="2" t="s">
        <v>4143</v>
      </c>
      <c r="E1599" s="2" t="s">
        <v>4091</v>
      </c>
      <c r="F1599" s="2">
        <v>500</v>
      </c>
      <c r="G1599" s="2" t="s">
        <v>3842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3843</v>
      </c>
      <c r="N1599" s="4"/>
      <c r="O1599" s="5"/>
      <c r="P1599" s="4"/>
      <c r="Q1599" s="21" t="str">
        <f>VLOOKUP(tblProductos[[#This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4090</v>
      </c>
      <c r="D1600" s="2" t="s">
        <v>4031</v>
      </c>
      <c r="E1600" s="2" t="s">
        <v>4091</v>
      </c>
      <c r="F1600" s="2">
        <v>500</v>
      </c>
      <c r="G1600" s="2" t="s">
        <v>3842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3843</v>
      </c>
      <c r="N1600" s="4"/>
      <c r="O1600" s="5"/>
      <c r="P1600" s="4"/>
      <c r="Q1600" s="21" t="str">
        <f>VLOOKUP(tblProductos[[#This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4090</v>
      </c>
      <c r="D1601" s="2" t="s">
        <v>4011</v>
      </c>
      <c r="E1601" s="2" t="s">
        <v>4091</v>
      </c>
      <c r="F1601" s="2">
        <v>500</v>
      </c>
      <c r="G1601" s="2" t="s">
        <v>3842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3843</v>
      </c>
      <c r="N1601" s="4"/>
      <c r="O1601" s="5"/>
      <c r="P1601" s="4"/>
      <c r="Q1601" s="21" t="str">
        <f>VLOOKUP(tblProductos[[#This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4090</v>
      </c>
      <c r="D1602" s="2" t="s">
        <v>4030</v>
      </c>
      <c r="E1602" s="2" t="s">
        <v>4091</v>
      </c>
      <c r="F1602" s="2">
        <v>500</v>
      </c>
      <c r="G1602" s="2" t="s">
        <v>3842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3843</v>
      </c>
      <c r="N1602" s="4"/>
      <c r="O1602" s="5"/>
      <c r="P1602" s="4"/>
      <c r="Q1602" s="21" t="str">
        <f>VLOOKUP(tblProductos[[#This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4090</v>
      </c>
      <c r="D1603" s="2" t="s">
        <v>4018</v>
      </c>
      <c r="E1603" s="2" t="s">
        <v>4091</v>
      </c>
      <c r="F1603" s="2">
        <v>500</v>
      </c>
      <c r="G1603" s="2" t="s">
        <v>3842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3843</v>
      </c>
      <c r="N1603" s="4"/>
      <c r="O1603" s="5"/>
      <c r="P1603" s="4"/>
      <c r="Q1603" s="21" t="str">
        <f>VLOOKUP(tblProductos[[#This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4090</v>
      </c>
      <c r="D1604" s="2" t="s">
        <v>4009</v>
      </c>
      <c r="E1604" s="2" t="s">
        <v>4091</v>
      </c>
      <c r="F1604" s="2">
        <v>500</v>
      </c>
      <c r="G1604" s="2" t="s">
        <v>3842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3843</v>
      </c>
      <c r="N1604" s="4"/>
      <c r="O1604" s="5"/>
      <c r="P1604" s="4"/>
      <c r="Q1604" s="21" t="str">
        <f>VLOOKUP(tblProductos[[#This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4090</v>
      </c>
      <c r="D1605" s="2" t="s">
        <v>4012</v>
      </c>
      <c r="E1605" s="2" t="s">
        <v>4091</v>
      </c>
      <c r="F1605" s="2">
        <v>500</v>
      </c>
      <c r="G1605" s="2" t="s">
        <v>3842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3843</v>
      </c>
      <c r="N1605" s="4"/>
      <c r="O1605" s="5"/>
      <c r="P1605" s="4"/>
      <c r="Q1605" s="21" t="str">
        <f>VLOOKUP(tblProductos[[#This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4090</v>
      </c>
      <c r="D1606" s="2" t="s">
        <v>4013</v>
      </c>
      <c r="E1606" s="2" t="s">
        <v>4091</v>
      </c>
      <c r="F1606" s="2">
        <v>500</v>
      </c>
      <c r="G1606" s="2" t="s">
        <v>3842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3843</v>
      </c>
      <c r="N1606" s="4"/>
      <c r="O1606" s="5"/>
      <c r="P1606" s="4"/>
      <c r="Q1606" s="21" t="str">
        <f>VLOOKUP(tblProductos[[#This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4090</v>
      </c>
      <c r="D1607" s="2" t="s">
        <v>3923</v>
      </c>
      <c r="E1607" s="2" t="s">
        <v>4091</v>
      </c>
      <c r="F1607" s="2">
        <v>500</v>
      </c>
      <c r="G1607" s="2" t="s">
        <v>3842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3843</v>
      </c>
      <c r="N1607" s="4"/>
      <c r="O1607" s="5"/>
      <c r="P1607" s="4"/>
      <c r="Q1607" s="21" t="str">
        <f>VLOOKUP(tblProductos[[#This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4090</v>
      </c>
      <c r="D1608" s="2" t="s">
        <v>4019</v>
      </c>
      <c r="E1608" s="2" t="s">
        <v>4091</v>
      </c>
      <c r="F1608" s="2">
        <v>500</v>
      </c>
      <c r="G1608" s="2" t="s">
        <v>3842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3843</v>
      </c>
      <c r="N1608" s="4"/>
      <c r="O1608" s="5"/>
      <c r="P1608" s="4"/>
      <c r="Q1608" s="21" t="str">
        <f>VLOOKUP(tblProductos[[#This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4090</v>
      </c>
      <c r="D1609" s="2" t="s">
        <v>4032</v>
      </c>
      <c r="E1609" s="2" t="s">
        <v>4091</v>
      </c>
      <c r="F1609" s="2">
        <v>500</v>
      </c>
      <c r="G1609" s="2" t="s">
        <v>3842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3843</v>
      </c>
      <c r="N1609" s="4"/>
      <c r="O1609" s="5"/>
      <c r="P1609" s="4"/>
      <c r="Q1609" s="21" t="str">
        <f>VLOOKUP(tblProductos[[#This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4090</v>
      </c>
      <c r="D1610" s="2" t="s">
        <v>4007</v>
      </c>
      <c r="E1610" s="2" t="s">
        <v>4091</v>
      </c>
      <c r="F1610" s="2">
        <v>500</v>
      </c>
      <c r="G1610" s="2" t="s">
        <v>3842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3843</v>
      </c>
      <c r="N1610" s="4"/>
      <c r="O1610" s="5"/>
      <c r="P1610" s="4"/>
      <c r="Q1610" s="21" t="str">
        <f>VLOOKUP(tblProductos[[#This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4090</v>
      </c>
      <c r="D1611" s="2" t="s">
        <v>3888</v>
      </c>
      <c r="E1611" s="2" t="s">
        <v>4091</v>
      </c>
      <c r="F1611" s="2">
        <v>500</v>
      </c>
      <c r="G1611" s="2" t="s">
        <v>3842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3843</v>
      </c>
      <c r="N1611" s="4"/>
      <c r="O1611" s="5"/>
      <c r="P1611" s="4"/>
      <c r="Q1611" s="21" t="str">
        <f>VLOOKUP(tblProductos[[#This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4090</v>
      </c>
      <c r="D1612" s="2" t="s">
        <v>4033</v>
      </c>
      <c r="E1612" s="2" t="s">
        <v>4091</v>
      </c>
      <c r="F1612" s="2">
        <v>500</v>
      </c>
      <c r="G1612" s="2" t="s">
        <v>3842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3843</v>
      </c>
      <c r="N1612" s="4"/>
      <c r="O1612" s="5"/>
      <c r="P1612" s="4"/>
      <c r="Q1612" s="21" t="str">
        <f>VLOOKUP(tblProductos[[#This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4090</v>
      </c>
      <c r="D1613" s="2" t="s">
        <v>4144</v>
      </c>
      <c r="E1613" s="2" t="s">
        <v>4091</v>
      </c>
      <c r="F1613" s="2">
        <v>500</v>
      </c>
      <c r="G1613" s="2" t="s">
        <v>3842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3843</v>
      </c>
      <c r="N1613" s="4"/>
      <c r="O1613" s="5"/>
      <c r="P1613" s="4"/>
      <c r="Q1613" s="21" t="str">
        <f>VLOOKUP(tblProductos[[#This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4090</v>
      </c>
      <c r="D1614" s="2" t="s">
        <v>4014</v>
      </c>
      <c r="E1614" s="2" t="s">
        <v>4091</v>
      </c>
      <c r="F1614" s="2">
        <v>500</v>
      </c>
      <c r="G1614" s="2" t="s">
        <v>3842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3843</v>
      </c>
      <c r="N1614" s="4"/>
      <c r="O1614" s="5"/>
      <c r="P1614" s="4"/>
      <c r="Q1614" s="21" t="str">
        <f>VLOOKUP(tblProductos[[#This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4090</v>
      </c>
      <c r="D1615" s="2" t="s">
        <v>4008</v>
      </c>
      <c r="E1615" s="2" t="s">
        <v>4091</v>
      </c>
      <c r="F1615" s="2">
        <v>500</v>
      </c>
      <c r="G1615" s="2" t="s">
        <v>3842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3843</v>
      </c>
      <c r="N1615" s="4"/>
      <c r="O1615" s="5"/>
      <c r="P1615" s="4"/>
      <c r="Q1615" s="21" t="str">
        <f>VLOOKUP(tblProductos[[#This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4090</v>
      </c>
      <c r="D1616" s="2" t="s">
        <v>4020</v>
      </c>
      <c r="E1616" s="2" t="s">
        <v>4091</v>
      </c>
      <c r="F1616" s="2">
        <v>500</v>
      </c>
      <c r="G1616" s="2" t="s">
        <v>3842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3843</v>
      </c>
      <c r="N1616" s="4"/>
      <c r="O1616" s="5"/>
      <c r="P1616" s="4"/>
      <c r="Q1616" s="21" t="str">
        <f>VLOOKUP(tblProductos[[#This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4090</v>
      </c>
      <c r="D1617" s="2" t="s">
        <v>4016</v>
      </c>
      <c r="E1617" s="2" t="s">
        <v>4091</v>
      </c>
      <c r="F1617" s="2">
        <v>500</v>
      </c>
      <c r="G1617" s="2" t="s">
        <v>3842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3843</v>
      </c>
      <c r="N1617" s="4"/>
      <c r="O1617" s="5"/>
      <c r="P1617" s="4"/>
      <c r="Q1617" s="21" t="str">
        <f>VLOOKUP(tblProductos[[#This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4090</v>
      </c>
      <c r="D1618" s="2" t="s">
        <v>4145</v>
      </c>
      <c r="E1618" s="2" t="s">
        <v>4091</v>
      </c>
      <c r="F1618" s="2">
        <v>500</v>
      </c>
      <c r="G1618" s="2" t="s">
        <v>3842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3843</v>
      </c>
      <c r="N1618" s="4"/>
      <c r="O1618" s="5"/>
      <c r="P1618" s="4"/>
      <c r="Q1618" s="21" t="str">
        <f>VLOOKUP(tblProductos[[#This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4090</v>
      </c>
      <c r="D1619" s="2" t="s">
        <v>4021</v>
      </c>
      <c r="E1619" s="2" t="s">
        <v>4091</v>
      </c>
      <c r="F1619" s="2">
        <v>500</v>
      </c>
      <c r="G1619" s="2" t="s">
        <v>3842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3843</v>
      </c>
      <c r="N1619" s="4"/>
      <c r="O1619" s="5"/>
      <c r="P1619" s="4"/>
      <c r="Q1619" s="21" t="str">
        <f>VLOOKUP(tblProductos[[#This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4090</v>
      </c>
      <c r="D1620" s="2" t="s">
        <v>4015</v>
      </c>
      <c r="E1620" s="2" t="s">
        <v>4091</v>
      </c>
      <c r="F1620" s="2">
        <v>500</v>
      </c>
      <c r="G1620" s="2" t="s">
        <v>3842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3843</v>
      </c>
      <c r="N1620" s="4"/>
      <c r="O1620" s="5"/>
      <c r="P1620" s="4"/>
      <c r="Q1620" s="21" t="str">
        <f>VLOOKUP(tblProductos[[#This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4090</v>
      </c>
      <c r="D1621" s="2" t="s">
        <v>4054</v>
      </c>
      <c r="E1621" s="2" t="s">
        <v>4091</v>
      </c>
      <c r="F1621" s="2">
        <v>500</v>
      </c>
      <c r="G1621" s="2" t="s">
        <v>3842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3843</v>
      </c>
      <c r="N1621" s="4"/>
      <c r="O1621" s="5"/>
      <c r="P1621" s="4"/>
      <c r="Q1621" s="21" t="str">
        <f>VLOOKUP(tblProductos[[#This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4090</v>
      </c>
      <c r="D1622" s="2" t="s">
        <v>4118</v>
      </c>
      <c r="E1622" s="2" t="s">
        <v>4091</v>
      </c>
      <c r="F1622" s="2">
        <v>500</v>
      </c>
      <c r="G1622" s="2" t="s">
        <v>3842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3843</v>
      </c>
      <c r="N1622" s="4"/>
      <c r="O1622" s="5"/>
      <c r="P1622" s="4"/>
      <c r="Q1622" s="21" t="str">
        <f>VLOOKUP(tblProductos[[#This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4090</v>
      </c>
      <c r="D1623" s="2" t="s">
        <v>4022</v>
      </c>
      <c r="E1623" s="2" t="s">
        <v>4091</v>
      </c>
      <c r="F1623" s="2">
        <v>500</v>
      </c>
      <c r="G1623" s="2" t="s">
        <v>3842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3843</v>
      </c>
      <c r="N1623" s="4"/>
      <c r="O1623" s="5"/>
      <c r="P1623" s="4"/>
      <c r="Q1623" s="21" t="str">
        <f>VLOOKUP(tblProductos[[#This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4090</v>
      </c>
      <c r="D1624" s="2" t="s">
        <v>3919</v>
      </c>
      <c r="E1624" s="2" t="s">
        <v>4091</v>
      </c>
      <c r="F1624" s="2">
        <v>500</v>
      </c>
      <c r="G1624" s="2" t="s">
        <v>3842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3843</v>
      </c>
      <c r="N1624" s="4"/>
      <c r="O1624" s="5"/>
      <c r="P1624" s="4"/>
      <c r="Q1624" s="21" t="str">
        <f>VLOOKUP(tblProductos[[#This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4090</v>
      </c>
      <c r="D1625" s="2" t="s">
        <v>4023</v>
      </c>
      <c r="E1625" s="2" t="s">
        <v>4091</v>
      </c>
      <c r="F1625" s="2">
        <v>500</v>
      </c>
      <c r="G1625" s="2" t="s">
        <v>3842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3843</v>
      </c>
      <c r="N1625" s="4"/>
      <c r="O1625" s="5"/>
      <c r="P1625" s="4"/>
      <c r="Q1625" s="21" t="str">
        <f>VLOOKUP(tblProductos[[#This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4090</v>
      </c>
      <c r="D1626" s="2" t="s">
        <v>4029</v>
      </c>
      <c r="E1626" s="2" t="s">
        <v>4091</v>
      </c>
      <c r="F1626" s="2">
        <v>500</v>
      </c>
      <c r="G1626" s="2" t="s">
        <v>3842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3843</v>
      </c>
      <c r="N1626" s="4"/>
      <c r="O1626" s="5"/>
      <c r="P1626" s="4"/>
      <c r="Q1626" s="21" t="str">
        <f>VLOOKUP(tblProductos[[#This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4090</v>
      </c>
      <c r="D1627" s="2" t="s">
        <v>4024</v>
      </c>
      <c r="E1627" s="2" t="s">
        <v>4091</v>
      </c>
      <c r="F1627" s="2">
        <v>500</v>
      </c>
      <c r="G1627" s="2" t="s">
        <v>3842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3843</v>
      </c>
      <c r="N1627" s="4"/>
      <c r="O1627" s="5"/>
      <c r="P1627" s="4"/>
      <c r="Q1627" s="21" t="str">
        <f>VLOOKUP(tblProductos[[#This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4090</v>
      </c>
      <c r="D1628" s="2" t="s">
        <v>4034</v>
      </c>
      <c r="E1628" s="2" t="s">
        <v>4091</v>
      </c>
      <c r="F1628" s="2">
        <v>500</v>
      </c>
      <c r="G1628" s="2" t="s">
        <v>3842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3843</v>
      </c>
      <c r="N1628" s="4"/>
      <c r="O1628" s="5"/>
      <c r="P1628" s="4"/>
      <c r="Q1628" s="21" t="str">
        <f>VLOOKUP(tblProductos[[#This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4090</v>
      </c>
      <c r="D1629" s="2" t="s">
        <v>4035</v>
      </c>
      <c r="E1629" s="2" t="s">
        <v>4091</v>
      </c>
      <c r="F1629" s="2">
        <v>500</v>
      </c>
      <c r="G1629" s="2" t="s">
        <v>3842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3843</v>
      </c>
      <c r="N1629" s="4"/>
      <c r="O1629" s="5"/>
      <c r="P1629" s="4"/>
      <c r="Q1629" s="21" t="str">
        <f>VLOOKUP(tblProductos[[#This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4092</v>
      </c>
      <c r="D1630" s="2" t="s">
        <v>4017</v>
      </c>
      <c r="E1630" s="2" t="s">
        <v>4093</v>
      </c>
      <c r="F1630" s="2">
        <v>400</v>
      </c>
      <c r="G1630" s="2" t="s">
        <v>3842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3843</v>
      </c>
      <c r="N1630" s="4"/>
      <c r="O1630" s="5"/>
      <c r="P1630" s="4"/>
      <c r="Q1630" s="21" t="str">
        <f>VLOOKUP(tblProductos[[#This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4092</v>
      </c>
      <c r="D1631" s="2" t="s">
        <v>4010</v>
      </c>
      <c r="E1631" s="2" t="s">
        <v>4093</v>
      </c>
      <c r="F1631" s="2">
        <v>400</v>
      </c>
      <c r="G1631" s="2" t="s">
        <v>3842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3843</v>
      </c>
      <c r="N1631" s="4"/>
      <c r="O1631" s="5"/>
      <c r="P1631" s="4"/>
      <c r="Q1631" s="21" t="str">
        <f>VLOOKUP(tblProductos[[#This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4092</v>
      </c>
      <c r="D1632" s="2" t="s">
        <v>4125</v>
      </c>
      <c r="E1632" s="2" t="s">
        <v>4093</v>
      </c>
      <c r="F1632" s="2">
        <v>400</v>
      </c>
      <c r="G1632" s="2" t="s">
        <v>3842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3843</v>
      </c>
      <c r="N1632" s="4"/>
      <c r="O1632" s="5"/>
      <c r="P1632" s="4"/>
      <c r="Q1632" s="21" t="str">
        <f>VLOOKUP(tblProductos[[#This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4092</v>
      </c>
      <c r="D1633" s="2" t="s">
        <v>4056</v>
      </c>
      <c r="E1633" s="2" t="s">
        <v>4093</v>
      </c>
      <c r="F1633" s="2">
        <v>400</v>
      </c>
      <c r="G1633" s="2" t="s">
        <v>3842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3843</v>
      </c>
      <c r="N1633" s="4"/>
      <c r="O1633" s="5"/>
      <c r="P1633" s="4"/>
      <c r="Q1633" s="21" t="str">
        <f>VLOOKUP(tblProductos[[#This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4092</v>
      </c>
      <c r="D1634" s="2" t="s">
        <v>4006</v>
      </c>
      <c r="E1634" s="2" t="s">
        <v>4093</v>
      </c>
      <c r="F1634" s="2">
        <v>400</v>
      </c>
      <c r="G1634" s="2" t="s">
        <v>3842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3843</v>
      </c>
      <c r="N1634" s="4"/>
      <c r="O1634" s="5"/>
      <c r="P1634" s="4"/>
      <c r="Q1634" s="21" t="str">
        <f>VLOOKUP(tblProductos[[#This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4092</v>
      </c>
      <c r="D1635" s="2" t="s">
        <v>4143</v>
      </c>
      <c r="E1635" s="2" t="s">
        <v>4093</v>
      </c>
      <c r="F1635" s="2">
        <v>400</v>
      </c>
      <c r="G1635" s="2" t="s">
        <v>3842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3843</v>
      </c>
      <c r="N1635" s="4"/>
      <c r="O1635" s="5"/>
      <c r="P1635" s="4"/>
      <c r="Q1635" s="21" t="str">
        <f>VLOOKUP(tblProductos[[#This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4092</v>
      </c>
      <c r="D1636" s="2" t="s">
        <v>4031</v>
      </c>
      <c r="E1636" s="2" t="s">
        <v>4093</v>
      </c>
      <c r="F1636" s="2">
        <v>400</v>
      </c>
      <c r="G1636" s="2" t="s">
        <v>3842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3843</v>
      </c>
      <c r="N1636" s="4"/>
      <c r="O1636" s="5"/>
      <c r="P1636" s="4"/>
      <c r="Q1636" s="21" t="str">
        <f>VLOOKUP(tblProductos[[#This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4092</v>
      </c>
      <c r="D1637" s="2" t="s">
        <v>4011</v>
      </c>
      <c r="E1637" s="2" t="s">
        <v>4093</v>
      </c>
      <c r="F1637" s="2">
        <v>400</v>
      </c>
      <c r="G1637" s="2" t="s">
        <v>3842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3843</v>
      </c>
      <c r="N1637" s="4"/>
      <c r="O1637" s="5"/>
      <c r="P1637" s="4"/>
      <c r="Q1637" s="21" t="str">
        <f>VLOOKUP(tblProductos[[#This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4092</v>
      </c>
      <c r="D1638" s="2" t="s">
        <v>4030</v>
      </c>
      <c r="E1638" s="2" t="s">
        <v>4093</v>
      </c>
      <c r="F1638" s="2">
        <v>400</v>
      </c>
      <c r="G1638" s="2" t="s">
        <v>3842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3843</v>
      </c>
      <c r="N1638" s="4"/>
      <c r="O1638" s="5"/>
      <c r="P1638" s="4"/>
      <c r="Q1638" s="21" t="str">
        <f>VLOOKUP(tblProductos[[#This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4092</v>
      </c>
      <c r="D1639" s="2" t="s">
        <v>4018</v>
      </c>
      <c r="E1639" s="2" t="s">
        <v>4093</v>
      </c>
      <c r="F1639" s="2">
        <v>400</v>
      </c>
      <c r="G1639" s="2" t="s">
        <v>3842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3843</v>
      </c>
      <c r="N1639" s="4"/>
      <c r="O1639" s="5"/>
      <c r="P1639" s="4"/>
      <c r="Q1639" s="21" t="str">
        <f>VLOOKUP(tblProductos[[#This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4092</v>
      </c>
      <c r="D1640" s="2" t="s">
        <v>4009</v>
      </c>
      <c r="E1640" s="2" t="s">
        <v>4093</v>
      </c>
      <c r="F1640" s="2">
        <v>400</v>
      </c>
      <c r="G1640" s="2" t="s">
        <v>3842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3843</v>
      </c>
      <c r="N1640" s="4"/>
      <c r="O1640" s="5"/>
      <c r="P1640" s="4"/>
      <c r="Q1640" s="21" t="str">
        <f>VLOOKUP(tblProductos[[#This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4092</v>
      </c>
      <c r="D1641" s="2" t="s">
        <v>4012</v>
      </c>
      <c r="E1641" s="2" t="s">
        <v>4093</v>
      </c>
      <c r="F1641" s="2">
        <v>400</v>
      </c>
      <c r="G1641" s="2" t="s">
        <v>3842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3843</v>
      </c>
      <c r="N1641" s="4"/>
      <c r="O1641" s="5"/>
      <c r="P1641" s="4"/>
      <c r="Q1641" s="21" t="str">
        <f>VLOOKUP(tblProductos[[#This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4092</v>
      </c>
      <c r="D1642" s="2" t="s">
        <v>4013</v>
      </c>
      <c r="E1642" s="2" t="s">
        <v>4093</v>
      </c>
      <c r="F1642" s="2">
        <v>400</v>
      </c>
      <c r="G1642" s="2" t="s">
        <v>3842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3843</v>
      </c>
      <c r="N1642" s="4"/>
      <c r="O1642" s="5"/>
      <c r="P1642" s="4"/>
      <c r="Q1642" s="21" t="str">
        <f>VLOOKUP(tblProductos[[#This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4092</v>
      </c>
      <c r="D1643" s="2" t="s">
        <v>3923</v>
      </c>
      <c r="E1643" s="2" t="s">
        <v>4093</v>
      </c>
      <c r="F1643" s="2">
        <v>400</v>
      </c>
      <c r="G1643" s="2" t="s">
        <v>3842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3843</v>
      </c>
      <c r="N1643" s="4"/>
      <c r="O1643" s="5"/>
      <c r="P1643" s="4"/>
      <c r="Q1643" s="21" t="str">
        <f>VLOOKUP(tblProductos[[#This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4092</v>
      </c>
      <c r="D1644" s="2" t="s">
        <v>4019</v>
      </c>
      <c r="E1644" s="2" t="s">
        <v>4093</v>
      </c>
      <c r="F1644" s="2">
        <v>400</v>
      </c>
      <c r="G1644" s="2" t="s">
        <v>3842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3843</v>
      </c>
      <c r="N1644" s="4"/>
      <c r="O1644" s="5"/>
      <c r="P1644" s="4"/>
      <c r="Q1644" s="21" t="str">
        <f>VLOOKUP(tblProductos[[#This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4092</v>
      </c>
      <c r="D1645" s="2" t="s">
        <v>4032</v>
      </c>
      <c r="E1645" s="2" t="s">
        <v>4093</v>
      </c>
      <c r="F1645" s="2">
        <v>400</v>
      </c>
      <c r="G1645" s="2" t="s">
        <v>3842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3843</v>
      </c>
      <c r="N1645" s="4"/>
      <c r="O1645" s="5"/>
      <c r="P1645" s="4"/>
      <c r="Q1645" s="21" t="str">
        <f>VLOOKUP(tblProductos[[#This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4092</v>
      </c>
      <c r="D1646" s="2" t="s">
        <v>4007</v>
      </c>
      <c r="E1646" s="2" t="s">
        <v>4093</v>
      </c>
      <c r="F1646" s="2">
        <v>400</v>
      </c>
      <c r="G1646" s="2" t="s">
        <v>3842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3843</v>
      </c>
      <c r="N1646" s="4"/>
      <c r="O1646" s="5"/>
      <c r="P1646" s="4"/>
      <c r="Q1646" s="21" t="str">
        <f>VLOOKUP(tblProductos[[#This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4092</v>
      </c>
      <c r="D1647" s="2" t="s">
        <v>3888</v>
      </c>
      <c r="E1647" s="2" t="s">
        <v>4093</v>
      </c>
      <c r="F1647" s="2">
        <v>400</v>
      </c>
      <c r="G1647" s="2" t="s">
        <v>3842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3843</v>
      </c>
      <c r="N1647" s="4"/>
      <c r="O1647" s="5"/>
      <c r="P1647" s="4"/>
      <c r="Q1647" s="21" t="str">
        <f>VLOOKUP(tblProductos[[#This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4092</v>
      </c>
      <c r="D1648" s="2" t="s">
        <v>4033</v>
      </c>
      <c r="E1648" s="2" t="s">
        <v>4093</v>
      </c>
      <c r="F1648" s="2">
        <v>400</v>
      </c>
      <c r="G1648" s="2" t="s">
        <v>3842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3843</v>
      </c>
      <c r="N1648" s="4"/>
      <c r="O1648" s="5"/>
      <c r="P1648" s="4"/>
      <c r="Q1648" s="21" t="str">
        <f>VLOOKUP(tblProductos[[#This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4092</v>
      </c>
      <c r="D1649" s="2" t="s">
        <v>4144</v>
      </c>
      <c r="E1649" s="2" t="s">
        <v>4093</v>
      </c>
      <c r="F1649" s="2">
        <v>400</v>
      </c>
      <c r="G1649" s="2" t="s">
        <v>3842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3843</v>
      </c>
      <c r="N1649" s="4"/>
      <c r="O1649" s="5"/>
      <c r="P1649" s="4"/>
      <c r="Q1649" s="21" t="str">
        <f>VLOOKUP(tblProductos[[#This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4092</v>
      </c>
      <c r="D1650" s="2" t="s">
        <v>4014</v>
      </c>
      <c r="E1650" s="2" t="s">
        <v>4093</v>
      </c>
      <c r="F1650" s="2">
        <v>400</v>
      </c>
      <c r="G1650" s="2" t="s">
        <v>3842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3843</v>
      </c>
      <c r="N1650" s="4"/>
      <c r="O1650" s="5"/>
      <c r="P1650" s="4"/>
      <c r="Q1650" s="21" t="str">
        <f>VLOOKUP(tblProductos[[#This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4092</v>
      </c>
      <c r="D1651" s="2" t="s">
        <v>4008</v>
      </c>
      <c r="E1651" s="2" t="s">
        <v>4093</v>
      </c>
      <c r="F1651" s="2">
        <v>400</v>
      </c>
      <c r="G1651" s="2" t="s">
        <v>3842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3843</v>
      </c>
      <c r="N1651" s="4"/>
      <c r="O1651" s="5"/>
      <c r="P1651" s="4"/>
      <c r="Q1651" s="21" t="str">
        <f>VLOOKUP(tblProductos[[#This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4092</v>
      </c>
      <c r="D1652" s="2" t="s">
        <v>4020</v>
      </c>
      <c r="E1652" s="2" t="s">
        <v>4093</v>
      </c>
      <c r="F1652" s="2">
        <v>400</v>
      </c>
      <c r="G1652" s="2" t="s">
        <v>3842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3843</v>
      </c>
      <c r="N1652" s="4"/>
      <c r="O1652" s="5"/>
      <c r="P1652" s="4"/>
      <c r="Q1652" s="21" t="str">
        <f>VLOOKUP(tblProductos[[#This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4092</v>
      </c>
      <c r="D1653" s="2" t="s">
        <v>4016</v>
      </c>
      <c r="E1653" s="2" t="s">
        <v>4093</v>
      </c>
      <c r="F1653" s="2">
        <v>400</v>
      </c>
      <c r="G1653" s="2" t="s">
        <v>3842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3843</v>
      </c>
      <c r="N1653" s="4"/>
      <c r="O1653" s="5"/>
      <c r="P1653" s="4"/>
      <c r="Q1653" s="21" t="str">
        <f>VLOOKUP(tblProductos[[#This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4092</v>
      </c>
      <c r="D1654" s="2" t="s">
        <v>4145</v>
      </c>
      <c r="E1654" s="2" t="s">
        <v>4093</v>
      </c>
      <c r="F1654" s="2">
        <v>400</v>
      </c>
      <c r="G1654" s="2" t="s">
        <v>3842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3843</v>
      </c>
      <c r="N1654" s="4"/>
      <c r="O1654" s="5"/>
      <c r="P1654" s="4"/>
      <c r="Q1654" s="21" t="str">
        <f>VLOOKUP(tblProductos[[#This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4092</v>
      </c>
      <c r="D1655" s="2" t="s">
        <v>4021</v>
      </c>
      <c r="E1655" s="2" t="s">
        <v>4093</v>
      </c>
      <c r="F1655" s="2">
        <v>400</v>
      </c>
      <c r="G1655" s="2" t="s">
        <v>3842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3843</v>
      </c>
      <c r="N1655" s="4"/>
      <c r="O1655" s="5"/>
      <c r="P1655" s="4"/>
      <c r="Q1655" s="21" t="str">
        <f>VLOOKUP(tblProductos[[#This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4092</v>
      </c>
      <c r="D1656" s="2" t="s">
        <v>4015</v>
      </c>
      <c r="E1656" s="2" t="s">
        <v>4093</v>
      </c>
      <c r="F1656" s="2">
        <v>400</v>
      </c>
      <c r="G1656" s="2" t="s">
        <v>3842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3843</v>
      </c>
      <c r="N1656" s="4"/>
      <c r="O1656" s="5"/>
      <c r="P1656" s="4"/>
      <c r="Q1656" s="21" t="str">
        <f>VLOOKUP(tblProductos[[#This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4092</v>
      </c>
      <c r="D1657" s="2" t="s">
        <v>4054</v>
      </c>
      <c r="E1657" s="2" t="s">
        <v>4093</v>
      </c>
      <c r="F1657" s="2">
        <v>400</v>
      </c>
      <c r="G1657" s="2" t="s">
        <v>3842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3843</v>
      </c>
      <c r="N1657" s="4"/>
      <c r="O1657" s="5"/>
      <c r="P1657" s="4"/>
      <c r="Q1657" s="21" t="str">
        <f>VLOOKUP(tblProductos[[#This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4092</v>
      </c>
      <c r="D1658" s="2" t="s">
        <v>4118</v>
      </c>
      <c r="E1658" s="2" t="s">
        <v>4093</v>
      </c>
      <c r="F1658" s="2">
        <v>400</v>
      </c>
      <c r="G1658" s="2" t="s">
        <v>3842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3843</v>
      </c>
      <c r="N1658" s="4"/>
      <c r="O1658" s="5"/>
      <c r="P1658" s="4"/>
      <c r="Q1658" s="21" t="str">
        <f>VLOOKUP(tblProductos[[#This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4092</v>
      </c>
      <c r="D1659" s="2" t="s">
        <v>4022</v>
      </c>
      <c r="E1659" s="2" t="s">
        <v>4093</v>
      </c>
      <c r="F1659" s="2">
        <v>400</v>
      </c>
      <c r="G1659" s="2" t="s">
        <v>3842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3843</v>
      </c>
      <c r="N1659" s="4"/>
      <c r="O1659" s="5"/>
      <c r="P1659" s="4"/>
      <c r="Q1659" s="21" t="str">
        <f>VLOOKUP(tblProductos[[#This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4092</v>
      </c>
      <c r="D1660" s="2" t="s">
        <v>3919</v>
      </c>
      <c r="E1660" s="2" t="s">
        <v>4093</v>
      </c>
      <c r="F1660" s="2">
        <v>400</v>
      </c>
      <c r="G1660" s="2" t="s">
        <v>3842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3843</v>
      </c>
      <c r="N1660" s="4"/>
      <c r="O1660" s="5"/>
      <c r="P1660" s="4"/>
      <c r="Q1660" s="21" t="str">
        <f>VLOOKUP(tblProductos[[#This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4092</v>
      </c>
      <c r="D1661" s="2" t="s">
        <v>4023</v>
      </c>
      <c r="E1661" s="2" t="s">
        <v>4093</v>
      </c>
      <c r="F1661" s="2">
        <v>400</v>
      </c>
      <c r="G1661" s="2" t="s">
        <v>3842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3843</v>
      </c>
      <c r="N1661" s="4"/>
      <c r="O1661" s="5"/>
      <c r="P1661" s="4"/>
      <c r="Q1661" s="21" t="str">
        <f>VLOOKUP(tblProductos[[#This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4092</v>
      </c>
      <c r="D1662" s="2" t="s">
        <v>4029</v>
      </c>
      <c r="E1662" s="2" t="s">
        <v>4093</v>
      </c>
      <c r="F1662" s="2">
        <v>400</v>
      </c>
      <c r="G1662" s="2" t="s">
        <v>3842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3843</v>
      </c>
      <c r="N1662" s="4"/>
      <c r="O1662" s="5"/>
      <c r="P1662" s="4"/>
      <c r="Q1662" s="21" t="str">
        <f>VLOOKUP(tblProductos[[#This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4092</v>
      </c>
      <c r="D1663" s="2" t="s">
        <v>4024</v>
      </c>
      <c r="E1663" s="2" t="s">
        <v>4093</v>
      </c>
      <c r="F1663" s="2">
        <v>400</v>
      </c>
      <c r="G1663" s="2" t="s">
        <v>3842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3843</v>
      </c>
      <c r="N1663" s="4"/>
      <c r="O1663" s="5"/>
      <c r="P1663" s="4"/>
      <c r="Q1663" s="21" t="str">
        <f>VLOOKUP(tblProductos[[#This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4092</v>
      </c>
      <c r="D1664" s="2" t="s">
        <v>4034</v>
      </c>
      <c r="E1664" s="2" t="s">
        <v>4093</v>
      </c>
      <c r="F1664" s="2">
        <v>400</v>
      </c>
      <c r="G1664" s="2" t="s">
        <v>3842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3843</v>
      </c>
      <c r="N1664" s="4"/>
      <c r="O1664" s="5"/>
      <c r="P1664" s="4"/>
      <c r="Q1664" s="21" t="str">
        <f>VLOOKUP(tblProductos[[#This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4092</v>
      </c>
      <c r="D1665" s="2" t="s">
        <v>4035</v>
      </c>
      <c r="E1665" s="2" t="s">
        <v>4093</v>
      </c>
      <c r="F1665" s="2">
        <v>400</v>
      </c>
      <c r="G1665" s="2" t="s">
        <v>3842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3843</v>
      </c>
      <c r="N1665" s="4"/>
      <c r="O1665" s="5"/>
      <c r="P1665" s="4"/>
      <c r="Q1665" s="21" t="str">
        <f>VLOOKUP(tblProductos[[#This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4092</v>
      </c>
      <c r="D1666" s="2" t="s">
        <v>4017</v>
      </c>
      <c r="E1666" s="2" t="s">
        <v>4093</v>
      </c>
      <c r="F1666" s="2">
        <v>400</v>
      </c>
      <c r="G1666" s="2" t="s">
        <v>3842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3843</v>
      </c>
      <c r="N1666" s="4"/>
      <c r="O1666" s="5"/>
      <c r="P1666" s="4"/>
      <c r="Q1666" s="21" t="str">
        <f>VLOOKUP(tblProductos[[#This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4092</v>
      </c>
      <c r="D1667" s="2" t="s">
        <v>4010</v>
      </c>
      <c r="E1667" s="2" t="s">
        <v>4093</v>
      </c>
      <c r="F1667" s="2">
        <v>400</v>
      </c>
      <c r="G1667" s="2" t="s">
        <v>3842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3843</v>
      </c>
      <c r="N1667" s="4"/>
      <c r="O1667" s="5"/>
      <c r="P1667" s="4"/>
      <c r="Q1667" s="21" t="str">
        <f>VLOOKUP(tblProductos[[#This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4092</v>
      </c>
      <c r="D1668" s="2" t="s">
        <v>4125</v>
      </c>
      <c r="E1668" s="2" t="s">
        <v>4093</v>
      </c>
      <c r="F1668" s="2">
        <v>400</v>
      </c>
      <c r="G1668" s="2" t="s">
        <v>3842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3843</v>
      </c>
      <c r="N1668" s="4"/>
      <c r="O1668" s="5"/>
      <c r="P1668" s="4"/>
      <c r="Q1668" s="21" t="str">
        <f>VLOOKUP(tblProductos[[#This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4092</v>
      </c>
      <c r="D1669" s="2" t="s">
        <v>4056</v>
      </c>
      <c r="E1669" s="2" t="s">
        <v>4093</v>
      </c>
      <c r="F1669" s="2">
        <v>400</v>
      </c>
      <c r="G1669" s="2" t="s">
        <v>3842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3843</v>
      </c>
      <c r="N1669" s="4"/>
      <c r="O1669" s="5"/>
      <c r="P1669" s="4"/>
      <c r="Q1669" s="21" t="str">
        <f>VLOOKUP(tblProductos[[#This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4092</v>
      </c>
      <c r="D1670" s="2" t="s">
        <v>4006</v>
      </c>
      <c r="E1670" s="2" t="s">
        <v>4093</v>
      </c>
      <c r="F1670" s="2">
        <v>400</v>
      </c>
      <c r="G1670" s="2" t="s">
        <v>3842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3843</v>
      </c>
      <c r="N1670" s="4"/>
      <c r="O1670" s="5"/>
      <c r="P1670" s="4"/>
      <c r="Q1670" s="21" t="str">
        <f>VLOOKUP(tblProductos[[#This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4092</v>
      </c>
      <c r="D1671" s="2" t="s">
        <v>4143</v>
      </c>
      <c r="E1671" s="2" t="s">
        <v>4093</v>
      </c>
      <c r="F1671" s="2">
        <v>400</v>
      </c>
      <c r="G1671" s="2" t="s">
        <v>3842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3843</v>
      </c>
      <c r="N1671" s="4"/>
      <c r="O1671" s="5"/>
      <c r="P1671" s="4"/>
      <c r="Q1671" s="21" t="str">
        <f>VLOOKUP(tblProductos[[#This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4092</v>
      </c>
      <c r="D1672" s="2" t="s">
        <v>4031</v>
      </c>
      <c r="E1672" s="2" t="s">
        <v>4093</v>
      </c>
      <c r="F1672" s="2">
        <v>400</v>
      </c>
      <c r="G1672" s="2" t="s">
        <v>3842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3843</v>
      </c>
      <c r="N1672" s="4"/>
      <c r="O1672" s="5"/>
      <c r="P1672" s="4"/>
      <c r="Q1672" s="21" t="str">
        <f>VLOOKUP(tblProductos[[#This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4092</v>
      </c>
      <c r="D1673" s="2" t="s">
        <v>4011</v>
      </c>
      <c r="E1673" s="2" t="s">
        <v>4093</v>
      </c>
      <c r="F1673" s="2">
        <v>400</v>
      </c>
      <c r="G1673" s="2" t="s">
        <v>3842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3843</v>
      </c>
      <c r="N1673" s="4"/>
      <c r="O1673" s="5"/>
      <c r="P1673" s="4"/>
      <c r="Q1673" s="21" t="str">
        <f>VLOOKUP(tblProductos[[#This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4092</v>
      </c>
      <c r="D1674" s="2" t="s">
        <v>4030</v>
      </c>
      <c r="E1674" s="2" t="s">
        <v>4093</v>
      </c>
      <c r="F1674" s="2">
        <v>400</v>
      </c>
      <c r="G1674" s="2" t="s">
        <v>3842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3843</v>
      </c>
      <c r="N1674" s="4"/>
      <c r="O1674" s="5"/>
      <c r="P1674" s="4"/>
      <c r="Q1674" s="21" t="str">
        <f>VLOOKUP(tblProductos[[#This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4092</v>
      </c>
      <c r="D1675" s="2" t="s">
        <v>4018</v>
      </c>
      <c r="E1675" s="2" t="s">
        <v>4093</v>
      </c>
      <c r="F1675" s="2">
        <v>400</v>
      </c>
      <c r="G1675" s="2" t="s">
        <v>3842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3843</v>
      </c>
      <c r="N1675" s="4"/>
      <c r="O1675" s="5"/>
      <c r="P1675" s="4"/>
      <c r="Q1675" s="21" t="str">
        <f>VLOOKUP(tblProductos[[#This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4092</v>
      </c>
      <c r="D1676" s="2" t="s">
        <v>4009</v>
      </c>
      <c r="E1676" s="2" t="s">
        <v>4093</v>
      </c>
      <c r="F1676" s="2">
        <v>400</v>
      </c>
      <c r="G1676" s="2" t="s">
        <v>3842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3843</v>
      </c>
      <c r="N1676" s="4"/>
      <c r="O1676" s="5"/>
      <c r="P1676" s="4"/>
      <c r="Q1676" s="21" t="str">
        <f>VLOOKUP(tblProductos[[#This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4092</v>
      </c>
      <c r="D1677" s="2" t="s">
        <v>4012</v>
      </c>
      <c r="E1677" s="2" t="s">
        <v>4093</v>
      </c>
      <c r="F1677" s="2">
        <v>400</v>
      </c>
      <c r="G1677" s="2" t="s">
        <v>3842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3843</v>
      </c>
      <c r="N1677" s="4"/>
      <c r="O1677" s="5"/>
      <c r="P1677" s="4"/>
      <c r="Q1677" s="21" t="str">
        <f>VLOOKUP(tblProductos[[#This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4092</v>
      </c>
      <c r="D1678" s="2" t="s">
        <v>4013</v>
      </c>
      <c r="E1678" s="2" t="s">
        <v>4093</v>
      </c>
      <c r="F1678" s="2">
        <v>400</v>
      </c>
      <c r="G1678" s="2" t="s">
        <v>3842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3843</v>
      </c>
      <c r="N1678" s="4"/>
      <c r="O1678" s="5"/>
      <c r="P1678" s="4"/>
      <c r="Q1678" s="21" t="str">
        <f>VLOOKUP(tblProductos[[#This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4092</v>
      </c>
      <c r="D1679" s="2" t="s">
        <v>3923</v>
      </c>
      <c r="E1679" s="2" t="s">
        <v>4093</v>
      </c>
      <c r="F1679" s="2">
        <v>400</v>
      </c>
      <c r="G1679" s="2" t="s">
        <v>3842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3843</v>
      </c>
      <c r="N1679" s="4"/>
      <c r="O1679" s="5"/>
      <c r="P1679" s="4"/>
      <c r="Q1679" s="21" t="str">
        <f>VLOOKUP(tblProductos[[#This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4092</v>
      </c>
      <c r="D1680" s="2" t="s">
        <v>4019</v>
      </c>
      <c r="E1680" s="2" t="s">
        <v>4093</v>
      </c>
      <c r="F1680" s="2">
        <v>400</v>
      </c>
      <c r="G1680" s="2" t="s">
        <v>3842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3843</v>
      </c>
      <c r="N1680" s="4"/>
      <c r="O1680" s="5"/>
      <c r="P1680" s="4"/>
      <c r="Q1680" s="21" t="str">
        <f>VLOOKUP(tblProductos[[#This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4092</v>
      </c>
      <c r="D1681" s="2" t="s">
        <v>4032</v>
      </c>
      <c r="E1681" s="2" t="s">
        <v>4093</v>
      </c>
      <c r="F1681" s="2">
        <v>400</v>
      </c>
      <c r="G1681" s="2" t="s">
        <v>3842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3843</v>
      </c>
      <c r="N1681" s="4"/>
      <c r="O1681" s="5"/>
      <c r="P1681" s="4"/>
      <c r="Q1681" s="21" t="str">
        <f>VLOOKUP(tblProductos[[#This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4092</v>
      </c>
      <c r="D1682" s="2" t="s">
        <v>4007</v>
      </c>
      <c r="E1682" s="2" t="s">
        <v>4093</v>
      </c>
      <c r="F1682" s="2">
        <v>400</v>
      </c>
      <c r="G1682" s="2" t="s">
        <v>3842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3843</v>
      </c>
      <c r="N1682" s="4"/>
      <c r="O1682" s="5"/>
      <c r="P1682" s="4"/>
      <c r="Q1682" s="21" t="str">
        <f>VLOOKUP(tblProductos[[#This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4092</v>
      </c>
      <c r="D1683" s="2" t="s">
        <v>3888</v>
      </c>
      <c r="E1683" s="2" t="s">
        <v>4093</v>
      </c>
      <c r="F1683" s="2">
        <v>400</v>
      </c>
      <c r="G1683" s="2" t="s">
        <v>3842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3843</v>
      </c>
      <c r="N1683" s="4"/>
      <c r="O1683" s="5"/>
      <c r="P1683" s="4"/>
      <c r="Q1683" s="21" t="str">
        <f>VLOOKUP(tblProductos[[#This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4092</v>
      </c>
      <c r="D1684" s="2" t="s">
        <v>4033</v>
      </c>
      <c r="E1684" s="2" t="s">
        <v>4093</v>
      </c>
      <c r="F1684" s="2">
        <v>400</v>
      </c>
      <c r="G1684" s="2" t="s">
        <v>3842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3843</v>
      </c>
      <c r="N1684" s="4"/>
      <c r="O1684" s="5"/>
      <c r="P1684" s="4"/>
      <c r="Q1684" s="21" t="str">
        <f>VLOOKUP(tblProductos[[#This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4092</v>
      </c>
      <c r="D1685" s="2" t="s">
        <v>4144</v>
      </c>
      <c r="E1685" s="2" t="s">
        <v>4093</v>
      </c>
      <c r="F1685" s="2">
        <v>400</v>
      </c>
      <c r="G1685" s="2" t="s">
        <v>3842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3843</v>
      </c>
      <c r="N1685" s="4"/>
      <c r="O1685" s="5"/>
      <c r="P1685" s="4"/>
      <c r="Q1685" s="21" t="str">
        <f>VLOOKUP(tblProductos[[#This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4092</v>
      </c>
      <c r="D1686" s="2" t="s">
        <v>4014</v>
      </c>
      <c r="E1686" s="2" t="s">
        <v>4093</v>
      </c>
      <c r="F1686" s="2">
        <v>400</v>
      </c>
      <c r="G1686" s="2" t="s">
        <v>3842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3843</v>
      </c>
      <c r="N1686" s="4"/>
      <c r="O1686" s="5"/>
      <c r="P1686" s="4"/>
      <c r="Q1686" s="21" t="str">
        <f>VLOOKUP(tblProductos[[#This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4092</v>
      </c>
      <c r="D1687" s="2" t="s">
        <v>4008</v>
      </c>
      <c r="E1687" s="2" t="s">
        <v>4093</v>
      </c>
      <c r="F1687" s="2">
        <v>400</v>
      </c>
      <c r="G1687" s="2" t="s">
        <v>3842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3843</v>
      </c>
      <c r="N1687" s="4"/>
      <c r="O1687" s="5"/>
      <c r="P1687" s="4"/>
      <c r="Q1687" s="21" t="str">
        <f>VLOOKUP(tblProductos[[#This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4092</v>
      </c>
      <c r="D1688" s="2" t="s">
        <v>4020</v>
      </c>
      <c r="E1688" s="2" t="s">
        <v>4093</v>
      </c>
      <c r="F1688" s="2">
        <v>400</v>
      </c>
      <c r="G1688" s="2" t="s">
        <v>3842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3843</v>
      </c>
      <c r="N1688" s="4"/>
      <c r="O1688" s="5"/>
      <c r="P1688" s="4"/>
      <c r="Q1688" s="21" t="str">
        <f>VLOOKUP(tblProductos[[#This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4092</v>
      </c>
      <c r="D1689" s="2" t="s">
        <v>4016</v>
      </c>
      <c r="E1689" s="2" t="s">
        <v>4093</v>
      </c>
      <c r="F1689" s="2">
        <v>400</v>
      </c>
      <c r="G1689" s="2" t="s">
        <v>3842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3843</v>
      </c>
      <c r="N1689" s="4"/>
      <c r="O1689" s="5"/>
      <c r="P1689" s="4"/>
      <c r="Q1689" s="21" t="str">
        <f>VLOOKUP(tblProductos[[#This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4092</v>
      </c>
      <c r="D1690" s="2" t="s">
        <v>4145</v>
      </c>
      <c r="E1690" s="2" t="s">
        <v>4093</v>
      </c>
      <c r="F1690" s="2">
        <v>400</v>
      </c>
      <c r="G1690" s="2" t="s">
        <v>3842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3843</v>
      </c>
      <c r="N1690" s="4"/>
      <c r="O1690" s="5"/>
      <c r="P1690" s="4"/>
      <c r="Q1690" s="21" t="str">
        <f>VLOOKUP(tblProductos[[#This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4092</v>
      </c>
      <c r="D1691" s="2" t="s">
        <v>4021</v>
      </c>
      <c r="E1691" s="2" t="s">
        <v>4093</v>
      </c>
      <c r="F1691" s="2">
        <v>400</v>
      </c>
      <c r="G1691" s="2" t="s">
        <v>3842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3843</v>
      </c>
      <c r="N1691" s="4"/>
      <c r="O1691" s="5"/>
      <c r="P1691" s="4"/>
      <c r="Q1691" s="21" t="str">
        <f>VLOOKUP(tblProductos[[#This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4092</v>
      </c>
      <c r="D1692" s="2" t="s">
        <v>4015</v>
      </c>
      <c r="E1692" s="2" t="s">
        <v>4093</v>
      </c>
      <c r="F1692" s="2">
        <v>400</v>
      </c>
      <c r="G1692" s="2" t="s">
        <v>3842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3843</v>
      </c>
      <c r="N1692" s="4"/>
      <c r="O1692" s="5"/>
      <c r="P1692" s="4"/>
      <c r="Q1692" s="21" t="str">
        <f>VLOOKUP(tblProductos[[#This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4092</v>
      </c>
      <c r="D1693" s="2" t="s">
        <v>4054</v>
      </c>
      <c r="E1693" s="2" t="s">
        <v>4093</v>
      </c>
      <c r="F1693" s="2">
        <v>400</v>
      </c>
      <c r="G1693" s="2" t="s">
        <v>3842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3843</v>
      </c>
      <c r="N1693" s="4"/>
      <c r="O1693" s="5"/>
      <c r="P1693" s="4"/>
      <c r="Q1693" s="21" t="str">
        <f>VLOOKUP(tblProductos[[#This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4092</v>
      </c>
      <c r="D1694" s="2" t="s">
        <v>4118</v>
      </c>
      <c r="E1694" s="2" t="s">
        <v>4093</v>
      </c>
      <c r="F1694" s="2">
        <v>400</v>
      </c>
      <c r="G1694" s="2" t="s">
        <v>3842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3843</v>
      </c>
      <c r="N1694" s="4"/>
      <c r="O1694" s="5"/>
      <c r="P1694" s="4"/>
      <c r="Q1694" s="21" t="str">
        <f>VLOOKUP(tblProductos[[#This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4092</v>
      </c>
      <c r="D1695" s="2" t="s">
        <v>4022</v>
      </c>
      <c r="E1695" s="2" t="s">
        <v>4093</v>
      </c>
      <c r="F1695" s="2">
        <v>400</v>
      </c>
      <c r="G1695" s="2" t="s">
        <v>3842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3843</v>
      </c>
      <c r="N1695" s="4"/>
      <c r="O1695" s="5"/>
      <c r="P1695" s="4"/>
      <c r="Q1695" s="21" t="str">
        <f>VLOOKUP(tblProductos[[#This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4092</v>
      </c>
      <c r="D1696" s="2" t="s">
        <v>3919</v>
      </c>
      <c r="E1696" s="2" t="s">
        <v>4093</v>
      </c>
      <c r="F1696" s="2">
        <v>400</v>
      </c>
      <c r="G1696" s="2" t="s">
        <v>3842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3843</v>
      </c>
      <c r="N1696" s="4"/>
      <c r="O1696" s="5"/>
      <c r="P1696" s="4"/>
      <c r="Q1696" s="21" t="str">
        <f>VLOOKUP(tblProductos[[#This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4092</v>
      </c>
      <c r="D1697" s="2" t="s">
        <v>4023</v>
      </c>
      <c r="E1697" s="2" t="s">
        <v>4093</v>
      </c>
      <c r="F1697" s="2">
        <v>400</v>
      </c>
      <c r="G1697" s="2" t="s">
        <v>3842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3843</v>
      </c>
      <c r="N1697" s="4"/>
      <c r="O1697" s="5"/>
      <c r="P1697" s="4"/>
      <c r="Q1697" s="21" t="str">
        <f>VLOOKUP(tblProductos[[#This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4092</v>
      </c>
      <c r="D1698" s="2" t="s">
        <v>4029</v>
      </c>
      <c r="E1698" s="2" t="s">
        <v>4093</v>
      </c>
      <c r="F1698" s="2">
        <v>400</v>
      </c>
      <c r="G1698" s="2" t="s">
        <v>3842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3843</v>
      </c>
      <c r="N1698" s="4"/>
      <c r="O1698" s="5"/>
      <c r="P1698" s="4"/>
      <c r="Q1698" s="21" t="str">
        <f>VLOOKUP(tblProductos[[#This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4092</v>
      </c>
      <c r="D1699" s="2" t="s">
        <v>4024</v>
      </c>
      <c r="E1699" s="2" t="s">
        <v>4093</v>
      </c>
      <c r="F1699" s="2">
        <v>400</v>
      </c>
      <c r="G1699" s="2" t="s">
        <v>3842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3843</v>
      </c>
      <c r="N1699" s="4"/>
      <c r="O1699" s="5"/>
      <c r="P1699" s="4"/>
      <c r="Q1699" s="21" t="str">
        <f>VLOOKUP(tblProductos[[#This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4092</v>
      </c>
      <c r="D1700" s="2" t="s">
        <v>4034</v>
      </c>
      <c r="E1700" s="2" t="s">
        <v>4093</v>
      </c>
      <c r="F1700" s="2">
        <v>400</v>
      </c>
      <c r="G1700" s="2" t="s">
        <v>3842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3843</v>
      </c>
      <c r="N1700" s="4"/>
      <c r="O1700" s="5"/>
      <c r="P1700" s="4"/>
      <c r="Q1700" s="21" t="str">
        <f>VLOOKUP(tblProductos[[#This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4092</v>
      </c>
      <c r="D1701" s="2" t="s">
        <v>4035</v>
      </c>
      <c r="E1701" s="2" t="s">
        <v>4093</v>
      </c>
      <c r="F1701" s="2">
        <v>400</v>
      </c>
      <c r="G1701" s="2" t="s">
        <v>3842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3843</v>
      </c>
      <c r="N1701" s="4"/>
      <c r="O1701" s="5"/>
      <c r="P1701" s="4"/>
      <c r="Q1701" s="21" t="str">
        <f>VLOOKUP(tblProductos[[#This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4098</v>
      </c>
      <c r="D1702" s="2" t="s">
        <v>4017</v>
      </c>
      <c r="E1702" s="2" t="s">
        <v>4099</v>
      </c>
      <c r="F1702" s="2">
        <v>400</v>
      </c>
      <c r="G1702" s="2" t="s">
        <v>3842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3843</v>
      </c>
      <c r="N1702" s="4"/>
      <c r="O1702" s="5"/>
      <c r="P1702" s="4"/>
      <c r="Q1702" s="21" t="str">
        <f>VLOOKUP(tblProductos[[#This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4098</v>
      </c>
      <c r="D1703" s="2" t="s">
        <v>4010</v>
      </c>
      <c r="E1703" s="2" t="s">
        <v>4099</v>
      </c>
      <c r="F1703" s="2">
        <v>400</v>
      </c>
      <c r="G1703" s="2" t="s">
        <v>3842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3843</v>
      </c>
      <c r="N1703" s="4"/>
      <c r="O1703" s="5"/>
      <c r="P1703" s="4"/>
      <c r="Q1703" s="21" t="str">
        <f>VLOOKUP(tblProductos[[#This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4098</v>
      </c>
      <c r="D1704" s="2" t="s">
        <v>4125</v>
      </c>
      <c r="E1704" s="2" t="s">
        <v>4099</v>
      </c>
      <c r="F1704" s="2">
        <v>400</v>
      </c>
      <c r="G1704" s="2" t="s">
        <v>3842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3843</v>
      </c>
      <c r="N1704" s="4"/>
      <c r="O1704" s="5"/>
      <c r="P1704" s="4"/>
      <c r="Q1704" s="21" t="str">
        <f>VLOOKUP(tblProductos[[#This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4098</v>
      </c>
      <c r="D1705" s="2" t="s">
        <v>4056</v>
      </c>
      <c r="E1705" s="2" t="s">
        <v>4099</v>
      </c>
      <c r="F1705" s="2">
        <v>400</v>
      </c>
      <c r="G1705" s="2" t="s">
        <v>3842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3843</v>
      </c>
      <c r="N1705" s="4"/>
      <c r="O1705" s="5"/>
      <c r="P1705" s="4"/>
      <c r="Q1705" s="21" t="str">
        <f>VLOOKUP(tblProductos[[#This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4098</v>
      </c>
      <c r="D1706" s="2" t="s">
        <v>4006</v>
      </c>
      <c r="E1706" s="2" t="s">
        <v>4099</v>
      </c>
      <c r="F1706" s="2">
        <v>400</v>
      </c>
      <c r="G1706" s="2" t="s">
        <v>3842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3843</v>
      </c>
      <c r="N1706" s="4"/>
      <c r="O1706" s="5"/>
      <c r="P1706" s="4"/>
      <c r="Q1706" s="21" t="str">
        <f>VLOOKUP(tblProductos[[#This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4098</v>
      </c>
      <c r="D1707" s="2" t="s">
        <v>4143</v>
      </c>
      <c r="E1707" s="2" t="s">
        <v>4099</v>
      </c>
      <c r="F1707" s="2">
        <v>400</v>
      </c>
      <c r="G1707" s="2" t="s">
        <v>3842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3843</v>
      </c>
      <c r="N1707" s="4"/>
      <c r="O1707" s="5"/>
      <c r="P1707" s="4"/>
      <c r="Q1707" s="21" t="str">
        <f>VLOOKUP(tblProductos[[#This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4098</v>
      </c>
      <c r="D1708" s="2" t="s">
        <v>4031</v>
      </c>
      <c r="E1708" s="2" t="s">
        <v>4099</v>
      </c>
      <c r="F1708" s="2">
        <v>400</v>
      </c>
      <c r="G1708" s="2" t="s">
        <v>3842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3843</v>
      </c>
      <c r="N1708" s="4"/>
      <c r="O1708" s="5"/>
      <c r="P1708" s="4"/>
      <c r="Q1708" s="21" t="str">
        <f>VLOOKUP(tblProductos[[#This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4098</v>
      </c>
      <c r="D1709" s="2" t="s">
        <v>4011</v>
      </c>
      <c r="E1709" s="2" t="s">
        <v>4099</v>
      </c>
      <c r="F1709" s="2">
        <v>400</v>
      </c>
      <c r="G1709" s="2" t="s">
        <v>3842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3843</v>
      </c>
      <c r="N1709" s="4"/>
      <c r="O1709" s="5"/>
      <c r="P1709" s="4"/>
      <c r="Q1709" s="21" t="str">
        <f>VLOOKUP(tblProductos[[#This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4098</v>
      </c>
      <c r="D1710" s="2" t="s">
        <v>4030</v>
      </c>
      <c r="E1710" s="2" t="s">
        <v>4099</v>
      </c>
      <c r="F1710" s="2">
        <v>400</v>
      </c>
      <c r="G1710" s="2" t="s">
        <v>3842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3843</v>
      </c>
      <c r="N1710" s="4"/>
      <c r="O1710" s="5"/>
      <c r="P1710" s="4"/>
      <c r="Q1710" s="21" t="str">
        <f>VLOOKUP(tblProductos[[#This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4098</v>
      </c>
      <c r="D1711" s="2" t="s">
        <v>4018</v>
      </c>
      <c r="E1711" s="2" t="s">
        <v>4099</v>
      </c>
      <c r="F1711" s="2">
        <v>400</v>
      </c>
      <c r="G1711" s="2" t="s">
        <v>3842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3843</v>
      </c>
      <c r="N1711" s="4"/>
      <c r="O1711" s="5"/>
      <c r="P1711" s="4"/>
      <c r="Q1711" s="21" t="str">
        <f>VLOOKUP(tblProductos[[#This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4098</v>
      </c>
      <c r="D1712" s="2" t="s">
        <v>4009</v>
      </c>
      <c r="E1712" s="2" t="s">
        <v>4099</v>
      </c>
      <c r="F1712" s="2">
        <v>400</v>
      </c>
      <c r="G1712" s="2" t="s">
        <v>3842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3843</v>
      </c>
      <c r="N1712" s="4"/>
      <c r="O1712" s="5"/>
      <c r="P1712" s="4"/>
      <c r="Q1712" s="21" t="str">
        <f>VLOOKUP(tblProductos[[#This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4098</v>
      </c>
      <c r="D1713" s="2" t="s">
        <v>4012</v>
      </c>
      <c r="E1713" s="2" t="s">
        <v>4099</v>
      </c>
      <c r="F1713" s="2">
        <v>400</v>
      </c>
      <c r="G1713" s="2" t="s">
        <v>3842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3843</v>
      </c>
      <c r="N1713" s="4"/>
      <c r="O1713" s="5"/>
      <c r="P1713" s="4"/>
      <c r="Q1713" s="21" t="str">
        <f>VLOOKUP(tblProductos[[#This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4098</v>
      </c>
      <c r="D1714" s="2" t="s">
        <v>4013</v>
      </c>
      <c r="E1714" s="2" t="s">
        <v>4099</v>
      </c>
      <c r="F1714" s="2">
        <v>400</v>
      </c>
      <c r="G1714" s="2" t="s">
        <v>3842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3843</v>
      </c>
      <c r="N1714" s="4"/>
      <c r="O1714" s="5"/>
      <c r="P1714" s="4"/>
      <c r="Q1714" s="21" t="str">
        <f>VLOOKUP(tblProductos[[#This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4098</v>
      </c>
      <c r="D1715" s="2" t="s">
        <v>3923</v>
      </c>
      <c r="E1715" s="2" t="s">
        <v>4099</v>
      </c>
      <c r="F1715" s="2">
        <v>400</v>
      </c>
      <c r="G1715" s="2" t="s">
        <v>3842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3843</v>
      </c>
      <c r="N1715" s="4"/>
      <c r="O1715" s="5"/>
      <c r="P1715" s="4"/>
      <c r="Q1715" s="21" t="str">
        <f>VLOOKUP(tblProductos[[#This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4098</v>
      </c>
      <c r="D1716" s="2" t="s">
        <v>4019</v>
      </c>
      <c r="E1716" s="2" t="s">
        <v>4099</v>
      </c>
      <c r="F1716" s="2">
        <v>400</v>
      </c>
      <c r="G1716" s="2" t="s">
        <v>3842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3843</v>
      </c>
      <c r="N1716" s="4"/>
      <c r="O1716" s="5"/>
      <c r="P1716" s="4"/>
      <c r="Q1716" s="21" t="str">
        <f>VLOOKUP(tblProductos[[#This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4098</v>
      </c>
      <c r="D1717" s="2" t="s">
        <v>4032</v>
      </c>
      <c r="E1717" s="2" t="s">
        <v>4099</v>
      </c>
      <c r="F1717" s="2">
        <v>400</v>
      </c>
      <c r="G1717" s="2" t="s">
        <v>3842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3843</v>
      </c>
      <c r="N1717" s="4"/>
      <c r="O1717" s="5"/>
      <c r="P1717" s="4"/>
      <c r="Q1717" s="21" t="str">
        <f>VLOOKUP(tblProductos[[#This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4098</v>
      </c>
      <c r="D1718" s="2" t="s">
        <v>4007</v>
      </c>
      <c r="E1718" s="2" t="s">
        <v>4099</v>
      </c>
      <c r="F1718" s="2">
        <v>400</v>
      </c>
      <c r="G1718" s="2" t="s">
        <v>3842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3843</v>
      </c>
      <c r="N1718" s="4"/>
      <c r="O1718" s="5"/>
      <c r="P1718" s="4"/>
      <c r="Q1718" s="21" t="str">
        <f>VLOOKUP(tblProductos[[#This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4098</v>
      </c>
      <c r="D1719" s="2" t="s">
        <v>3888</v>
      </c>
      <c r="E1719" s="2" t="s">
        <v>4099</v>
      </c>
      <c r="F1719" s="2">
        <v>400</v>
      </c>
      <c r="G1719" s="2" t="s">
        <v>3842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3843</v>
      </c>
      <c r="N1719" s="4"/>
      <c r="O1719" s="5"/>
      <c r="P1719" s="4"/>
      <c r="Q1719" s="21" t="str">
        <f>VLOOKUP(tblProductos[[#This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4098</v>
      </c>
      <c r="D1720" s="2" t="s">
        <v>4033</v>
      </c>
      <c r="E1720" s="2" t="s">
        <v>4099</v>
      </c>
      <c r="F1720" s="2">
        <v>400</v>
      </c>
      <c r="G1720" s="2" t="s">
        <v>3842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3843</v>
      </c>
      <c r="N1720" s="4"/>
      <c r="O1720" s="5"/>
      <c r="P1720" s="4"/>
      <c r="Q1720" s="21" t="str">
        <f>VLOOKUP(tblProductos[[#This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4098</v>
      </c>
      <c r="D1721" s="2" t="s">
        <v>4144</v>
      </c>
      <c r="E1721" s="2" t="s">
        <v>4099</v>
      </c>
      <c r="F1721" s="2">
        <v>400</v>
      </c>
      <c r="G1721" s="2" t="s">
        <v>3842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3843</v>
      </c>
      <c r="N1721" s="4"/>
      <c r="O1721" s="5"/>
      <c r="P1721" s="4"/>
      <c r="Q1721" s="21" t="str">
        <f>VLOOKUP(tblProductos[[#This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4098</v>
      </c>
      <c r="D1722" s="2" t="s">
        <v>4014</v>
      </c>
      <c r="E1722" s="2" t="s">
        <v>4099</v>
      </c>
      <c r="F1722" s="2">
        <v>400</v>
      </c>
      <c r="G1722" s="2" t="s">
        <v>3842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3843</v>
      </c>
      <c r="N1722" s="4"/>
      <c r="O1722" s="5"/>
      <c r="P1722" s="4"/>
      <c r="Q1722" s="21" t="str">
        <f>VLOOKUP(tblProductos[[#This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4098</v>
      </c>
      <c r="D1723" s="2" t="s">
        <v>4008</v>
      </c>
      <c r="E1723" s="2" t="s">
        <v>4099</v>
      </c>
      <c r="F1723" s="2">
        <v>400</v>
      </c>
      <c r="G1723" s="2" t="s">
        <v>3842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3843</v>
      </c>
      <c r="N1723" s="4"/>
      <c r="O1723" s="5"/>
      <c r="P1723" s="4"/>
      <c r="Q1723" s="21" t="str">
        <f>VLOOKUP(tblProductos[[#This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4098</v>
      </c>
      <c r="D1724" s="2" t="s">
        <v>4020</v>
      </c>
      <c r="E1724" s="2" t="s">
        <v>4099</v>
      </c>
      <c r="F1724" s="2">
        <v>400</v>
      </c>
      <c r="G1724" s="2" t="s">
        <v>3842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3843</v>
      </c>
      <c r="N1724" s="4"/>
      <c r="O1724" s="5"/>
      <c r="P1724" s="4"/>
      <c r="Q1724" s="21" t="str">
        <f>VLOOKUP(tblProductos[[#This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4098</v>
      </c>
      <c r="D1725" s="2" t="s">
        <v>4016</v>
      </c>
      <c r="E1725" s="2" t="s">
        <v>4099</v>
      </c>
      <c r="F1725" s="2">
        <v>400</v>
      </c>
      <c r="G1725" s="2" t="s">
        <v>3842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3843</v>
      </c>
      <c r="N1725" s="4"/>
      <c r="O1725" s="5"/>
      <c r="P1725" s="4"/>
      <c r="Q1725" s="21" t="str">
        <f>VLOOKUP(tblProductos[[#This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4098</v>
      </c>
      <c r="D1726" s="2" t="s">
        <v>4145</v>
      </c>
      <c r="E1726" s="2" t="s">
        <v>4099</v>
      </c>
      <c r="F1726" s="2">
        <v>400</v>
      </c>
      <c r="G1726" s="2" t="s">
        <v>3842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3843</v>
      </c>
      <c r="N1726" s="4"/>
      <c r="O1726" s="5"/>
      <c r="P1726" s="4"/>
      <c r="Q1726" s="21" t="str">
        <f>VLOOKUP(tblProductos[[#This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4098</v>
      </c>
      <c r="D1727" s="2" t="s">
        <v>4021</v>
      </c>
      <c r="E1727" s="2" t="s">
        <v>4099</v>
      </c>
      <c r="F1727" s="2">
        <v>400</v>
      </c>
      <c r="G1727" s="2" t="s">
        <v>3842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3843</v>
      </c>
      <c r="N1727" s="4"/>
      <c r="O1727" s="5"/>
      <c r="P1727" s="4"/>
      <c r="Q1727" s="21" t="str">
        <f>VLOOKUP(tblProductos[[#This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4098</v>
      </c>
      <c r="D1728" s="2" t="s">
        <v>4015</v>
      </c>
      <c r="E1728" s="2" t="s">
        <v>4099</v>
      </c>
      <c r="F1728" s="2">
        <v>400</v>
      </c>
      <c r="G1728" s="2" t="s">
        <v>3842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3843</v>
      </c>
      <c r="N1728" s="4"/>
      <c r="O1728" s="5"/>
      <c r="P1728" s="4"/>
      <c r="Q1728" s="21" t="str">
        <f>VLOOKUP(tblProductos[[#This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4098</v>
      </c>
      <c r="D1729" s="2" t="s">
        <v>4054</v>
      </c>
      <c r="E1729" s="2" t="s">
        <v>4099</v>
      </c>
      <c r="F1729" s="2">
        <v>400</v>
      </c>
      <c r="G1729" s="2" t="s">
        <v>3842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3843</v>
      </c>
      <c r="N1729" s="4"/>
      <c r="O1729" s="5"/>
      <c r="P1729" s="4"/>
      <c r="Q1729" s="21" t="str">
        <f>VLOOKUP(tblProductos[[#This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4098</v>
      </c>
      <c r="D1730" s="2" t="s">
        <v>4118</v>
      </c>
      <c r="E1730" s="2" t="s">
        <v>4099</v>
      </c>
      <c r="F1730" s="2">
        <v>400</v>
      </c>
      <c r="G1730" s="2" t="s">
        <v>3842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3843</v>
      </c>
      <c r="N1730" s="4"/>
      <c r="O1730" s="5"/>
      <c r="P1730" s="4"/>
      <c r="Q1730" s="21" t="str">
        <f>VLOOKUP(tblProductos[[#This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4098</v>
      </c>
      <c r="D1731" s="2" t="s">
        <v>4022</v>
      </c>
      <c r="E1731" s="2" t="s">
        <v>4099</v>
      </c>
      <c r="F1731" s="2">
        <v>400</v>
      </c>
      <c r="G1731" s="2" t="s">
        <v>3842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3843</v>
      </c>
      <c r="N1731" s="4"/>
      <c r="O1731" s="5"/>
      <c r="P1731" s="4"/>
      <c r="Q1731" s="21" t="str">
        <f>VLOOKUP(tblProductos[[#This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4098</v>
      </c>
      <c r="D1732" s="2" t="s">
        <v>3919</v>
      </c>
      <c r="E1732" s="2" t="s">
        <v>4099</v>
      </c>
      <c r="F1732" s="2">
        <v>400</v>
      </c>
      <c r="G1732" s="2" t="s">
        <v>3842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3843</v>
      </c>
      <c r="N1732" s="4"/>
      <c r="O1732" s="5"/>
      <c r="P1732" s="4"/>
      <c r="Q1732" s="21" t="str">
        <f>VLOOKUP(tblProductos[[#This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4098</v>
      </c>
      <c r="D1733" s="2" t="s">
        <v>4023</v>
      </c>
      <c r="E1733" s="2" t="s">
        <v>4099</v>
      </c>
      <c r="F1733" s="2">
        <v>400</v>
      </c>
      <c r="G1733" s="2" t="s">
        <v>3842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3843</v>
      </c>
      <c r="N1733" s="4"/>
      <c r="O1733" s="5"/>
      <c r="P1733" s="4"/>
      <c r="Q1733" s="21" t="str">
        <f>VLOOKUP(tblProductos[[#This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4098</v>
      </c>
      <c r="D1734" s="2" t="s">
        <v>4029</v>
      </c>
      <c r="E1734" s="2" t="s">
        <v>4099</v>
      </c>
      <c r="F1734" s="2">
        <v>400</v>
      </c>
      <c r="G1734" s="2" t="s">
        <v>3842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3843</v>
      </c>
      <c r="N1734" s="4"/>
      <c r="O1734" s="5"/>
      <c r="P1734" s="4"/>
      <c r="Q1734" s="21" t="str">
        <f>VLOOKUP(tblProductos[[#This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4098</v>
      </c>
      <c r="D1735" s="2" t="s">
        <v>4024</v>
      </c>
      <c r="E1735" s="2" t="s">
        <v>4099</v>
      </c>
      <c r="F1735" s="2">
        <v>400</v>
      </c>
      <c r="G1735" s="2" t="s">
        <v>3842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3843</v>
      </c>
      <c r="N1735" s="4"/>
      <c r="O1735" s="5"/>
      <c r="P1735" s="4"/>
      <c r="Q1735" s="21" t="str">
        <f>VLOOKUP(tblProductos[[#This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4098</v>
      </c>
      <c r="D1736" s="2" t="s">
        <v>4034</v>
      </c>
      <c r="E1736" s="2" t="s">
        <v>4099</v>
      </c>
      <c r="F1736" s="2">
        <v>400</v>
      </c>
      <c r="G1736" s="2" t="s">
        <v>3842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3843</v>
      </c>
      <c r="N1736" s="4"/>
      <c r="O1736" s="5"/>
      <c r="P1736" s="4"/>
      <c r="Q1736" s="21" t="str">
        <f>VLOOKUP(tblProductos[[#This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4098</v>
      </c>
      <c r="D1737" s="2" t="s">
        <v>4035</v>
      </c>
      <c r="E1737" s="2" t="s">
        <v>4099</v>
      </c>
      <c r="F1737" s="2">
        <v>400</v>
      </c>
      <c r="G1737" s="2" t="s">
        <v>3842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3843</v>
      </c>
      <c r="N1737" s="4"/>
      <c r="O1737" s="5"/>
      <c r="P1737" s="4"/>
      <c r="Q1737" s="21" t="str">
        <f>VLOOKUP(tblProductos[[#This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4098</v>
      </c>
      <c r="D1738" s="2" t="s">
        <v>4017</v>
      </c>
      <c r="E1738" s="2" t="s">
        <v>4099</v>
      </c>
      <c r="F1738" s="2">
        <v>400</v>
      </c>
      <c r="G1738" s="2" t="s">
        <v>3842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3843</v>
      </c>
      <c r="N1738" s="4"/>
      <c r="O1738" s="5"/>
      <c r="P1738" s="4"/>
      <c r="Q1738" s="21" t="str">
        <f>VLOOKUP(tblProductos[[#This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4098</v>
      </c>
      <c r="D1739" s="2" t="s">
        <v>4010</v>
      </c>
      <c r="E1739" s="2" t="s">
        <v>4099</v>
      </c>
      <c r="F1739" s="2">
        <v>400</v>
      </c>
      <c r="G1739" s="2" t="s">
        <v>3842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3843</v>
      </c>
      <c r="N1739" s="4"/>
      <c r="O1739" s="5"/>
      <c r="P1739" s="4"/>
      <c r="Q1739" s="21" t="str">
        <f>VLOOKUP(tblProductos[[#This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4098</v>
      </c>
      <c r="D1740" s="2" t="s">
        <v>4125</v>
      </c>
      <c r="E1740" s="2" t="s">
        <v>4099</v>
      </c>
      <c r="F1740" s="2">
        <v>400</v>
      </c>
      <c r="G1740" s="2" t="s">
        <v>3842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3843</v>
      </c>
      <c r="N1740" s="4"/>
      <c r="O1740" s="5"/>
      <c r="P1740" s="4"/>
      <c r="Q1740" s="21" t="str">
        <f>VLOOKUP(tblProductos[[#This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4098</v>
      </c>
      <c r="D1741" s="2" t="s">
        <v>4056</v>
      </c>
      <c r="E1741" s="2" t="s">
        <v>4099</v>
      </c>
      <c r="F1741" s="2">
        <v>400</v>
      </c>
      <c r="G1741" s="2" t="s">
        <v>3842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3843</v>
      </c>
      <c r="N1741" s="4"/>
      <c r="O1741" s="5"/>
      <c r="P1741" s="4"/>
      <c r="Q1741" s="21" t="str">
        <f>VLOOKUP(tblProductos[[#This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4098</v>
      </c>
      <c r="D1742" s="2" t="s">
        <v>4006</v>
      </c>
      <c r="E1742" s="2" t="s">
        <v>4099</v>
      </c>
      <c r="F1742" s="2">
        <v>400</v>
      </c>
      <c r="G1742" s="2" t="s">
        <v>3842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3843</v>
      </c>
      <c r="N1742" s="4"/>
      <c r="O1742" s="5"/>
      <c r="P1742" s="4"/>
      <c r="Q1742" s="21" t="str">
        <f>VLOOKUP(tblProductos[[#This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4098</v>
      </c>
      <c r="D1743" s="2" t="s">
        <v>4143</v>
      </c>
      <c r="E1743" s="2" t="s">
        <v>4099</v>
      </c>
      <c r="F1743" s="2">
        <v>400</v>
      </c>
      <c r="G1743" s="2" t="s">
        <v>3842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3843</v>
      </c>
      <c r="N1743" s="4"/>
      <c r="O1743" s="5"/>
      <c r="P1743" s="4"/>
      <c r="Q1743" s="21" t="str">
        <f>VLOOKUP(tblProductos[[#This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4098</v>
      </c>
      <c r="D1744" s="2" t="s">
        <v>4031</v>
      </c>
      <c r="E1744" s="2" t="s">
        <v>4099</v>
      </c>
      <c r="F1744" s="2">
        <v>400</v>
      </c>
      <c r="G1744" s="2" t="s">
        <v>3842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3843</v>
      </c>
      <c r="N1744" s="4"/>
      <c r="O1744" s="5"/>
      <c r="P1744" s="4"/>
      <c r="Q1744" s="21" t="str">
        <f>VLOOKUP(tblProductos[[#This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4098</v>
      </c>
      <c r="D1745" s="2" t="s">
        <v>4011</v>
      </c>
      <c r="E1745" s="2" t="s">
        <v>4099</v>
      </c>
      <c r="F1745" s="2">
        <v>400</v>
      </c>
      <c r="G1745" s="2" t="s">
        <v>3842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3843</v>
      </c>
      <c r="N1745" s="4"/>
      <c r="O1745" s="5"/>
      <c r="P1745" s="4"/>
      <c r="Q1745" s="21" t="str">
        <f>VLOOKUP(tblProductos[[#This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4098</v>
      </c>
      <c r="D1746" s="2" t="s">
        <v>4030</v>
      </c>
      <c r="E1746" s="2" t="s">
        <v>4099</v>
      </c>
      <c r="F1746" s="2">
        <v>400</v>
      </c>
      <c r="G1746" s="2" t="s">
        <v>3842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3843</v>
      </c>
      <c r="N1746" s="4"/>
      <c r="O1746" s="5"/>
      <c r="P1746" s="4"/>
      <c r="Q1746" s="21" t="str">
        <f>VLOOKUP(tblProductos[[#This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4098</v>
      </c>
      <c r="D1747" s="2" t="s">
        <v>4018</v>
      </c>
      <c r="E1747" s="2" t="s">
        <v>4099</v>
      </c>
      <c r="F1747" s="2">
        <v>400</v>
      </c>
      <c r="G1747" s="2" t="s">
        <v>3842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3843</v>
      </c>
      <c r="N1747" s="4"/>
      <c r="O1747" s="5"/>
      <c r="P1747" s="4"/>
      <c r="Q1747" s="21" t="str">
        <f>VLOOKUP(tblProductos[[#This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4098</v>
      </c>
      <c r="D1748" s="2" t="s">
        <v>4009</v>
      </c>
      <c r="E1748" s="2" t="s">
        <v>4099</v>
      </c>
      <c r="F1748" s="2">
        <v>400</v>
      </c>
      <c r="G1748" s="2" t="s">
        <v>3842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3843</v>
      </c>
      <c r="N1748" s="4"/>
      <c r="O1748" s="5"/>
      <c r="P1748" s="4"/>
      <c r="Q1748" s="21" t="str">
        <f>VLOOKUP(tblProductos[[#This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4098</v>
      </c>
      <c r="D1749" s="2" t="s">
        <v>4012</v>
      </c>
      <c r="E1749" s="2" t="s">
        <v>4099</v>
      </c>
      <c r="F1749" s="2">
        <v>400</v>
      </c>
      <c r="G1749" s="2" t="s">
        <v>3842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3843</v>
      </c>
      <c r="N1749" s="4"/>
      <c r="O1749" s="5"/>
      <c r="P1749" s="4"/>
      <c r="Q1749" s="21" t="str">
        <f>VLOOKUP(tblProductos[[#This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4098</v>
      </c>
      <c r="D1750" s="2" t="s">
        <v>4013</v>
      </c>
      <c r="E1750" s="2" t="s">
        <v>4099</v>
      </c>
      <c r="F1750" s="2">
        <v>400</v>
      </c>
      <c r="G1750" s="2" t="s">
        <v>3842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3843</v>
      </c>
      <c r="N1750" s="4"/>
      <c r="O1750" s="5"/>
      <c r="P1750" s="4"/>
      <c r="Q1750" s="21" t="str">
        <f>VLOOKUP(tblProductos[[#This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4098</v>
      </c>
      <c r="D1751" s="2" t="s">
        <v>3923</v>
      </c>
      <c r="E1751" s="2" t="s">
        <v>4099</v>
      </c>
      <c r="F1751" s="2">
        <v>400</v>
      </c>
      <c r="G1751" s="2" t="s">
        <v>3842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3843</v>
      </c>
      <c r="N1751" s="4"/>
      <c r="O1751" s="5"/>
      <c r="P1751" s="4"/>
      <c r="Q1751" s="21" t="str">
        <f>VLOOKUP(tblProductos[[#This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4098</v>
      </c>
      <c r="D1752" s="2" t="s">
        <v>4019</v>
      </c>
      <c r="E1752" s="2" t="s">
        <v>4099</v>
      </c>
      <c r="F1752" s="2">
        <v>400</v>
      </c>
      <c r="G1752" s="2" t="s">
        <v>3842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3843</v>
      </c>
      <c r="N1752" s="4"/>
      <c r="O1752" s="5"/>
      <c r="P1752" s="4"/>
      <c r="Q1752" s="21" t="str">
        <f>VLOOKUP(tblProductos[[#This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4098</v>
      </c>
      <c r="D1753" s="2" t="s">
        <v>4032</v>
      </c>
      <c r="E1753" s="2" t="s">
        <v>4099</v>
      </c>
      <c r="F1753" s="2">
        <v>400</v>
      </c>
      <c r="G1753" s="2" t="s">
        <v>3842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3843</v>
      </c>
      <c r="N1753" s="4"/>
      <c r="O1753" s="5"/>
      <c r="P1753" s="4"/>
      <c r="Q1753" s="21" t="str">
        <f>VLOOKUP(tblProductos[[#This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4098</v>
      </c>
      <c r="D1754" s="2" t="s">
        <v>4007</v>
      </c>
      <c r="E1754" s="2" t="s">
        <v>4099</v>
      </c>
      <c r="F1754" s="2">
        <v>400</v>
      </c>
      <c r="G1754" s="2" t="s">
        <v>3842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3843</v>
      </c>
      <c r="N1754" s="4"/>
      <c r="O1754" s="5"/>
      <c r="P1754" s="4"/>
      <c r="Q1754" s="21" t="str">
        <f>VLOOKUP(tblProductos[[#This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4098</v>
      </c>
      <c r="D1755" s="2" t="s">
        <v>3888</v>
      </c>
      <c r="E1755" s="2" t="s">
        <v>4099</v>
      </c>
      <c r="F1755" s="2">
        <v>400</v>
      </c>
      <c r="G1755" s="2" t="s">
        <v>3842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3843</v>
      </c>
      <c r="N1755" s="4"/>
      <c r="O1755" s="5"/>
      <c r="P1755" s="4"/>
      <c r="Q1755" s="21" t="str">
        <f>VLOOKUP(tblProductos[[#This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4098</v>
      </c>
      <c r="D1756" s="2" t="s">
        <v>4033</v>
      </c>
      <c r="E1756" s="2" t="s">
        <v>4099</v>
      </c>
      <c r="F1756" s="2">
        <v>400</v>
      </c>
      <c r="G1756" s="2" t="s">
        <v>3842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3843</v>
      </c>
      <c r="N1756" s="4"/>
      <c r="O1756" s="5"/>
      <c r="P1756" s="4"/>
      <c r="Q1756" s="21" t="str">
        <f>VLOOKUP(tblProductos[[#This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4098</v>
      </c>
      <c r="D1757" s="2" t="s">
        <v>4144</v>
      </c>
      <c r="E1757" s="2" t="s">
        <v>4099</v>
      </c>
      <c r="F1757" s="2">
        <v>400</v>
      </c>
      <c r="G1757" s="2" t="s">
        <v>3842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3843</v>
      </c>
      <c r="N1757" s="4"/>
      <c r="O1757" s="5"/>
      <c r="P1757" s="4"/>
      <c r="Q1757" s="21" t="str">
        <f>VLOOKUP(tblProductos[[#This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4098</v>
      </c>
      <c r="D1758" s="2" t="s">
        <v>4014</v>
      </c>
      <c r="E1758" s="2" t="s">
        <v>4099</v>
      </c>
      <c r="F1758" s="2">
        <v>400</v>
      </c>
      <c r="G1758" s="2" t="s">
        <v>3842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3843</v>
      </c>
      <c r="N1758" s="4"/>
      <c r="O1758" s="5"/>
      <c r="P1758" s="4"/>
      <c r="Q1758" s="21" t="str">
        <f>VLOOKUP(tblProductos[[#This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4098</v>
      </c>
      <c r="D1759" s="2" t="s">
        <v>4008</v>
      </c>
      <c r="E1759" s="2" t="s">
        <v>4099</v>
      </c>
      <c r="F1759" s="2">
        <v>400</v>
      </c>
      <c r="G1759" s="2" t="s">
        <v>3842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3843</v>
      </c>
      <c r="N1759" s="4"/>
      <c r="O1759" s="5"/>
      <c r="P1759" s="4"/>
      <c r="Q1759" s="21" t="str">
        <f>VLOOKUP(tblProductos[[#This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4098</v>
      </c>
      <c r="D1760" s="2" t="s">
        <v>4020</v>
      </c>
      <c r="E1760" s="2" t="s">
        <v>4099</v>
      </c>
      <c r="F1760" s="2">
        <v>400</v>
      </c>
      <c r="G1760" s="2" t="s">
        <v>3842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3843</v>
      </c>
      <c r="N1760" s="4"/>
      <c r="O1760" s="5"/>
      <c r="P1760" s="4"/>
      <c r="Q1760" s="21" t="str">
        <f>VLOOKUP(tblProductos[[#This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4098</v>
      </c>
      <c r="D1761" s="2" t="s">
        <v>4016</v>
      </c>
      <c r="E1761" s="2" t="s">
        <v>4099</v>
      </c>
      <c r="F1761" s="2">
        <v>400</v>
      </c>
      <c r="G1761" s="2" t="s">
        <v>3842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3843</v>
      </c>
      <c r="N1761" s="4"/>
      <c r="O1761" s="5"/>
      <c r="P1761" s="4"/>
      <c r="Q1761" s="21" t="str">
        <f>VLOOKUP(tblProductos[[#This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4098</v>
      </c>
      <c r="D1762" s="2" t="s">
        <v>4145</v>
      </c>
      <c r="E1762" s="2" t="s">
        <v>4099</v>
      </c>
      <c r="F1762" s="2">
        <v>400</v>
      </c>
      <c r="G1762" s="2" t="s">
        <v>3842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3843</v>
      </c>
      <c r="N1762" s="4"/>
      <c r="O1762" s="5"/>
      <c r="P1762" s="4"/>
      <c r="Q1762" s="21" t="str">
        <f>VLOOKUP(tblProductos[[#This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4098</v>
      </c>
      <c r="D1763" s="2" t="s">
        <v>4021</v>
      </c>
      <c r="E1763" s="2" t="s">
        <v>4099</v>
      </c>
      <c r="F1763" s="2">
        <v>400</v>
      </c>
      <c r="G1763" s="2" t="s">
        <v>3842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3843</v>
      </c>
      <c r="N1763" s="4"/>
      <c r="O1763" s="5"/>
      <c r="P1763" s="4"/>
      <c r="Q1763" s="21" t="str">
        <f>VLOOKUP(tblProductos[[#This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4098</v>
      </c>
      <c r="D1764" s="2" t="s">
        <v>4015</v>
      </c>
      <c r="E1764" s="2" t="s">
        <v>4099</v>
      </c>
      <c r="F1764" s="2">
        <v>400</v>
      </c>
      <c r="G1764" s="2" t="s">
        <v>3842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3843</v>
      </c>
      <c r="N1764" s="4"/>
      <c r="O1764" s="5"/>
      <c r="P1764" s="4"/>
      <c r="Q1764" s="21" t="str">
        <f>VLOOKUP(tblProductos[[#This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4098</v>
      </c>
      <c r="D1765" s="2" t="s">
        <v>4054</v>
      </c>
      <c r="E1765" s="2" t="s">
        <v>4099</v>
      </c>
      <c r="F1765" s="2">
        <v>400</v>
      </c>
      <c r="G1765" s="2" t="s">
        <v>3842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3843</v>
      </c>
      <c r="N1765" s="4"/>
      <c r="O1765" s="5"/>
      <c r="P1765" s="4"/>
      <c r="Q1765" s="21" t="str">
        <f>VLOOKUP(tblProductos[[#This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4098</v>
      </c>
      <c r="D1766" s="2" t="s">
        <v>4118</v>
      </c>
      <c r="E1766" s="2" t="s">
        <v>4099</v>
      </c>
      <c r="F1766" s="2">
        <v>400</v>
      </c>
      <c r="G1766" s="2" t="s">
        <v>3842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3843</v>
      </c>
      <c r="N1766" s="4"/>
      <c r="O1766" s="5"/>
      <c r="P1766" s="4"/>
      <c r="Q1766" s="21" t="str">
        <f>VLOOKUP(tblProductos[[#This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4098</v>
      </c>
      <c r="D1767" s="2" t="s">
        <v>4022</v>
      </c>
      <c r="E1767" s="2" t="s">
        <v>4099</v>
      </c>
      <c r="F1767" s="2">
        <v>400</v>
      </c>
      <c r="G1767" s="2" t="s">
        <v>3842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3843</v>
      </c>
      <c r="N1767" s="4"/>
      <c r="O1767" s="5"/>
      <c r="P1767" s="4"/>
      <c r="Q1767" s="21" t="str">
        <f>VLOOKUP(tblProductos[[#This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4098</v>
      </c>
      <c r="D1768" s="2" t="s">
        <v>3919</v>
      </c>
      <c r="E1768" s="2" t="s">
        <v>4099</v>
      </c>
      <c r="F1768" s="2">
        <v>400</v>
      </c>
      <c r="G1768" s="2" t="s">
        <v>3842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3843</v>
      </c>
      <c r="N1768" s="4"/>
      <c r="O1768" s="5"/>
      <c r="P1768" s="4"/>
      <c r="Q1768" s="21" t="str">
        <f>VLOOKUP(tblProductos[[#This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4098</v>
      </c>
      <c r="D1769" s="2" t="s">
        <v>4023</v>
      </c>
      <c r="E1769" s="2" t="s">
        <v>4099</v>
      </c>
      <c r="F1769" s="2">
        <v>400</v>
      </c>
      <c r="G1769" s="2" t="s">
        <v>3842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3843</v>
      </c>
      <c r="N1769" s="4"/>
      <c r="O1769" s="5"/>
      <c r="P1769" s="4"/>
      <c r="Q1769" s="21" t="str">
        <f>VLOOKUP(tblProductos[[#This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4098</v>
      </c>
      <c r="D1770" s="2" t="s">
        <v>4029</v>
      </c>
      <c r="E1770" s="2" t="s">
        <v>4099</v>
      </c>
      <c r="F1770" s="2">
        <v>400</v>
      </c>
      <c r="G1770" s="2" t="s">
        <v>3842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3843</v>
      </c>
      <c r="N1770" s="4"/>
      <c r="O1770" s="5"/>
      <c r="P1770" s="4"/>
      <c r="Q1770" s="21" t="str">
        <f>VLOOKUP(tblProductos[[#This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4098</v>
      </c>
      <c r="D1771" s="2" t="s">
        <v>4024</v>
      </c>
      <c r="E1771" s="2" t="s">
        <v>4099</v>
      </c>
      <c r="F1771" s="2">
        <v>400</v>
      </c>
      <c r="G1771" s="2" t="s">
        <v>3842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3843</v>
      </c>
      <c r="N1771" s="4"/>
      <c r="O1771" s="5"/>
      <c r="P1771" s="4"/>
      <c r="Q1771" s="21" t="str">
        <f>VLOOKUP(tblProductos[[#This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4098</v>
      </c>
      <c r="D1772" s="2" t="s">
        <v>4034</v>
      </c>
      <c r="E1772" s="2" t="s">
        <v>4099</v>
      </c>
      <c r="F1772" s="2">
        <v>400</v>
      </c>
      <c r="G1772" s="2" t="s">
        <v>3842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3843</v>
      </c>
      <c r="N1772" s="4"/>
      <c r="O1772" s="5"/>
      <c r="P1772" s="4"/>
      <c r="Q1772" s="21" t="str">
        <f>VLOOKUP(tblProductos[[#This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4098</v>
      </c>
      <c r="D1773" s="2" t="s">
        <v>4035</v>
      </c>
      <c r="E1773" s="2" t="s">
        <v>4099</v>
      </c>
      <c r="F1773" s="2">
        <v>400</v>
      </c>
      <c r="G1773" s="2" t="s">
        <v>3842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3843</v>
      </c>
      <c r="N1773" s="4"/>
      <c r="O1773" s="5"/>
      <c r="P1773" s="4"/>
      <c r="Q1773" s="21" t="str">
        <f>VLOOKUP(tblProductos[[#This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3863</v>
      </c>
      <c r="D1774" s="2" t="s">
        <v>4010</v>
      </c>
      <c r="E1774" s="2" t="s">
        <v>3864</v>
      </c>
      <c r="F1774" s="2">
        <v>300</v>
      </c>
      <c r="G1774" s="2" t="s">
        <v>3842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3843</v>
      </c>
      <c r="N1774" s="4"/>
      <c r="O1774" s="5"/>
      <c r="P1774" s="4"/>
      <c r="Q1774" s="21" t="str">
        <f>VLOOKUP(tblProductos[[#This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3863</v>
      </c>
      <c r="D1775" s="2" t="s">
        <v>4125</v>
      </c>
      <c r="E1775" s="2" t="s">
        <v>3864</v>
      </c>
      <c r="F1775" s="2">
        <v>300</v>
      </c>
      <c r="G1775" s="2" t="s">
        <v>3842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3843</v>
      </c>
      <c r="N1775" s="4"/>
      <c r="O1775" s="5"/>
      <c r="P1775" s="4"/>
      <c r="Q1775" s="21" t="str">
        <f>VLOOKUP(tblProductos[[#This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3863</v>
      </c>
      <c r="D1776" s="2" t="s">
        <v>4056</v>
      </c>
      <c r="E1776" s="2" t="s">
        <v>3864</v>
      </c>
      <c r="F1776" s="2">
        <v>300</v>
      </c>
      <c r="G1776" s="2" t="s">
        <v>3842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3843</v>
      </c>
      <c r="N1776" s="4"/>
      <c r="O1776" s="5"/>
      <c r="P1776" s="4"/>
      <c r="Q1776" s="21" t="str">
        <f>VLOOKUP(tblProductos[[#This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3863</v>
      </c>
      <c r="D1777" s="2" t="s">
        <v>4006</v>
      </c>
      <c r="E1777" s="2" t="s">
        <v>3864</v>
      </c>
      <c r="F1777" s="2">
        <v>300</v>
      </c>
      <c r="G1777" s="2" t="s">
        <v>3842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3843</v>
      </c>
      <c r="N1777" s="4"/>
      <c r="O1777" s="5"/>
      <c r="P1777" s="4"/>
      <c r="Q1777" s="21" t="str">
        <f>VLOOKUP(tblProductos[[#This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3863</v>
      </c>
      <c r="D1778" s="2" t="s">
        <v>4143</v>
      </c>
      <c r="E1778" s="2" t="s">
        <v>3864</v>
      </c>
      <c r="F1778" s="2">
        <v>300</v>
      </c>
      <c r="G1778" s="2" t="s">
        <v>3842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3843</v>
      </c>
      <c r="N1778" s="4"/>
      <c r="O1778" s="5"/>
      <c r="P1778" s="4"/>
      <c r="Q1778" s="21" t="str">
        <f>VLOOKUP(tblProductos[[#This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3863</v>
      </c>
      <c r="D1779" s="2" t="s">
        <v>4031</v>
      </c>
      <c r="E1779" s="2" t="s">
        <v>3864</v>
      </c>
      <c r="F1779" s="2">
        <v>300</v>
      </c>
      <c r="G1779" s="2" t="s">
        <v>3842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3843</v>
      </c>
      <c r="N1779" s="4"/>
      <c r="O1779" s="5"/>
      <c r="P1779" s="4"/>
      <c r="Q1779" s="21" t="str">
        <f>VLOOKUP(tblProductos[[#This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3863</v>
      </c>
      <c r="D1780" s="2" t="s">
        <v>4030</v>
      </c>
      <c r="E1780" s="2" t="s">
        <v>3864</v>
      </c>
      <c r="F1780" s="2">
        <v>300</v>
      </c>
      <c r="G1780" s="2" t="s">
        <v>3842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3843</v>
      </c>
      <c r="N1780" s="4"/>
      <c r="O1780" s="5"/>
      <c r="P1780" s="4"/>
      <c r="Q1780" s="21" t="str">
        <f>VLOOKUP(tblProductos[[#This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3863</v>
      </c>
      <c r="D1781" s="2" t="s">
        <v>4013</v>
      </c>
      <c r="E1781" s="2" t="s">
        <v>3864</v>
      </c>
      <c r="F1781" s="2">
        <v>300</v>
      </c>
      <c r="G1781" s="2" t="s">
        <v>3842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3843</v>
      </c>
      <c r="N1781" s="4"/>
      <c r="O1781" s="5"/>
      <c r="P1781" s="4"/>
      <c r="Q1781" s="21" t="str">
        <f>VLOOKUP(tblProductos[[#This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3863</v>
      </c>
      <c r="D1782" s="2" t="s">
        <v>4032</v>
      </c>
      <c r="E1782" s="2" t="s">
        <v>3864</v>
      </c>
      <c r="F1782" s="2">
        <v>300</v>
      </c>
      <c r="G1782" s="2" t="s">
        <v>3842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3843</v>
      </c>
      <c r="N1782" s="4"/>
      <c r="O1782" s="5"/>
      <c r="P1782" s="4"/>
      <c r="Q1782" s="21" t="str">
        <f>VLOOKUP(tblProductos[[#This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3863</v>
      </c>
      <c r="D1783" s="2" t="s">
        <v>3888</v>
      </c>
      <c r="E1783" s="2" t="s">
        <v>3864</v>
      </c>
      <c r="F1783" s="2">
        <v>300</v>
      </c>
      <c r="G1783" s="2" t="s">
        <v>3842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3843</v>
      </c>
      <c r="N1783" s="4"/>
      <c r="O1783" s="5"/>
      <c r="P1783" s="4"/>
      <c r="Q1783" s="21" t="str">
        <f>VLOOKUP(tblProductos[[#This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3863</v>
      </c>
      <c r="D1784" s="2" t="s">
        <v>4033</v>
      </c>
      <c r="E1784" s="2" t="s">
        <v>3864</v>
      </c>
      <c r="F1784" s="2">
        <v>300</v>
      </c>
      <c r="G1784" s="2" t="s">
        <v>3842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3843</v>
      </c>
      <c r="N1784" s="4"/>
      <c r="O1784" s="5"/>
      <c r="P1784" s="4"/>
      <c r="Q1784" s="21" t="str">
        <f>VLOOKUP(tblProductos[[#This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3863</v>
      </c>
      <c r="D1785" s="2" t="s">
        <v>4144</v>
      </c>
      <c r="E1785" s="2" t="s">
        <v>3864</v>
      </c>
      <c r="F1785" s="2">
        <v>300</v>
      </c>
      <c r="G1785" s="2" t="s">
        <v>3842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3843</v>
      </c>
      <c r="N1785" s="4"/>
      <c r="O1785" s="5"/>
      <c r="P1785" s="4"/>
      <c r="Q1785" s="21" t="str">
        <f>VLOOKUP(tblProductos[[#This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3863</v>
      </c>
      <c r="D1786" s="2" t="s">
        <v>4014</v>
      </c>
      <c r="E1786" s="2" t="s">
        <v>3864</v>
      </c>
      <c r="F1786" s="2">
        <v>300</v>
      </c>
      <c r="G1786" s="2" t="s">
        <v>3842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3843</v>
      </c>
      <c r="N1786" s="4"/>
      <c r="O1786" s="5"/>
      <c r="P1786" s="4"/>
      <c r="Q1786" s="21" t="str">
        <f>VLOOKUP(tblProductos[[#This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3863</v>
      </c>
      <c r="D1787" s="2" t="s">
        <v>4016</v>
      </c>
      <c r="E1787" s="2" t="s">
        <v>3864</v>
      </c>
      <c r="F1787" s="2">
        <v>300</v>
      </c>
      <c r="G1787" s="2" t="s">
        <v>3842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3843</v>
      </c>
      <c r="N1787" s="4"/>
      <c r="O1787" s="5"/>
      <c r="P1787" s="4"/>
      <c r="Q1787" s="21" t="str">
        <f>VLOOKUP(tblProductos[[#This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3863</v>
      </c>
      <c r="D1788" s="2" t="s">
        <v>4145</v>
      </c>
      <c r="E1788" s="2" t="s">
        <v>3864</v>
      </c>
      <c r="F1788" s="2">
        <v>300</v>
      </c>
      <c r="G1788" s="2" t="s">
        <v>3842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3843</v>
      </c>
      <c r="N1788" s="4"/>
      <c r="O1788" s="5"/>
      <c r="P1788" s="4"/>
      <c r="Q1788" s="21" t="str">
        <f>VLOOKUP(tblProductos[[#This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3863</v>
      </c>
      <c r="D1789" s="2" t="s">
        <v>4015</v>
      </c>
      <c r="E1789" s="2" t="s">
        <v>3864</v>
      </c>
      <c r="F1789" s="2">
        <v>300</v>
      </c>
      <c r="G1789" s="2" t="s">
        <v>3842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3843</v>
      </c>
      <c r="N1789" s="4"/>
      <c r="O1789" s="5"/>
      <c r="P1789" s="4"/>
      <c r="Q1789" s="21" t="str">
        <f>VLOOKUP(tblProductos[[#This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3863</v>
      </c>
      <c r="D1790" s="2" t="s">
        <v>4054</v>
      </c>
      <c r="E1790" s="2" t="s">
        <v>3864</v>
      </c>
      <c r="F1790" s="2">
        <v>300</v>
      </c>
      <c r="G1790" s="2" t="s">
        <v>3842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3843</v>
      </c>
      <c r="N1790" s="4"/>
      <c r="O1790" s="5"/>
      <c r="P1790" s="4"/>
      <c r="Q1790" s="21" t="str">
        <f>VLOOKUP(tblProductos[[#This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3863</v>
      </c>
      <c r="D1791" s="2" t="s">
        <v>4118</v>
      </c>
      <c r="E1791" s="2" t="s">
        <v>3864</v>
      </c>
      <c r="F1791" s="2">
        <v>300</v>
      </c>
      <c r="G1791" s="2" t="s">
        <v>3842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3843</v>
      </c>
      <c r="N1791" s="4"/>
      <c r="O1791" s="5"/>
      <c r="P1791" s="4"/>
      <c r="Q1791" s="21" t="str">
        <f>VLOOKUP(tblProductos[[#This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3863</v>
      </c>
      <c r="D1792" s="2" t="s">
        <v>3919</v>
      </c>
      <c r="E1792" s="2" t="s">
        <v>3864</v>
      </c>
      <c r="F1792" s="2">
        <v>300</v>
      </c>
      <c r="G1792" s="2" t="s">
        <v>3842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3843</v>
      </c>
      <c r="N1792" s="4"/>
      <c r="O1792" s="5"/>
      <c r="P1792" s="4"/>
      <c r="Q1792" s="21" t="str">
        <f>VLOOKUP(tblProductos[[#This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3863</v>
      </c>
      <c r="D1793" s="2" t="s">
        <v>4029</v>
      </c>
      <c r="E1793" s="2" t="s">
        <v>3864</v>
      </c>
      <c r="F1793" s="2">
        <v>300</v>
      </c>
      <c r="G1793" s="2" t="s">
        <v>3842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3843</v>
      </c>
      <c r="N1793" s="4"/>
      <c r="O1793" s="5"/>
      <c r="P1793" s="4"/>
      <c r="Q1793" s="21" t="str">
        <f>VLOOKUP(tblProductos[[#This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3863</v>
      </c>
      <c r="D1794" s="2" t="s">
        <v>4034</v>
      </c>
      <c r="E1794" s="2" t="s">
        <v>3864</v>
      </c>
      <c r="F1794" s="2">
        <v>300</v>
      </c>
      <c r="G1794" s="2" t="s">
        <v>3842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3843</v>
      </c>
      <c r="N1794" s="4"/>
      <c r="O1794" s="5"/>
      <c r="P1794" s="4"/>
      <c r="Q1794" s="21" t="str">
        <f>VLOOKUP(tblProductos[[#This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3863</v>
      </c>
      <c r="D1795" s="2" t="s">
        <v>4035</v>
      </c>
      <c r="E1795" s="2" t="s">
        <v>3864</v>
      </c>
      <c r="F1795" s="2">
        <v>300</v>
      </c>
      <c r="G1795" s="2" t="s">
        <v>3842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3843</v>
      </c>
      <c r="N1795" s="4"/>
      <c r="O1795" s="5"/>
      <c r="P1795" s="4"/>
      <c r="Q1795" s="21" t="str">
        <f>VLOOKUP(tblProductos[[#This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3863</v>
      </c>
      <c r="D1796" s="2" t="s">
        <v>4010</v>
      </c>
      <c r="E1796" s="2" t="s">
        <v>3864</v>
      </c>
      <c r="F1796" s="2">
        <v>300</v>
      </c>
      <c r="G1796" s="2" t="s">
        <v>3842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3843</v>
      </c>
      <c r="N1796" s="4"/>
      <c r="O1796" s="5"/>
      <c r="P1796" s="4"/>
      <c r="Q1796" s="21" t="str">
        <f>VLOOKUP(tblProductos[[#This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3863</v>
      </c>
      <c r="D1797" s="2" t="s">
        <v>4125</v>
      </c>
      <c r="E1797" s="2" t="s">
        <v>3864</v>
      </c>
      <c r="F1797" s="2">
        <v>300</v>
      </c>
      <c r="G1797" s="2" t="s">
        <v>3842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3843</v>
      </c>
      <c r="N1797" s="4"/>
      <c r="O1797" s="5"/>
      <c r="P1797" s="4"/>
      <c r="Q1797" s="21" t="str">
        <f>VLOOKUP(tblProductos[[#This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3863</v>
      </c>
      <c r="D1798" s="2" t="s">
        <v>4056</v>
      </c>
      <c r="E1798" s="2" t="s">
        <v>3864</v>
      </c>
      <c r="F1798" s="2">
        <v>300</v>
      </c>
      <c r="G1798" s="2" t="s">
        <v>3842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3843</v>
      </c>
      <c r="N1798" s="4"/>
      <c r="O1798" s="5"/>
      <c r="P1798" s="4"/>
      <c r="Q1798" s="21" t="str">
        <f>VLOOKUP(tblProductos[[#This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3863</v>
      </c>
      <c r="D1799" s="2" t="s">
        <v>4006</v>
      </c>
      <c r="E1799" s="2" t="s">
        <v>3864</v>
      </c>
      <c r="F1799" s="2">
        <v>300</v>
      </c>
      <c r="G1799" s="2" t="s">
        <v>3842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3843</v>
      </c>
      <c r="N1799" s="4"/>
      <c r="O1799" s="5"/>
      <c r="P1799" s="4"/>
      <c r="Q1799" s="21" t="str">
        <f>VLOOKUP(tblProductos[[#This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3863</v>
      </c>
      <c r="D1800" s="2" t="s">
        <v>4143</v>
      </c>
      <c r="E1800" s="2" t="s">
        <v>3864</v>
      </c>
      <c r="F1800" s="2">
        <v>300</v>
      </c>
      <c r="G1800" s="2" t="s">
        <v>3842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3843</v>
      </c>
      <c r="N1800" s="4"/>
      <c r="O1800" s="5"/>
      <c r="P1800" s="4"/>
      <c r="Q1800" s="21" t="str">
        <f>VLOOKUP(tblProductos[[#This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3863</v>
      </c>
      <c r="D1801" s="2" t="s">
        <v>4031</v>
      </c>
      <c r="E1801" s="2" t="s">
        <v>3864</v>
      </c>
      <c r="F1801" s="2">
        <v>300</v>
      </c>
      <c r="G1801" s="2" t="s">
        <v>3842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3843</v>
      </c>
      <c r="N1801" s="4"/>
      <c r="O1801" s="5"/>
      <c r="P1801" s="4"/>
      <c r="Q1801" s="21" t="str">
        <f>VLOOKUP(tblProductos[[#This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3863</v>
      </c>
      <c r="D1802" s="2" t="s">
        <v>4030</v>
      </c>
      <c r="E1802" s="2" t="s">
        <v>3864</v>
      </c>
      <c r="F1802" s="2">
        <v>300</v>
      </c>
      <c r="G1802" s="2" t="s">
        <v>3842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3843</v>
      </c>
      <c r="N1802" s="4"/>
      <c r="O1802" s="5"/>
      <c r="P1802" s="4"/>
      <c r="Q1802" s="21" t="str">
        <f>VLOOKUP(tblProductos[[#This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3863</v>
      </c>
      <c r="D1803" s="2" t="s">
        <v>4013</v>
      </c>
      <c r="E1803" s="2" t="s">
        <v>3864</v>
      </c>
      <c r="F1803" s="2">
        <v>300</v>
      </c>
      <c r="G1803" s="2" t="s">
        <v>3842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3843</v>
      </c>
      <c r="N1803" s="4"/>
      <c r="O1803" s="5"/>
      <c r="P1803" s="4"/>
      <c r="Q1803" s="21" t="str">
        <f>VLOOKUP(tblProductos[[#This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3863</v>
      </c>
      <c r="D1804" s="2" t="s">
        <v>4032</v>
      </c>
      <c r="E1804" s="2" t="s">
        <v>3864</v>
      </c>
      <c r="F1804" s="2">
        <v>300</v>
      </c>
      <c r="G1804" s="2" t="s">
        <v>3842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3843</v>
      </c>
      <c r="N1804" s="4"/>
      <c r="O1804" s="5"/>
      <c r="P1804" s="4"/>
      <c r="Q1804" s="21" t="str">
        <f>VLOOKUP(tblProductos[[#This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3863</v>
      </c>
      <c r="D1805" s="2" t="s">
        <v>3888</v>
      </c>
      <c r="E1805" s="2" t="s">
        <v>3864</v>
      </c>
      <c r="F1805" s="2">
        <v>300</v>
      </c>
      <c r="G1805" s="2" t="s">
        <v>3842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3843</v>
      </c>
      <c r="N1805" s="4"/>
      <c r="O1805" s="5"/>
      <c r="P1805" s="4"/>
      <c r="Q1805" s="21" t="str">
        <f>VLOOKUP(tblProductos[[#This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3863</v>
      </c>
      <c r="D1806" s="2" t="s">
        <v>4033</v>
      </c>
      <c r="E1806" s="2" t="s">
        <v>3864</v>
      </c>
      <c r="F1806" s="2">
        <v>300</v>
      </c>
      <c r="G1806" s="2" t="s">
        <v>3842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3843</v>
      </c>
      <c r="N1806" s="4"/>
      <c r="O1806" s="5"/>
      <c r="P1806" s="4"/>
      <c r="Q1806" s="21" t="str">
        <f>VLOOKUP(tblProductos[[#This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3863</v>
      </c>
      <c r="D1807" s="2" t="s">
        <v>4144</v>
      </c>
      <c r="E1807" s="2" t="s">
        <v>3864</v>
      </c>
      <c r="F1807" s="2">
        <v>300</v>
      </c>
      <c r="G1807" s="2" t="s">
        <v>3842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3843</v>
      </c>
      <c r="N1807" s="4"/>
      <c r="O1807" s="5"/>
      <c r="P1807" s="4"/>
      <c r="Q1807" s="21" t="str">
        <f>VLOOKUP(tblProductos[[#This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3863</v>
      </c>
      <c r="D1808" s="2" t="s">
        <v>4014</v>
      </c>
      <c r="E1808" s="2" t="s">
        <v>3864</v>
      </c>
      <c r="F1808" s="2">
        <v>300</v>
      </c>
      <c r="G1808" s="2" t="s">
        <v>3842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3843</v>
      </c>
      <c r="N1808" s="4"/>
      <c r="O1808" s="5"/>
      <c r="P1808" s="4"/>
      <c r="Q1808" s="21" t="str">
        <f>VLOOKUP(tblProductos[[#This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3863</v>
      </c>
      <c r="D1809" s="2" t="s">
        <v>4016</v>
      </c>
      <c r="E1809" s="2" t="s">
        <v>3864</v>
      </c>
      <c r="F1809" s="2">
        <v>300</v>
      </c>
      <c r="G1809" s="2" t="s">
        <v>3842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3843</v>
      </c>
      <c r="N1809" s="4"/>
      <c r="O1809" s="5"/>
      <c r="P1809" s="4"/>
      <c r="Q1809" s="21" t="str">
        <f>VLOOKUP(tblProductos[[#This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3863</v>
      </c>
      <c r="D1810" s="2" t="s">
        <v>4145</v>
      </c>
      <c r="E1810" s="2" t="s">
        <v>3864</v>
      </c>
      <c r="F1810" s="2">
        <v>300</v>
      </c>
      <c r="G1810" s="2" t="s">
        <v>3842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3843</v>
      </c>
      <c r="N1810" s="4"/>
      <c r="O1810" s="5"/>
      <c r="P1810" s="4"/>
      <c r="Q1810" s="21" t="str">
        <f>VLOOKUP(tblProductos[[#This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3863</v>
      </c>
      <c r="D1811" s="2" t="s">
        <v>4015</v>
      </c>
      <c r="E1811" s="2" t="s">
        <v>3864</v>
      </c>
      <c r="F1811" s="2">
        <v>300</v>
      </c>
      <c r="G1811" s="2" t="s">
        <v>3842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3843</v>
      </c>
      <c r="N1811" s="4"/>
      <c r="O1811" s="5"/>
      <c r="P1811" s="4"/>
      <c r="Q1811" s="21" t="str">
        <f>VLOOKUP(tblProductos[[#This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3863</v>
      </c>
      <c r="D1812" s="2" t="s">
        <v>4054</v>
      </c>
      <c r="E1812" s="2" t="s">
        <v>3864</v>
      </c>
      <c r="F1812" s="2">
        <v>300</v>
      </c>
      <c r="G1812" s="2" t="s">
        <v>3842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3843</v>
      </c>
      <c r="N1812" s="4"/>
      <c r="O1812" s="5"/>
      <c r="P1812" s="4"/>
      <c r="Q1812" s="21" t="str">
        <f>VLOOKUP(tblProductos[[#This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3863</v>
      </c>
      <c r="D1813" s="2" t="s">
        <v>4118</v>
      </c>
      <c r="E1813" s="2" t="s">
        <v>3864</v>
      </c>
      <c r="F1813" s="2">
        <v>300</v>
      </c>
      <c r="G1813" s="2" t="s">
        <v>3842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3843</v>
      </c>
      <c r="N1813" s="4"/>
      <c r="O1813" s="5"/>
      <c r="P1813" s="4"/>
      <c r="Q1813" s="21" t="str">
        <f>VLOOKUP(tblProductos[[#This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3863</v>
      </c>
      <c r="D1814" s="2" t="s">
        <v>3919</v>
      </c>
      <c r="E1814" s="2" t="s">
        <v>3864</v>
      </c>
      <c r="F1814" s="2">
        <v>300</v>
      </c>
      <c r="G1814" s="2" t="s">
        <v>3842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3843</v>
      </c>
      <c r="N1814" s="4"/>
      <c r="O1814" s="5"/>
      <c r="P1814" s="4"/>
      <c r="Q1814" s="21" t="str">
        <f>VLOOKUP(tblProductos[[#This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3863</v>
      </c>
      <c r="D1815" s="2" t="s">
        <v>4029</v>
      </c>
      <c r="E1815" s="2" t="s">
        <v>3864</v>
      </c>
      <c r="F1815" s="2">
        <v>300</v>
      </c>
      <c r="G1815" s="2" t="s">
        <v>3842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3843</v>
      </c>
      <c r="N1815" s="4"/>
      <c r="O1815" s="5"/>
      <c r="P1815" s="4"/>
      <c r="Q1815" s="21" t="str">
        <f>VLOOKUP(tblProductos[[#This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3863</v>
      </c>
      <c r="D1816" s="2" t="s">
        <v>4034</v>
      </c>
      <c r="E1816" s="2" t="s">
        <v>3864</v>
      </c>
      <c r="F1816" s="2">
        <v>300</v>
      </c>
      <c r="G1816" s="2" t="s">
        <v>3842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3843</v>
      </c>
      <c r="N1816" s="4"/>
      <c r="O1816" s="5"/>
      <c r="P1816" s="4"/>
      <c r="Q1816" s="21" t="str">
        <f>VLOOKUP(tblProductos[[#This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3863</v>
      </c>
      <c r="D1817" s="2" t="s">
        <v>4035</v>
      </c>
      <c r="E1817" s="2" t="s">
        <v>3864</v>
      </c>
      <c r="F1817" s="2">
        <v>300</v>
      </c>
      <c r="G1817" s="2" t="s">
        <v>3842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3843</v>
      </c>
      <c r="N1817" s="4"/>
      <c r="O1817" s="5"/>
      <c r="P1817" s="4"/>
      <c r="Q1817" s="21" t="str">
        <f>VLOOKUP(tblProductos[[#This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3851</v>
      </c>
      <c r="D1818" s="2" t="s">
        <v>4010</v>
      </c>
      <c r="E1818" s="2" t="s">
        <v>3852</v>
      </c>
      <c r="F1818" s="2">
        <v>200</v>
      </c>
      <c r="G1818" s="2" t="s">
        <v>3842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3843</v>
      </c>
      <c r="N1818" s="4"/>
      <c r="O1818" s="5"/>
      <c r="P1818" s="4"/>
      <c r="Q1818" s="21" t="str">
        <f>VLOOKUP(tblProductos[[#This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3851</v>
      </c>
      <c r="D1819" s="2" t="s">
        <v>4125</v>
      </c>
      <c r="E1819" s="2" t="s">
        <v>3852</v>
      </c>
      <c r="F1819" s="2">
        <v>200</v>
      </c>
      <c r="G1819" s="2" t="s">
        <v>3842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3843</v>
      </c>
      <c r="N1819" s="4"/>
      <c r="O1819" s="5"/>
      <c r="P1819" s="4"/>
      <c r="Q1819" s="21" t="str">
        <f>VLOOKUP(tblProductos[[#This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3851</v>
      </c>
      <c r="D1820" s="2" t="s">
        <v>4056</v>
      </c>
      <c r="E1820" s="2" t="s">
        <v>3852</v>
      </c>
      <c r="F1820" s="2">
        <v>200</v>
      </c>
      <c r="G1820" s="2" t="s">
        <v>3842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3843</v>
      </c>
      <c r="N1820" s="4"/>
      <c r="O1820" s="5"/>
      <c r="P1820" s="4"/>
      <c r="Q1820" s="21" t="str">
        <f>VLOOKUP(tblProductos[[#This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3851</v>
      </c>
      <c r="D1821" s="2" t="s">
        <v>4006</v>
      </c>
      <c r="E1821" s="2" t="s">
        <v>3852</v>
      </c>
      <c r="F1821" s="2">
        <v>200</v>
      </c>
      <c r="G1821" s="2" t="s">
        <v>3842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3843</v>
      </c>
      <c r="N1821" s="4"/>
      <c r="O1821" s="5"/>
      <c r="P1821" s="4"/>
      <c r="Q1821" s="21" t="str">
        <f>VLOOKUP(tblProductos[[#This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3851</v>
      </c>
      <c r="D1822" s="2" t="s">
        <v>4143</v>
      </c>
      <c r="E1822" s="2" t="s">
        <v>3852</v>
      </c>
      <c r="F1822" s="2">
        <v>200</v>
      </c>
      <c r="G1822" s="2" t="s">
        <v>3842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3843</v>
      </c>
      <c r="N1822" s="4"/>
      <c r="O1822" s="5"/>
      <c r="P1822" s="4"/>
      <c r="Q1822" s="21" t="str">
        <f>VLOOKUP(tblProductos[[#This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3851</v>
      </c>
      <c r="D1823" s="2" t="s">
        <v>4031</v>
      </c>
      <c r="E1823" s="2" t="s">
        <v>3852</v>
      </c>
      <c r="F1823" s="2">
        <v>200</v>
      </c>
      <c r="G1823" s="2" t="s">
        <v>3842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3843</v>
      </c>
      <c r="N1823" s="4"/>
      <c r="O1823" s="5"/>
      <c r="P1823" s="4"/>
      <c r="Q1823" s="21" t="str">
        <f>VLOOKUP(tblProductos[[#This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3851</v>
      </c>
      <c r="D1824" s="2" t="s">
        <v>4030</v>
      </c>
      <c r="E1824" s="2" t="s">
        <v>3852</v>
      </c>
      <c r="F1824" s="2">
        <v>200</v>
      </c>
      <c r="G1824" s="2" t="s">
        <v>3842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3843</v>
      </c>
      <c r="N1824" s="4"/>
      <c r="O1824" s="5"/>
      <c r="P1824" s="4"/>
      <c r="Q1824" s="21" t="str">
        <f>VLOOKUP(tblProductos[[#This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3851</v>
      </c>
      <c r="D1825" s="2" t="s">
        <v>4013</v>
      </c>
      <c r="E1825" s="2" t="s">
        <v>3852</v>
      </c>
      <c r="F1825" s="2">
        <v>200</v>
      </c>
      <c r="G1825" s="2" t="s">
        <v>3842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3843</v>
      </c>
      <c r="N1825" s="4"/>
      <c r="O1825" s="5"/>
      <c r="P1825" s="4"/>
      <c r="Q1825" s="21" t="str">
        <f>VLOOKUP(tblProductos[[#This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3851</v>
      </c>
      <c r="D1826" s="2" t="s">
        <v>4032</v>
      </c>
      <c r="E1826" s="2" t="s">
        <v>3852</v>
      </c>
      <c r="F1826" s="2">
        <v>200</v>
      </c>
      <c r="G1826" s="2" t="s">
        <v>3842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3843</v>
      </c>
      <c r="N1826" s="4"/>
      <c r="O1826" s="5"/>
      <c r="P1826" s="4"/>
      <c r="Q1826" s="21" t="str">
        <f>VLOOKUP(tblProductos[[#This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3851</v>
      </c>
      <c r="D1827" s="2" t="s">
        <v>3888</v>
      </c>
      <c r="E1827" s="2" t="s">
        <v>3852</v>
      </c>
      <c r="F1827" s="2">
        <v>200</v>
      </c>
      <c r="G1827" s="2" t="s">
        <v>3842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3843</v>
      </c>
      <c r="N1827" s="4"/>
      <c r="O1827" s="5"/>
      <c r="P1827" s="4"/>
      <c r="Q1827" s="21" t="str">
        <f>VLOOKUP(tblProductos[[#This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3851</v>
      </c>
      <c r="D1828" s="2" t="s">
        <v>4033</v>
      </c>
      <c r="E1828" s="2" t="s">
        <v>3852</v>
      </c>
      <c r="F1828" s="2">
        <v>200</v>
      </c>
      <c r="G1828" s="2" t="s">
        <v>3842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3843</v>
      </c>
      <c r="N1828" s="4"/>
      <c r="O1828" s="5"/>
      <c r="P1828" s="4"/>
      <c r="Q1828" s="21" t="str">
        <f>VLOOKUP(tblProductos[[#This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3851</v>
      </c>
      <c r="D1829" s="2" t="s">
        <v>4144</v>
      </c>
      <c r="E1829" s="2" t="s">
        <v>3852</v>
      </c>
      <c r="F1829" s="2">
        <v>200</v>
      </c>
      <c r="G1829" s="2" t="s">
        <v>3842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3843</v>
      </c>
      <c r="N1829" s="4"/>
      <c r="O1829" s="5"/>
      <c r="P1829" s="4"/>
      <c r="Q1829" s="21" t="str">
        <f>VLOOKUP(tblProductos[[#This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3851</v>
      </c>
      <c r="D1830" s="2" t="s">
        <v>4014</v>
      </c>
      <c r="E1830" s="2" t="s">
        <v>3852</v>
      </c>
      <c r="F1830" s="2">
        <v>200</v>
      </c>
      <c r="G1830" s="2" t="s">
        <v>3842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3843</v>
      </c>
      <c r="N1830" s="4"/>
      <c r="O1830" s="5"/>
      <c r="P1830" s="4"/>
      <c r="Q1830" s="21" t="str">
        <f>VLOOKUP(tblProductos[[#This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3851</v>
      </c>
      <c r="D1831" s="2" t="s">
        <v>4016</v>
      </c>
      <c r="E1831" s="2" t="s">
        <v>3852</v>
      </c>
      <c r="F1831" s="2">
        <v>200</v>
      </c>
      <c r="G1831" s="2" t="s">
        <v>3842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3843</v>
      </c>
      <c r="N1831" s="4"/>
      <c r="O1831" s="5"/>
      <c r="P1831" s="4"/>
      <c r="Q1831" s="21" t="str">
        <f>VLOOKUP(tblProductos[[#This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3851</v>
      </c>
      <c r="D1832" s="2" t="s">
        <v>4145</v>
      </c>
      <c r="E1832" s="2" t="s">
        <v>3852</v>
      </c>
      <c r="F1832" s="2">
        <v>200</v>
      </c>
      <c r="G1832" s="2" t="s">
        <v>3842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3843</v>
      </c>
      <c r="N1832" s="4"/>
      <c r="O1832" s="5"/>
      <c r="P1832" s="4"/>
      <c r="Q1832" s="21" t="str">
        <f>VLOOKUP(tblProductos[[#This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3851</v>
      </c>
      <c r="D1833" s="2" t="s">
        <v>4015</v>
      </c>
      <c r="E1833" s="2" t="s">
        <v>3852</v>
      </c>
      <c r="F1833" s="2">
        <v>200</v>
      </c>
      <c r="G1833" s="2" t="s">
        <v>3842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3843</v>
      </c>
      <c r="N1833" s="4"/>
      <c r="O1833" s="5"/>
      <c r="P1833" s="4"/>
      <c r="Q1833" s="21" t="str">
        <f>VLOOKUP(tblProductos[[#This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3851</v>
      </c>
      <c r="D1834" s="2" t="s">
        <v>4054</v>
      </c>
      <c r="E1834" s="2" t="s">
        <v>3852</v>
      </c>
      <c r="F1834" s="2">
        <v>200</v>
      </c>
      <c r="G1834" s="2" t="s">
        <v>3842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3843</v>
      </c>
      <c r="N1834" s="4"/>
      <c r="O1834" s="5"/>
      <c r="P1834" s="4"/>
      <c r="Q1834" s="21" t="str">
        <f>VLOOKUP(tblProductos[[#This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3851</v>
      </c>
      <c r="D1835" s="2" t="s">
        <v>4118</v>
      </c>
      <c r="E1835" s="2" t="s">
        <v>3852</v>
      </c>
      <c r="F1835" s="2">
        <v>200</v>
      </c>
      <c r="G1835" s="2" t="s">
        <v>3842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3843</v>
      </c>
      <c r="N1835" s="4"/>
      <c r="O1835" s="5"/>
      <c r="P1835" s="4"/>
      <c r="Q1835" s="21" t="str">
        <f>VLOOKUP(tblProductos[[#This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3851</v>
      </c>
      <c r="D1836" s="2" t="s">
        <v>3919</v>
      </c>
      <c r="E1836" s="2" t="s">
        <v>3852</v>
      </c>
      <c r="F1836" s="2">
        <v>200</v>
      </c>
      <c r="G1836" s="2" t="s">
        <v>3842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3843</v>
      </c>
      <c r="N1836" s="4"/>
      <c r="O1836" s="5"/>
      <c r="P1836" s="4"/>
      <c r="Q1836" s="21" t="str">
        <f>VLOOKUP(tblProductos[[#This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3851</v>
      </c>
      <c r="D1837" s="2" t="s">
        <v>4029</v>
      </c>
      <c r="E1837" s="2" t="s">
        <v>3852</v>
      </c>
      <c r="F1837" s="2">
        <v>200</v>
      </c>
      <c r="G1837" s="2" t="s">
        <v>3842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3843</v>
      </c>
      <c r="N1837" s="4"/>
      <c r="O1837" s="5"/>
      <c r="P1837" s="4"/>
      <c r="Q1837" s="21" t="str">
        <f>VLOOKUP(tblProductos[[#This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3851</v>
      </c>
      <c r="D1838" s="2" t="s">
        <v>4034</v>
      </c>
      <c r="E1838" s="2" t="s">
        <v>3852</v>
      </c>
      <c r="F1838" s="2">
        <v>200</v>
      </c>
      <c r="G1838" s="2" t="s">
        <v>3842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3843</v>
      </c>
      <c r="N1838" s="4"/>
      <c r="O1838" s="5"/>
      <c r="P1838" s="4"/>
      <c r="Q1838" s="21" t="str">
        <f>VLOOKUP(tblProductos[[#This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3851</v>
      </c>
      <c r="D1839" s="2" t="s">
        <v>4035</v>
      </c>
      <c r="E1839" s="2" t="s">
        <v>3852</v>
      </c>
      <c r="F1839" s="2">
        <v>200</v>
      </c>
      <c r="G1839" s="2" t="s">
        <v>3842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3843</v>
      </c>
      <c r="N1839" s="4"/>
      <c r="O1839" s="5"/>
      <c r="P1839" s="4"/>
      <c r="Q1839" s="21" t="str">
        <f>VLOOKUP(tblProductos[[#This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3851</v>
      </c>
      <c r="D1840" s="2" t="s">
        <v>4010</v>
      </c>
      <c r="E1840" s="2" t="s">
        <v>3848</v>
      </c>
      <c r="F1840" s="2">
        <v>200</v>
      </c>
      <c r="G1840" s="2" t="s">
        <v>3842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3843</v>
      </c>
      <c r="N1840" s="4"/>
      <c r="O1840" s="5"/>
      <c r="P1840" s="4"/>
      <c r="Q1840" s="21" t="str">
        <f>VLOOKUP(tblProductos[[#This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3851</v>
      </c>
      <c r="D1841" s="2" t="s">
        <v>4125</v>
      </c>
      <c r="E1841" s="2" t="s">
        <v>3848</v>
      </c>
      <c r="F1841" s="2">
        <v>200</v>
      </c>
      <c r="G1841" s="2" t="s">
        <v>3842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3843</v>
      </c>
      <c r="N1841" s="4"/>
      <c r="O1841" s="5"/>
      <c r="P1841" s="4"/>
      <c r="Q1841" s="21" t="str">
        <f>VLOOKUP(tblProductos[[#This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3851</v>
      </c>
      <c r="D1842" s="2" t="s">
        <v>4056</v>
      </c>
      <c r="E1842" s="2" t="s">
        <v>3848</v>
      </c>
      <c r="F1842" s="2">
        <v>200</v>
      </c>
      <c r="G1842" s="2" t="s">
        <v>3842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3843</v>
      </c>
      <c r="N1842" s="4"/>
      <c r="O1842" s="5"/>
      <c r="P1842" s="4"/>
      <c r="Q1842" s="21" t="str">
        <f>VLOOKUP(tblProductos[[#This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3851</v>
      </c>
      <c r="D1843" s="2" t="s">
        <v>4006</v>
      </c>
      <c r="E1843" s="2" t="s">
        <v>3848</v>
      </c>
      <c r="F1843" s="2">
        <v>200</v>
      </c>
      <c r="G1843" s="2" t="s">
        <v>3842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3843</v>
      </c>
      <c r="N1843" s="4"/>
      <c r="O1843" s="5"/>
      <c r="P1843" s="4"/>
      <c r="Q1843" s="21" t="str">
        <f>VLOOKUP(tblProductos[[#This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3851</v>
      </c>
      <c r="D1844" s="2" t="s">
        <v>4143</v>
      </c>
      <c r="E1844" s="2" t="s">
        <v>3848</v>
      </c>
      <c r="F1844" s="2">
        <v>200</v>
      </c>
      <c r="G1844" s="2" t="s">
        <v>3842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3843</v>
      </c>
      <c r="N1844" s="4"/>
      <c r="O1844" s="5"/>
      <c r="P1844" s="4"/>
      <c r="Q1844" s="21" t="str">
        <f>VLOOKUP(tblProductos[[#This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3851</v>
      </c>
      <c r="D1845" s="2" t="s">
        <v>4031</v>
      </c>
      <c r="E1845" s="2" t="s">
        <v>3848</v>
      </c>
      <c r="F1845" s="2">
        <v>200</v>
      </c>
      <c r="G1845" s="2" t="s">
        <v>3842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3843</v>
      </c>
      <c r="N1845" s="4"/>
      <c r="O1845" s="5"/>
      <c r="P1845" s="4"/>
      <c r="Q1845" s="21" t="str">
        <f>VLOOKUP(tblProductos[[#This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3851</v>
      </c>
      <c r="D1846" s="2" t="s">
        <v>4030</v>
      </c>
      <c r="E1846" s="2" t="s">
        <v>3848</v>
      </c>
      <c r="F1846" s="2">
        <v>200</v>
      </c>
      <c r="G1846" s="2" t="s">
        <v>3842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3843</v>
      </c>
      <c r="N1846" s="4"/>
      <c r="O1846" s="5"/>
      <c r="P1846" s="4"/>
      <c r="Q1846" s="21" t="str">
        <f>VLOOKUP(tblProductos[[#This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3851</v>
      </c>
      <c r="D1847" s="2" t="s">
        <v>4013</v>
      </c>
      <c r="E1847" s="2" t="s">
        <v>3848</v>
      </c>
      <c r="F1847" s="2">
        <v>200</v>
      </c>
      <c r="G1847" s="2" t="s">
        <v>3842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3843</v>
      </c>
      <c r="N1847" s="4"/>
      <c r="O1847" s="5"/>
      <c r="P1847" s="4"/>
      <c r="Q1847" s="21" t="str">
        <f>VLOOKUP(tblProductos[[#This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3851</v>
      </c>
      <c r="D1848" s="2" t="s">
        <v>4032</v>
      </c>
      <c r="E1848" s="2" t="s">
        <v>3848</v>
      </c>
      <c r="F1848" s="2">
        <v>200</v>
      </c>
      <c r="G1848" s="2" t="s">
        <v>3842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3843</v>
      </c>
      <c r="N1848" s="4"/>
      <c r="O1848" s="5"/>
      <c r="P1848" s="4"/>
      <c r="Q1848" s="21" t="str">
        <f>VLOOKUP(tblProductos[[#This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3851</v>
      </c>
      <c r="D1849" s="2" t="s">
        <v>3888</v>
      </c>
      <c r="E1849" s="2" t="s">
        <v>3848</v>
      </c>
      <c r="F1849" s="2">
        <v>200</v>
      </c>
      <c r="G1849" s="2" t="s">
        <v>3842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3843</v>
      </c>
      <c r="N1849" s="4"/>
      <c r="O1849" s="5"/>
      <c r="P1849" s="4"/>
      <c r="Q1849" s="21" t="str">
        <f>VLOOKUP(tblProductos[[#This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3851</v>
      </c>
      <c r="D1850" s="2" t="s">
        <v>4033</v>
      </c>
      <c r="E1850" s="2" t="s">
        <v>3848</v>
      </c>
      <c r="F1850" s="2">
        <v>200</v>
      </c>
      <c r="G1850" s="2" t="s">
        <v>3842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3843</v>
      </c>
      <c r="N1850" s="4"/>
      <c r="O1850" s="5"/>
      <c r="P1850" s="4"/>
      <c r="Q1850" s="21" t="str">
        <f>VLOOKUP(tblProductos[[#This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3851</v>
      </c>
      <c r="D1851" s="2" t="s">
        <v>4144</v>
      </c>
      <c r="E1851" s="2" t="s">
        <v>3848</v>
      </c>
      <c r="F1851" s="2">
        <v>200</v>
      </c>
      <c r="G1851" s="2" t="s">
        <v>3842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3843</v>
      </c>
      <c r="N1851" s="4"/>
      <c r="O1851" s="5"/>
      <c r="P1851" s="4"/>
      <c r="Q1851" s="21" t="str">
        <f>VLOOKUP(tblProductos[[#This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3851</v>
      </c>
      <c r="D1852" s="2" t="s">
        <v>4014</v>
      </c>
      <c r="E1852" s="2" t="s">
        <v>3848</v>
      </c>
      <c r="F1852" s="2">
        <v>200</v>
      </c>
      <c r="G1852" s="2" t="s">
        <v>3842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3843</v>
      </c>
      <c r="N1852" s="4"/>
      <c r="O1852" s="5"/>
      <c r="P1852" s="4"/>
      <c r="Q1852" s="21" t="str">
        <f>VLOOKUP(tblProductos[[#This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3851</v>
      </c>
      <c r="D1853" s="2" t="s">
        <v>4016</v>
      </c>
      <c r="E1853" s="2" t="s">
        <v>3848</v>
      </c>
      <c r="F1853" s="2">
        <v>200</v>
      </c>
      <c r="G1853" s="2" t="s">
        <v>3842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3843</v>
      </c>
      <c r="N1853" s="4"/>
      <c r="O1853" s="5"/>
      <c r="P1853" s="4"/>
      <c r="Q1853" s="21" t="str">
        <f>VLOOKUP(tblProductos[[#This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3851</v>
      </c>
      <c r="D1854" s="2" t="s">
        <v>4145</v>
      </c>
      <c r="E1854" s="2" t="s">
        <v>3848</v>
      </c>
      <c r="F1854" s="2">
        <v>200</v>
      </c>
      <c r="G1854" s="2" t="s">
        <v>3842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3843</v>
      </c>
      <c r="N1854" s="4"/>
      <c r="O1854" s="5"/>
      <c r="P1854" s="4"/>
      <c r="Q1854" s="21" t="str">
        <f>VLOOKUP(tblProductos[[#This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3851</v>
      </c>
      <c r="D1855" s="2" t="s">
        <v>4015</v>
      </c>
      <c r="E1855" s="2" t="s">
        <v>3848</v>
      </c>
      <c r="F1855" s="2">
        <v>200</v>
      </c>
      <c r="G1855" s="2" t="s">
        <v>3842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3843</v>
      </c>
      <c r="N1855" s="4"/>
      <c r="O1855" s="5"/>
      <c r="P1855" s="4"/>
      <c r="Q1855" s="21" t="str">
        <f>VLOOKUP(tblProductos[[#This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3851</v>
      </c>
      <c r="D1856" s="2" t="s">
        <v>4054</v>
      </c>
      <c r="E1856" s="2" t="s">
        <v>3848</v>
      </c>
      <c r="F1856" s="2">
        <v>200</v>
      </c>
      <c r="G1856" s="2" t="s">
        <v>3842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3843</v>
      </c>
      <c r="N1856" s="4"/>
      <c r="O1856" s="5"/>
      <c r="P1856" s="4"/>
      <c r="Q1856" s="21" t="str">
        <f>VLOOKUP(tblProductos[[#This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3851</v>
      </c>
      <c r="D1857" s="2" t="s">
        <v>4118</v>
      </c>
      <c r="E1857" s="2" t="s">
        <v>3848</v>
      </c>
      <c r="F1857" s="2">
        <v>200</v>
      </c>
      <c r="G1857" s="2" t="s">
        <v>3842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3843</v>
      </c>
      <c r="N1857" s="4"/>
      <c r="O1857" s="5"/>
      <c r="P1857" s="4"/>
      <c r="Q1857" s="21" t="str">
        <f>VLOOKUP(tblProductos[[#This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3851</v>
      </c>
      <c r="D1858" s="2" t="s">
        <v>3919</v>
      </c>
      <c r="E1858" s="2" t="s">
        <v>3848</v>
      </c>
      <c r="F1858" s="2">
        <v>200</v>
      </c>
      <c r="G1858" s="2" t="s">
        <v>3842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3843</v>
      </c>
      <c r="N1858" s="4"/>
      <c r="O1858" s="5"/>
      <c r="P1858" s="4"/>
      <c r="Q1858" s="21" t="str">
        <f>VLOOKUP(tblProductos[[#This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3851</v>
      </c>
      <c r="D1859" s="2" t="s">
        <v>4029</v>
      </c>
      <c r="E1859" s="2" t="s">
        <v>3848</v>
      </c>
      <c r="F1859" s="2">
        <v>200</v>
      </c>
      <c r="G1859" s="2" t="s">
        <v>3842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3843</v>
      </c>
      <c r="N1859" s="4"/>
      <c r="O1859" s="5"/>
      <c r="P1859" s="4"/>
      <c r="Q1859" s="21" t="str">
        <f>VLOOKUP(tblProductos[[#This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3851</v>
      </c>
      <c r="D1860" s="2" t="s">
        <v>4034</v>
      </c>
      <c r="E1860" s="2" t="s">
        <v>3848</v>
      </c>
      <c r="F1860" s="2">
        <v>200</v>
      </c>
      <c r="G1860" s="2" t="s">
        <v>3842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3843</v>
      </c>
      <c r="N1860" s="4"/>
      <c r="O1860" s="5"/>
      <c r="P1860" s="4"/>
      <c r="Q1860" s="21" t="str">
        <f>VLOOKUP(tblProductos[[#This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3851</v>
      </c>
      <c r="D1861" s="2" t="s">
        <v>4035</v>
      </c>
      <c r="E1861" s="2" t="s">
        <v>3848</v>
      </c>
      <c r="F1861" s="2">
        <v>200</v>
      </c>
      <c r="G1861" s="2" t="s">
        <v>3842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3843</v>
      </c>
      <c r="N1861" s="4"/>
      <c r="O1861" s="5"/>
      <c r="P1861" s="4"/>
      <c r="Q1861" s="21" t="str">
        <f>VLOOKUP(tblProductos[[#This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3847</v>
      </c>
      <c r="D1862" s="2" t="s">
        <v>4010</v>
      </c>
      <c r="E1862" s="2" t="s">
        <v>3848</v>
      </c>
      <c r="F1862" s="2">
        <v>200</v>
      </c>
      <c r="G1862" s="2" t="s">
        <v>3842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3843</v>
      </c>
      <c r="N1862" s="4"/>
      <c r="O1862" s="5"/>
      <c r="P1862" s="4"/>
      <c r="Q1862" s="21" t="str">
        <f>VLOOKUP(tblProductos[[#This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3847</v>
      </c>
      <c r="D1863" s="2" t="s">
        <v>4125</v>
      </c>
      <c r="E1863" s="2" t="s">
        <v>3848</v>
      </c>
      <c r="F1863" s="2">
        <v>200</v>
      </c>
      <c r="G1863" s="2" t="s">
        <v>3842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3843</v>
      </c>
      <c r="N1863" s="4"/>
      <c r="O1863" s="5"/>
      <c r="P1863" s="4"/>
      <c r="Q1863" s="21" t="str">
        <f>VLOOKUP(tblProductos[[#This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3847</v>
      </c>
      <c r="D1864" s="2" t="s">
        <v>4056</v>
      </c>
      <c r="E1864" s="2" t="s">
        <v>3848</v>
      </c>
      <c r="F1864" s="2">
        <v>200</v>
      </c>
      <c r="G1864" s="2" t="s">
        <v>3842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3843</v>
      </c>
      <c r="N1864" s="4"/>
      <c r="O1864" s="5"/>
      <c r="P1864" s="4"/>
      <c r="Q1864" s="21" t="str">
        <f>VLOOKUP(tblProductos[[#This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3847</v>
      </c>
      <c r="D1865" s="2" t="s">
        <v>4006</v>
      </c>
      <c r="E1865" s="2" t="s">
        <v>3848</v>
      </c>
      <c r="F1865" s="2">
        <v>200</v>
      </c>
      <c r="G1865" s="2" t="s">
        <v>3842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3843</v>
      </c>
      <c r="N1865" s="4"/>
      <c r="O1865" s="5"/>
      <c r="P1865" s="4"/>
      <c r="Q1865" s="21" t="str">
        <f>VLOOKUP(tblProductos[[#This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3847</v>
      </c>
      <c r="D1866" s="2" t="s">
        <v>4143</v>
      </c>
      <c r="E1866" s="2" t="s">
        <v>3848</v>
      </c>
      <c r="F1866" s="2">
        <v>200</v>
      </c>
      <c r="G1866" s="2" t="s">
        <v>3842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3843</v>
      </c>
      <c r="N1866" s="4"/>
      <c r="O1866" s="5"/>
      <c r="P1866" s="4"/>
      <c r="Q1866" s="21" t="str">
        <f>VLOOKUP(tblProductos[[#This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3847</v>
      </c>
      <c r="D1867" s="2" t="s">
        <v>4031</v>
      </c>
      <c r="E1867" s="2" t="s">
        <v>3848</v>
      </c>
      <c r="F1867" s="2">
        <v>200</v>
      </c>
      <c r="G1867" s="2" t="s">
        <v>3842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3843</v>
      </c>
      <c r="N1867" s="4"/>
      <c r="O1867" s="5"/>
      <c r="P1867" s="4"/>
      <c r="Q1867" s="21" t="str">
        <f>VLOOKUP(tblProductos[[#This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3847</v>
      </c>
      <c r="D1868" s="2" t="s">
        <v>4030</v>
      </c>
      <c r="E1868" s="2" t="s">
        <v>3848</v>
      </c>
      <c r="F1868" s="2">
        <v>200</v>
      </c>
      <c r="G1868" s="2" t="s">
        <v>3842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3843</v>
      </c>
      <c r="N1868" s="4"/>
      <c r="O1868" s="5"/>
      <c r="P1868" s="4"/>
      <c r="Q1868" s="21" t="str">
        <f>VLOOKUP(tblProductos[[#This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3847</v>
      </c>
      <c r="D1869" s="2" t="s">
        <v>4013</v>
      </c>
      <c r="E1869" s="2" t="s">
        <v>3848</v>
      </c>
      <c r="F1869" s="2">
        <v>200</v>
      </c>
      <c r="G1869" s="2" t="s">
        <v>3842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3843</v>
      </c>
      <c r="N1869" s="4"/>
      <c r="O1869" s="5"/>
      <c r="P1869" s="4"/>
      <c r="Q1869" s="21" t="str">
        <f>VLOOKUP(tblProductos[[#This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3847</v>
      </c>
      <c r="D1870" s="2" t="s">
        <v>4032</v>
      </c>
      <c r="E1870" s="2" t="s">
        <v>3848</v>
      </c>
      <c r="F1870" s="2">
        <v>200</v>
      </c>
      <c r="G1870" s="2" t="s">
        <v>3842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3843</v>
      </c>
      <c r="N1870" s="4"/>
      <c r="O1870" s="5"/>
      <c r="P1870" s="4"/>
      <c r="Q1870" s="21" t="str">
        <f>VLOOKUP(tblProductos[[#This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3847</v>
      </c>
      <c r="D1871" s="2" t="s">
        <v>3888</v>
      </c>
      <c r="E1871" s="2" t="s">
        <v>3848</v>
      </c>
      <c r="F1871" s="2">
        <v>200</v>
      </c>
      <c r="G1871" s="2" t="s">
        <v>3842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3843</v>
      </c>
      <c r="N1871" s="4"/>
      <c r="O1871" s="5"/>
      <c r="P1871" s="4"/>
      <c r="Q1871" s="21" t="str">
        <f>VLOOKUP(tblProductos[[#This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3847</v>
      </c>
      <c r="D1872" s="2" t="s">
        <v>4033</v>
      </c>
      <c r="E1872" s="2" t="s">
        <v>3848</v>
      </c>
      <c r="F1872" s="2">
        <v>200</v>
      </c>
      <c r="G1872" s="2" t="s">
        <v>3842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3843</v>
      </c>
      <c r="N1872" s="4"/>
      <c r="O1872" s="5"/>
      <c r="P1872" s="4"/>
      <c r="Q1872" s="21" t="str">
        <f>VLOOKUP(tblProductos[[#This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3847</v>
      </c>
      <c r="D1873" s="2" t="s">
        <v>4144</v>
      </c>
      <c r="E1873" s="2" t="s">
        <v>3848</v>
      </c>
      <c r="F1873" s="2">
        <v>200</v>
      </c>
      <c r="G1873" s="2" t="s">
        <v>3842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3843</v>
      </c>
      <c r="N1873" s="4"/>
      <c r="O1873" s="5"/>
      <c r="P1873" s="4"/>
      <c r="Q1873" s="21" t="str">
        <f>VLOOKUP(tblProductos[[#This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3847</v>
      </c>
      <c r="D1874" s="2" t="s">
        <v>4014</v>
      </c>
      <c r="E1874" s="2" t="s">
        <v>3848</v>
      </c>
      <c r="F1874" s="2">
        <v>200</v>
      </c>
      <c r="G1874" s="2" t="s">
        <v>3842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3843</v>
      </c>
      <c r="N1874" s="4"/>
      <c r="O1874" s="5"/>
      <c r="P1874" s="4"/>
      <c r="Q1874" s="21" t="str">
        <f>VLOOKUP(tblProductos[[#This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3847</v>
      </c>
      <c r="D1875" s="2" t="s">
        <v>4016</v>
      </c>
      <c r="E1875" s="2" t="s">
        <v>3848</v>
      </c>
      <c r="F1875" s="2">
        <v>200</v>
      </c>
      <c r="G1875" s="2" t="s">
        <v>3842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3843</v>
      </c>
      <c r="N1875" s="4"/>
      <c r="O1875" s="5"/>
      <c r="P1875" s="4"/>
      <c r="Q1875" s="21" t="str">
        <f>VLOOKUP(tblProductos[[#This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3847</v>
      </c>
      <c r="D1876" s="2" t="s">
        <v>4145</v>
      </c>
      <c r="E1876" s="2" t="s">
        <v>3848</v>
      </c>
      <c r="F1876" s="2">
        <v>200</v>
      </c>
      <c r="G1876" s="2" t="s">
        <v>3842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3843</v>
      </c>
      <c r="N1876" s="4"/>
      <c r="O1876" s="5"/>
      <c r="P1876" s="4"/>
      <c r="Q1876" s="21" t="str">
        <f>VLOOKUP(tblProductos[[#This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3847</v>
      </c>
      <c r="D1877" s="2" t="s">
        <v>4015</v>
      </c>
      <c r="E1877" s="2" t="s">
        <v>3848</v>
      </c>
      <c r="F1877" s="2">
        <v>200</v>
      </c>
      <c r="G1877" s="2" t="s">
        <v>3842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3843</v>
      </c>
      <c r="N1877" s="4"/>
      <c r="O1877" s="5"/>
      <c r="P1877" s="4"/>
      <c r="Q1877" s="21" t="str">
        <f>VLOOKUP(tblProductos[[#This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3847</v>
      </c>
      <c r="D1878" s="2" t="s">
        <v>4054</v>
      </c>
      <c r="E1878" s="2" t="s">
        <v>3848</v>
      </c>
      <c r="F1878" s="2">
        <v>200</v>
      </c>
      <c r="G1878" s="2" t="s">
        <v>3842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3843</v>
      </c>
      <c r="N1878" s="4"/>
      <c r="O1878" s="5"/>
      <c r="P1878" s="4"/>
      <c r="Q1878" s="21" t="str">
        <f>VLOOKUP(tblProductos[[#This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3847</v>
      </c>
      <c r="D1879" s="2" t="s">
        <v>4118</v>
      </c>
      <c r="E1879" s="2" t="s">
        <v>3848</v>
      </c>
      <c r="F1879" s="2">
        <v>200</v>
      </c>
      <c r="G1879" s="2" t="s">
        <v>3842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3843</v>
      </c>
      <c r="N1879" s="4"/>
      <c r="O1879" s="5"/>
      <c r="P1879" s="4"/>
      <c r="Q1879" s="21" t="str">
        <f>VLOOKUP(tblProductos[[#This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3847</v>
      </c>
      <c r="D1880" s="2" t="s">
        <v>3919</v>
      </c>
      <c r="E1880" s="2" t="s">
        <v>3848</v>
      </c>
      <c r="F1880" s="2">
        <v>200</v>
      </c>
      <c r="G1880" s="2" t="s">
        <v>3842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3843</v>
      </c>
      <c r="N1880" s="4"/>
      <c r="O1880" s="5"/>
      <c r="P1880" s="4"/>
      <c r="Q1880" s="21" t="str">
        <f>VLOOKUP(tblProductos[[#This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3847</v>
      </c>
      <c r="D1881" s="2" t="s">
        <v>4029</v>
      </c>
      <c r="E1881" s="2" t="s">
        <v>3848</v>
      </c>
      <c r="F1881" s="2">
        <v>200</v>
      </c>
      <c r="G1881" s="2" t="s">
        <v>3842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3843</v>
      </c>
      <c r="N1881" s="4"/>
      <c r="O1881" s="5"/>
      <c r="P1881" s="4"/>
      <c r="Q1881" s="21" t="str">
        <f>VLOOKUP(tblProductos[[#This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3847</v>
      </c>
      <c r="D1882" s="2" t="s">
        <v>4034</v>
      </c>
      <c r="E1882" s="2" t="s">
        <v>3848</v>
      </c>
      <c r="F1882" s="2">
        <v>200</v>
      </c>
      <c r="G1882" s="2" t="s">
        <v>3842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3843</v>
      </c>
      <c r="N1882" s="4"/>
      <c r="O1882" s="5"/>
      <c r="P1882" s="4"/>
      <c r="Q1882" s="21" t="str">
        <f>VLOOKUP(tblProductos[[#This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3847</v>
      </c>
      <c r="D1883" s="2" t="s">
        <v>4035</v>
      </c>
      <c r="E1883" s="2" t="s">
        <v>3848</v>
      </c>
      <c r="F1883" s="2">
        <v>200</v>
      </c>
      <c r="G1883" s="2" t="s">
        <v>3842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3843</v>
      </c>
      <c r="N1883" s="4"/>
      <c r="O1883" s="5"/>
      <c r="P1883" s="4"/>
      <c r="Q1883" s="21" t="str">
        <f>VLOOKUP(tblProductos[[#This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3847</v>
      </c>
      <c r="D1884" s="2" t="s">
        <v>4010</v>
      </c>
      <c r="E1884" s="2" t="s">
        <v>3848</v>
      </c>
      <c r="F1884" s="2">
        <v>200</v>
      </c>
      <c r="G1884" s="2" t="s">
        <v>3842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3843</v>
      </c>
      <c r="N1884" s="4"/>
      <c r="O1884" s="5"/>
      <c r="P1884" s="4"/>
      <c r="Q1884" s="21" t="str">
        <f>VLOOKUP(tblProductos[[#This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3847</v>
      </c>
      <c r="D1885" s="2" t="s">
        <v>4125</v>
      </c>
      <c r="E1885" s="2" t="s">
        <v>3848</v>
      </c>
      <c r="F1885" s="2">
        <v>200</v>
      </c>
      <c r="G1885" s="2" t="s">
        <v>3842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3843</v>
      </c>
      <c r="N1885" s="4"/>
      <c r="O1885" s="5"/>
      <c r="P1885" s="4"/>
      <c r="Q1885" s="21" t="str">
        <f>VLOOKUP(tblProductos[[#This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3847</v>
      </c>
      <c r="D1886" s="2" t="s">
        <v>4056</v>
      </c>
      <c r="E1886" s="2" t="s">
        <v>3848</v>
      </c>
      <c r="F1886" s="2">
        <v>200</v>
      </c>
      <c r="G1886" s="2" t="s">
        <v>3842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3843</v>
      </c>
      <c r="N1886" s="4"/>
      <c r="O1886" s="5"/>
      <c r="P1886" s="4"/>
      <c r="Q1886" s="21" t="str">
        <f>VLOOKUP(tblProductos[[#This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3847</v>
      </c>
      <c r="D1887" s="2" t="s">
        <v>4006</v>
      </c>
      <c r="E1887" s="2" t="s">
        <v>3848</v>
      </c>
      <c r="F1887" s="2">
        <v>200</v>
      </c>
      <c r="G1887" s="2" t="s">
        <v>3842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3843</v>
      </c>
      <c r="N1887" s="4"/>
      <c r="O1887" s="5"/>
      <c r="P1887" s="4"/>
      <c r="Q1887" s="21" t="str">
        <f>VLOOKUP(tblProductos[[#This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3847</v>
      </c>
      <c r="D1888" s="2" t="s">
        <v>4143</v>
      </c>
      <c r="E1888" s="2" t="s">
        <v>3848</v>
      </c>
      <c r="F1888" s="2">
        <v>200</v>
      </c>
      <c r="G1888" s="2" t="s">
        <v>3842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3843</v>
      </c>
      <c r="N1888" s="4"/>
      <c r="O1888" s="5"/>
      <c r="P1888" s="4"/>
      <c r="Q1888" s="21" t="str">
        <f>VLOOKUP(tblProductos[[#This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3847</v>
      </c>
      <c r="D1889" s="2" t="s">
        <v>4031</v>
      </c>
      <c r="E1889" s="2" t="s">
        <v>3848</v>
      </c>
      <c r="F1889" s="2">
        <v>200</v>
      </c>
      <c r="G1889" s="2" t="s">
        <v>3842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3843</v>
      </c>
      <c r="N1889" s="4"/>
      <c r="O1889" s="5"/>
      <c r="P1889" s="4"/>
      <c r="Q1889" s="21" t="str">
        <f>VLOOKUP(tblProductos[[#This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3847</v>
      </c>
      <c r="D1890" s="2" t="s">
        <v>4030</v>
      </c>
      <c r="E1890" s="2" t="s">
        <v>3848</v>
      </c>
      <c r="F1890" s="2">
        <v>200</v>
      </c>
      <c r="G1890" s="2" t="s">
        <v>3842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3843</v>
      </c>
      <c r="N1890" s="4"/>
      <c r="O1890" s="5"/>
      <c r="P1890" s="4"/>
      <c r="Q1890" s="21" t="str">
        <f>VLOOKUP(tblProductos[[#This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3847</v>
      </c>
      <c r="D1891" s="2" t="s">
        <v>4013</v>
      </c>
      <c r="E1891" s="2" t="s">
        <v>3848</v>
      </c>
      <c r="F1891" s="2">
        <v>200</v>
      </c>
      <c r="G1891" s="2" t="s">
        <v>3842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3843</v>
      </c>
      <c r="N1891" s="4"/>
      <c r="O1891" s="5"/>
      <c r="P1891" s="4"/>
      <c r="Q1891" s="21" t="str">
        <f>VLOOKUP(tblProductos[[#This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3847</v>
      </c>
      <c r="D1892" s="2" t="s">
        <v>4032</v>
      </c>
      <c r="E1892" s="2" t="s">
        <v>3848</v>
      </c>
      <c r="F1892" s="2">
        <v>200</v>
      </c>
      <c r="G1892" s="2" t="s">
        <v>3842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3843</v>
      </c>
      <c r="N1892" s="4"/>
      <c r="O1892" s="5"/>
      <c r="P1892" s="4"/>
      <c r="Q1892" s="21" t="str">
        <f>VLOOKUP(tblProductos[[#This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3847</v>
      </c>
      <c r="D1893" s="2" t="s">
        <v>3888</v>
      </c>
      <c r="E1893" s="2" t="s">
        <v>3848</v>
      </c>
      <c r="F1893" s="2">
        <v>200</v>
      </c>
      <c r="G1893" s="2" t="s">
        <v>3842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3843</v>
      </c>
      <c r="N1893" s="4"/>
      <c r="O1893" s="5"/>
      <c r="P1893" s="4"/>
      <c r="Q1893" s="21" t="str">
        <f>VLOOKUP(tblProductos[[#This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3847</v>
      </c>
      <c r="D1894" s="2" t="s">
        <v>4033</v>
      </c>
      <c r="E1894" s="2" t="s">
        <v>3848</v>
      </c>
      <c r="F1894" s="2">
        <v>200</v>
      </c>
      <c r="G1894" s="2" t="s">
        <v>3842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3843</v>
      </c>
      <c r="N1894" s="4"/>
      <c r="O1894" s="5"/>
      <c r="P1894" s="4"/>
      <c r="Q1894" s="21" t="str">
        <f>VLOOKUP(tblProductos[[#This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3847</v>
      </c>
      <c r="D1895" s="2" t="s">
        <v>4144</v>
      </c>
      <c r="E1895" s="2" t="s">
        <v>3848</v>
      </c>
      <c r="F1895" s="2">
        <v>200</v>
      </c>
      <c r="G1895" s="2" t="s">
        <v>3842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3843</v>
      </c>
      <c r="N1895" s="4"/>
      <c r="O1895" s="5"/>
      <c r="P1895" s="4"/>
      <c r="Q1895" s="21" t="str">
        <f>VLOOKUP(tblProductos[[#This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3847</v>
      </c>
      <c r="D1896" s="2" t="s">
        <v>4014</v>
      </c>
      <c r="E1896" s="2" t="s">
        <v>3848</v>
      </c>
      <c r="F1896" s="2">
        <v>200</v>
      </c>
      <c r="G1896" s="2" t="s">
        <v>3842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3843</v>
      </c>
      <c r="N1896" s="4"/>
      <c r="O1896" s="5"/>
      <c r="P1896" s="4"/>
      <c r="Q1896" s="21" t="str">
        <f>VLOOKUP(tblProductos[[#This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3847</v>
      </c>
      <c r="D1897" s="2" t="s">
        <v>4016</v>
      </c>
      <c r="E1897" s="2" t="s">
        <v>3848</v>
      </c>
      <c r="F1897" s="2">
        <v>200</v>
      </c>
      <c r="G1897" s="2" t="s">
        <v>3842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3843</v>
      </c>
      <c r="N1897" s="4"/>
      <c r="O1897" s="5"/>
      <c r="P1897" s="4"/>
      <c r="Q1897" s="21" t="str">
        <f>VLOOKUP(tblProductos[[#This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3847</v>
      </c>
      <c r="D1898" s="2" t="s">
        <v>4145</v>
      </c>
      <c r="E1898" s="2" t="s">
        <v>3848</v>
      </c>
      <c r="F1898" s="2">
        <v>200</v>
      </c>
      <c r="G1898" s="2" t="s">
        <v>3842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3843</v>
      </c>
      <c r="N1898" s="4"/>
      <c r="O1898" s="5"/>
      <c r="P1898" s="4"/>
      <c r="Q1898" s="21" t="str">
        <f>VLOOKUP(tblProductos[[#This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3847</v>
      </c>
      <c r="D1899" s="2" t="s">
        <v>4015</v>
      </c>
      <c r="E1899" s="2" t="s">
        <v>3848</v>
      </c>
      <c r="F1899" s="2">
        <v>200</v>
      </c>
      <c r="G1899" s="2" t="s">
        <v>3842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3843</v>
      </c>
      <c r="N1899" s="4"/>
      <c r="O1899" s="5"/>
      <c r="P1899" s="4"/>
      <c r="Q1899" s="21" t="str">
        <f>VLOOKUP(tblProductos[[#This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3847</v>
      </c>
      <c r="D1900" s="2" t="s">
        <v>4054</v>
      </c>
      <c r="E1900" s="2" t="s">
        <v>3848</v>
      </c>
      <c r="F1900" s="2">
        <v>200</v>
      </c>
      <c r="G1900" s="2" t="s">
        <v>3842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3843</v>
      </c>
      <c r="N1900" s="4"/>
      <c r="O1900" s="5"/>
      <c r="P1900" s="4"/>
      <c r="Q1900" s="21" t="str">
        <f>VLOOKUP(tblProductos[[#This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3847</v>
      </c>
      <c r="D1901" s="2" t="s">
        <v>4118</v>
      </c>
      <c r="E1901" s="2" t="s">
        <v>3848</v>
      </c>
      <c r="F1901" s="2">
        <v>200</v>
      </c>
      <c r="G1901" s="2" t="s">
        <v>3842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3843</v>
      </c>
      <c r="N1901" s="4"/>
      <c r="O1901" s="5"/>
      <c r="P1901" s="4"/>
      <c r="Q1901" s="21" t="str">
        <f>VLOOKUP(tblProductos[[#This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3847</v>
      </c>
      <c r="D1902" s="2" t="s">
        <v>3919</v>
      </c>
      <c r="E1902" s="2" t="s">
        <v>3848</v>
      </c>
      <c r="F1902" s="2">
        <v>200</v>
      </c>
      <c r="G1902" s="2" t="s">
        <v>3842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3843</v>
      </c>
      <c r="N1902" s="4"/>
      <c r="O1902" s="5"/>
      <c r="P1902" s="4"/>
      <c r="Q1902" s="21" t="str">
        <f>VLOOKUP(tblProductos[[#This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3847</v>
      </c>
      <c r="D1903" s="2" t="s">
        <v>4029</v>
      </c>
      <c r="E1903" s="2" t="s">
        <v>3848</v>
      </c>
      <c r="F1903" s="2">
        <v>200</v>
      </c>
      <c r="G1903" s="2" t="s">
        <v>3842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3843</v>
      </c>
      <c r="N1903" s="4"/>
      <c r="O1903" s="5"/>
      <c r="P1903" s="4"/>
      <c r="Q1903" s="21" t="str">
        <f>VLOOKUP(tblProductos[[#This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3847</v>
      </c>
      <c r="D1904" s="2" t="s">
        <v>4034</v>
      </c>
      <c r="E1904" s="2" t="s">
        <v>3848</v>
      </c>
      <c r="F1904" s="2">
        <v>200</v>
      </c>
      <c r="G1904" s="2" t="s">
        <v>3842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3843</v>
      </c>
      <c r="N1904" s="4"/>
      <c r="O1904" s="5"/>
      <c r="P1904" s="4"/>
      <c r="Q1904" s="21" t="str">
        <f>VLOOKUP(tblProductos[[#This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3847</v>
      </c>
      <c r="D1905" s="2" t="s">
        <v>4035</v>
      </c>
      <c r="E1905" s="2" t="s">
        <v>3848</v>
      </c>
      <c r="F1905" s="2">
        <v>200</v>
      </c>
      <c r="G1905" s="2" t="s">
        <v>3842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3843</v>
      </c>
      <c r="N1905" s="4"/>
      <c r="O1905" s="5"/>
      <c r="P1905" s="4"/>
      <c r="Q1905" s="21" t="str">
        <f>VLOOKUP(tblProductos[[#This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3847</v>
      </c>
      <c r="D1906" s="2" t="s">
        <v>4010</v>
      </c>
      <c r="E1906" s="2" t="s">
        <v>3854</v>
      </c>
      <c r="F1906" s="2">
        <v>200</v>
      </c>
      <c r="G1906" s="2" t="s">
        <v>3842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3843</v>
      </c>
      <c r="N1906" s="4"/>
      <c r="O1906" s="5"/>
      <c r="P1906" s="4"/>
      <c r="Q1906" s="21" t="str">
        <f>VLOOKUP(tblProductos[[#This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3847</v>
      </c>
      <c r="D1907" s="2" t="s">
        <v>4125</v>
      </c>
      <c r="E1907" s="2" t="s">
        <v>3854</v>
      </c>
      <c r="F1907" s="2">
        <v>200</v>
      </c>
      <c r="G1907" s="2" t="s">
        <v>3842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3843</v>
      </c>
      <c r="N1907" s="4"/>
      <c r="O1907" s="5"/>
      <c r="P1907" s="4"/>
      <c r="Q1907" s="21" t="str">
        <f>VLOOKUP(tblProductos[[#This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3847</v>
      </c>
      <c r="D1908" s="2" t="s">
        <v>4056</v>
      </c>
      <c r="E1908" s="2" t="s">
        <v>3854</v>
      </c>
      <c r="F1908" s="2">
        <v>200</v>
      </c>
      <c r="G1908" s="2" t="s">
        <v>3842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3843</v>
      </c>
      <c r="N1908" s="4"/>
      <c r="O1908" s="5"/>
      <c r="P1908" s="4"/>
      <c r="Q1908" s="21" t="str">
        <f>VLOOKUP(tblProductos[[#This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3847</v>
      </c>
      <c r="D1909" s="2" t="s">
        <v>4006</v>
      </c>
      <c r="E1909" s="2" t="s">
        <v>3854</v>
      </c>
      <c r="F1909" s="2">
        <v>200</v>
      </c>
      <c r="G1909" s="2" t="s">
        <v>3842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3843</v>
      </c>
      <c r="N1909" s="4"/>
      <c r="O1909" s="5"/>
      <c r="P1909" s="4"/>
      <c r="Q1909" s="21" t="str">
        <f>VLOOKUP(tblProductos[[#This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3847</v>
      </c>
      <c r="D1910" s="2" t="s">
        <v>4143</v>
      </c>
      <c r="E1910" s="2" t="s">
        <v>3854</v>
      </c>
      <c r="F1910" s="2">
        <v>200</v>
      </c>
      <c r="G1910" s="2" t="s">
        <v>3842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3843</v>
      </c>
      <c r="N1910" s="4"/>
      <c r="O1910" s="5"/>
      <c r="P1910" s="4"/>
      <c r="Q1910" s="21" t="str">
        <f>VLOOKUP(tblProductos[[#This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3847</v>
      </c>
      <c r="D1911" s="2" t="s">
        <v>4031</v>
      </c>
      <c r="E1911" s="2" t="s">
        <v>3854</v>
      </c>
      <c r="F1911" s="2">
        <v>200</v>
      </c>
      <c r="G1911" s="2" t="s">
        <v>3842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3843</v>
      </c>
      <c r="N1911" s="4"/>
      <c r="O1911" s="5"/>
      <c r="P1911" s="4"/>
      <c r="Q1911" s="21" t="str">
        <f>VLOOKUP(tblProductos[[#This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3847</v>
      </c>
      <c r="D1912" s="2" t="s">
        <v>4030</v>
      </c>
      <c r="E1912" s="2" t="s">
        <v>3854</v>
      </c>
      <c r="F1912" s="2">
        <v>200</v>
      </c>
      <c r="G1912" s="2" t="s">
        <v>3842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3843</v>
      </c>
      <c r="N1912" s="4"/>
      <c r="O1912" s="5"/>
      <c r="P1912" s="4"/>
      <c r="Q1912" s="21" t="str">
        <f>VLOOKUP(tblProductos[[#This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3847</v>
      </c>
      <c r="D1913" s="2" t="s">
        <v>4013</v>
      </c>
      <c r="E1913" s="2" t="s">
        <v>3854</v>
      </c>
      <c r="F1913" s="2">
        <v>200</v>
      </c>
      <c r="G1913" s="2" t="s">
        <v>3842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3843</v>
      </c>
      <c r="N1913" s="4"/>
      <c r="O1913" s="5"/>
      <c r="P1913" s="4"/>
      <c r="Q1913" s="21" t="str">
        <f>VLOOKUP(tblProductos[[#This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3847</v>
      </c>
      <c r="D1914" s="2" t="s">
        <v>4032</v>
      </c>
      <c r="E1914" s="2" t="s">
        <v>3854</v>
      </c>
      <c r="F1914" s="2">
        <v>200</v>
      </c>
      <c r="G1914" s="2" t="s">
        <v>3842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3843</v>
      </c>
      <c r="N1914" s="4"/>
      <c r="O1914" s="5"/>
      <c r="P1914" s="4"/>
      <c r="Q1914" s="21" t="str">
        <f>VLOOKUP(tblProductos[[#This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3847</v>
      </c>
      <c r="D1915" s="2" t="s">
        <v>3888</v>
      </c>
      <c r="E1915" s="2" t="s">
        <v>3854</v>
      </c>
      <c r="F1915" s="2">
        <v>200</v>
      </c>
      <c r="G1915" s="2" t="s">
        <v>3842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3843</v>
      </c>
      <c r="N1915" s="4"/>
      <c r="O1915" s="5"/>
      <c r="P1915" s="4"/>
      <c r="Q1915" s="21" t="str">
        <f>VLOOKUP(tblProductos[[#This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3847</v>
      </c>
      <c r="D1916" s="2" t="s">
        <v>4033</v>
      </c>
      <c r="E1916" s="2" t="s">
        <v>3854</v>
      </c>
      <c r="F1916" s="2">
        <v>200</v>
      </c>
      <c r="G1916" s="2" t="s">
        <v>3842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3843</v>
      </c>
      <c r="N1916" s="4"/>
      <c r="O1916" s="5"/>
      <c r="P1916" s="4"/>
      <c r="Q1916" s="21" t="str">
        <f>VLOOKUP(tblProductos[[#This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3847</v>
      </c>
      <c r="D1917" s="2" t="s">
        <v>4144</v>
      </c>
      <c r="E1917" s="2" t="s">
        <v>3854</v>
      </c>
      <c r="F1917" s="2">
        <v>200</v>
      </c>
      <c r="G1917" s="2" t="s">
        <v>3842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3843</v>
      </c>
      <c r="N1917" s="4"/>
      <c r="O1917" s="5"/>
      <c r="P1917" s="4"/>
      <c r="Q1917" s="21" t="str">
        <f>VLOOKUP(tblProductos[[#This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3847</v>
      </c>
      <c r="D1918" s="2" t="s">
        <v>4014</v>
      </c>
      <c r="E1918" s="2" t="s">
        <v>3854</v>
      </c>
      <c r="F1918" s="2">
        <v>200</v>
      </c>
      <c r="G1918" s="2" t="s">
        <v>3842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3843</v>
      </c>
      <c r="N1918" s="4"/>
      <c r="O1918" s="5"/>
      <c r="P1918" s="4"/>
      <c r="Q1918" s="21" t="str">
        <f>VLOOKUP(tblProductos[[#This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3847</v>
      </c>
      <c r="D1919" s="2" t="s">
        <v>4016</v>
      </c>
      <c r="E1919" s="2" t="s">
        <v>3854</v>
      </c>
      <c r="F1919" s="2">
        <v>200</v>
      </c>
      <c r="G1919" s="2" t="s">
        <v>3842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3843</v>
      </c>
      <c r="N1919" s="4"/>
      <c r="O1919" s="5"/>
      <c r="P1919" s="4"/>
      <c r="Q1919" s="21" t="str">
        <f>VLOOKUP(tblProductos[[#This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3847</v>
      </c>
      <c r="D1920" s="2" t="s">
        <v>4145</v>
      </c>
      <c r="E1920" s="2" t="s">
        <v>3854</v>
      </c>
      <c r="F1920" s="2">
        <v>200</v>
      </c>
      <c r="G1920" s="2" t="s">
        <v>3842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3843</v>
      </c>
      <c r="N1920" s="4"/>
      <c r="O1920" s="5"/>
      <c r="P1920" s="4"/>
      <c r="Q1920" s="21" t="str">
        <f>VLOOKUP(tblProductos[[#This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3847</v>
      </c>
      <c r="D1921" s="2" t="s">
        <v>4015</v>
      </c>
      <c r="E1921" s="2" t="s">
        <v>3854</v>
      </c>
      <c r="F1921" s="2">
        <v>200</v>
      </c>
      <c r="G1921" s="2" t="s">
        <v>3842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3843</v>
      </c>
      <c r="N1921" s="4"/>
      <c r="O1921" s="5"/>
      <c r="P1921" s="4"/>
      <c r="Q1921" s="21" t="str">
        <f>VLOOKUP(tblProductos[[#This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3847</v>
      </c>
      <c r="D1922" s="2" t="s">
        <v>4054</v>
      </c>
      <c r="E1922" s="2" t="s">
        <v>3854</v>
      </c>
      <c r="F1922" s="2">
        <v>200</v>
      </c>
      <c r="G1922" s="2" t="s">
        <v>3842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3843</v>
      </c>
      <c r="N1922" s="4"/>
      <c r="O1922" s="5"/>
      <c r="P1922" s="4"/>
      <c r="Q1922" s="21" t="str">
        <f>VLOOKUP(tblProductos[[#This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3847</v>
      </c>
      <c r="D1923" s="2" t="s">
        <v>4118</v>
      </c>
      <c r="E1923" s="2" t="s">
        <v>3854</v>
      </c>
      <c r="F1923" s="2">
        <v>200</v>
      </c>
      <c r="G1923" s="2" t="s">
        <v>3842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3843</v>
      </c>
      <c r="N1923" s="4"/>
      <c r="O1923" s="5"/>
      <c r="P1923" s="4"/>
      <c r="Q1923" s="21" t="str">
        <f>VLOOKUP(tblProductos[[#This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3847</v>
      </c>
      <c r="D1924" s="2" t="s">
        <v>3919</v>
      </c>
      <c r="E1924" s="2" t="s">
        <v>3854</v>
      </c>
      <c r="F1924" s="2">
        <v>200</v>
      </c>
      <c r="G1924" s="2" t="s">
        <v>3842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3843</v>
      </c>
      <c r="N1924" s="4"/>
      <c r="O1924" s="5"/>
      <c r="P1924" s="4"/>
      <c r="Q1924" s="21" t="str">
        <f>VLOOKUP(tblProductos[[#This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3847</v>
      </c>
      <c r="D1925" s="2" t="s">
        <v>4029</v>
      </c>
      <c r="E1925" s="2" t="s">
        <v>3854</v>
      </c>
      <c r="F1925" s="2">
        <v>200</v>
      </c>
      <c r="G1925" s="2" t="s">
        <v>3842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3843</v>
      </c>
      <c r="N1925" s="4"/>
      <c r="O1925" s="5"/>
      <c r="P1925" s="4"/>
      <c r="Q1925" s="21" t="str">
        <f>VLOOKUP(tblProductos[[#This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3847</v>
      </c>
      <c r="D1926" s="2" t="s">
        <v>4034</v>
      </c>
      <c r="E1926" s="2" t="s">
        <v>3854</v>
      </c>
      <c r="F1926" s="2">
        <v>200</v>
      </c>
      <c r="G1926" s="2" t="s">
        <v>3842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3843</v>
      </c>
      <c r="N1926" s="4"/>
      <c r="O1926" s="5"/>
      <c r="P1926" s="4"/>
      <c r="Q1926" s="21" t="str">
        <f>VLOOKUP(tblProductos[[#This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3847</v>
      </c>
      <c r="D1927" s="2" t="s">
        <v>4035</v>
      </c>
      <c r="E1927" s="2" t="s">
        <v>3854</v>
      </c>
      <c r="F1927" s="2">
        <v>200</v>
      </c>
      <c r="G1927" s="2" t="s">
        <v>3842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3843</v>
      </c>
      <c r="N1927" s="4"/>
      <c r="O1927" s="5"/>
      <c r="P1927" s="4"/>
      <c r="Q1927" s="21" t="str">
        <f>VLOOKUP(tblProductos[[#This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3853</v>
      </c>
      <c r="D1928" s="2" t="s">
        <v>4010</v>
      </c>
      <c r="E1928" s="2" t="s">
        <v>3854</v>
      </c>
      <c r="F1928" s="2">
        <v>200</v>
      </c>
      <c r="G1928" s="2" t="s">
        <v>3842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3843</v>
      </c>
      <c r="N1928" s="4"/>
      <c r="O1928" s="5"/>
      <c r="P1928" s="4"/>
      <c r="Q1928" s="21" t="str">
        <f>VLOOKUP(tblProductos[[#This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3853</v>
      </c>
      <c r="D1929" s="2" t="s">
        <v>4125</v>
      </c>
      <c r="E1929" s="2" t="s">
        <v>3854</v>
      </c>
      <c r="F1929" s="2">
        <v>200</v>
      </c>
      <c r="G1929" s="2" t="s">
        <v>3842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3843</v>
      </c>
      <c r="N1929" s="4"/>
      <c r="O1929" s="5"/>
      <c r="P1929" s="4"/>
      <c r="Q1929" s="21" t="str">
        <f>VLOOKUP(tblProductos[[#This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3853</v>
      </c>
      <c r="D1930" s="2" t="s">
        <v>4056</v>
      </c>
      <c r="E1930" s="2" t="s">
        <v>3854</v>
      </c>
      <c r="F1930" s="2">
        <v>200</v>
      </c>
      <c r="G1930" s="2" t="s">
        <v>3842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3843</v>
      </c>
      <c r="N1930" s="4"/>
      <c r="O1930" s="5"/>
      <c r="P1930" s="4"/>
      <c r="Q1930" s="21" t="str">
        <f>VLOOKUP(tblProductos[[#This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3853</v>
      </c>
      <c r="D1931" s="2" t="s">
        <v>4006</v>
      </c>
      <c r="E1931" s="2" t="s">
        <v>3854</v>
      </c>
      <c r="F1931" s="2">
        <v>200</v>
      </c>
      <c r="G1931" s="2" t="s">
        <v>3842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3843</v>
      </c>
      <c r="N1931" s="4"/>
      <c r="O1931" s="5"/>
      <c r="P1931" s="4"/>
      <c r="Q1931" s="21" t="str">
        <f>VLOOKUP(tblProductos[[#This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3853</v>
      </c>
      <c r="D1932" s="2" t="s">
        <v>4143</v>
      </c>
      <c r="E1932" s="2" t="s">
        <v>3854</v>
      </c>
      <c r="F1932" s="2">
        <v>200</v>
      </c>
      <c r="G1932" s="2" t="s">
        <v>3842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3843</v>
      </c>
      <c r="N1932" s="4"/>
      <c r="O1932" s="5"/>
      <c r="P1932" s="4"/>
      <c r="Q1932" s="21" t="str">
        <f>VLOOKUP(tblProductos[[#This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3853</v>
      </c>
      <c r="D1933" s="2" t="s">
        <v>4031</v>
      </c>
      <c r="E1933" s="2" t="s">
        <v>3854</v>
      </c>
      <c r="F1933" s="2">
        <v>200</v>
      </c>
      <c r="G1933" s="2" t="s">
        <v>3842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3843</v>
      </c>
      <c r="N1933" s="4"/>
      <c r="O1933" s="5"/>
      <c r="P1933" s="4"/>
      <c r="Q1933" s="21" t="str">
        <f>VLOOKUP(tblProductos[[#This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3853</v>
      </c>
      <c r="D1934" s="2" t="s">
        <v>4030</v>
      </c>
      <c r="E1934" s="2" t="s">
        <v>3854</v>
      </c>
      <c r="F1934" s="2">
        <v>200</v>
      </c>
      <c r="G1934" s="2" t="s">
        <v>3842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3843</v>
      </c>
      <c r="N1934" s="4"/>
      <c r="O1934" s="5"/>
      <c r="P1934" s="4"/>
      <c r="Q1934" s="21" t="str">
        <f>VLOOKUP(tblProductos[[#This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3853</v>
      </c>
      <c r="D1935" s="2" t="s">
        <v>4013</v>
      </c>
      <c r="E1935" s="2" t="s">
        <v>3854</v>
      </c>
      <c r="F1935" s="2">
        <v>200</v>
      </c>
      <c r="G1935" s="2" t="s">
        <v>3842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3843</v>
      </c>
      <c r="N1935" s="4"/>
      <c r="O1935" s="5"/>
      <c r="P1935" s="4"/>
      <c r="Q1935" s="21" t="str">
        <f>VLOOKUP(tblProductos[[#This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3853</v>
      </c>
      <c r="D1936" s="2" t="s">
        <v>4032</v>
      </c>
      <c r="E1936" s="2" t="s">
        <v>3854</v>
      </c>
      <c r="F1936" s="2">
        <v>200</v>
      </c>
      <c r="G1936" s="2" t="s">
        <v>3842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3843</v>
      </c>
      <c r="N1936" s="4"/>
      <c r="O1936" s="5"/>
      <c r="P1936" s="4"/>
      <c r="Q1936" s="21" t="str">
        <f>VLOOKUP(tblProductos[[#This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3853</v>
      </c>
      <c r="D1937" s="2" t="s">
        <v>3888</v>
      </c>
      <c r="E1937" s="2" t="s">
        <v>3854</v>
      </c>
      <c r="F1937" s="2">
        <v>200</v>
      </c>
      <c r="G1937" s="2" t="s">
        <v>3842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3843</v>
      </c>
      <c r="N1937" s="4"/>
      <c r="O1937" s="5"/>
      <c r="P1937" s="4"/>
      <c r="Q1937" s="21" t="str">
        <f>VLOOKUP(tblProductos[[#This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3853</v>
      </c>
      <c r="D1938" s="2" t="s">
        <v>4033</v>
      </c>
      <c r="E1938" s="2" t="s">
        <v>3854</v>
      </c>
      <c r="F1938" s="2">
        <v>200</v>
      </c>
      <c r="G1938" s="2" t="s">
        <v>3842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3843</v>
      </c>
      <c r="N1938" s="4"/>
      <c r="O1938" s="5"/>
      <c r="P1938" s="4"/>
      <c r="Q1938" s="21" t="str">
        <f>VLOOKUP(tblProductos[[#This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3853</v>
      </c>
      <c r="D1939" s="2" t="s">
        <v>4144</v>
      </c>
      <c r="E1939" s="2" t="s">
        <v>3854</v>
      </c>
      <c r="F1939" s="2">
        <v>200</v>
      </c>
      <c r="G1939" s="2" t="s">
        <v>3842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3843</v>
      </c>
      <c r="N1939" s="4"/>
      <c r="O1939" s="5"/>
      <c r="P1939" s="4"/>
      <c r="Q1939" s="21" t="str">
        <f>VLOOKUP(tblProductos[[#This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3853</v>
      </c>
      <c r="D1940" s="2" t="s">
        <v>4014</v>
      </c>
      <c r="E1940" s="2" t="s">
        <v>3854</v>
      </c>
      <c r="F1940" s="2">
        <v>200</v>
      </c>
      <c r="G1940" s="2" t="s">
        <v>3842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3843</v>
      </c>
      <c r="N1940" s="4"/>
      <c r="O1940" s="5"/>
      <c r="P1940" s="4"/>
      <c r="Q1940" s="21" t="str">
        <f>VLOOKUP(tblProductos[[#This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3853</v>
      </c>
      <c r="D1941" s="2" t="s">
        <v>4016</v>
      </c>
      <c r="E1941" s="2" t="s">
        <v>3854</v>
      </c>
      <c r="F1941" s="2">
        <v>200</v>
      </c>
      <c r="G1941" s="2" t="s">
        <v>3842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3843</v>
      </c>
      <c r="N1941" s="4"/>
      <c r="O1941" s="5"/>
      <c r="P1941" s="4"/>
      <c r="Q1941" s="21" t="str">
        <f>VLOOKUP(tblProductos[[#This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3853</v>
      </c>
      <c r="D1942" s="2" t="s">
        <v>4145</v>
      </c>
      <c r="E1942" s="2" t="s">
        <v>3854</v>
      </c>
      <c r="F1942" s="2">
        <v>200</v>
      </c>
      <c r="G1942" s="2" t="s">
        <v>3842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3843</v>
      </c>
      <c r="N1942" s="4"/>
      <c r="O1942" s="5"/>
      <c r="P1942" s="4"/>
      <c r="Q1942" s="21" t="str">
        <f>VLOOKUP(tblProductos[[#This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3853</v>
      </c>
      <c r="D1943" s="2" t="s">
        <v>4015</v>
      </c>
      <c r="E1943" s="2" t="s">
        <v>3854</v>
      </c>
      <c r="F1943" s="2">
        <v>200</v>
      </c>
      <c r="G1943" s="2" t="s">
        <v>3842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3843</v>
      </c>
      <c r="N1943" s="4"/>
      <c r="O1943" s="5"/>
      <c r="P1943" s="4"/>
      <c r="Q1943" s="21" t="str">
        <f>VLOOKUP(tblProductos[[#This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3853</v>
      </c>
      <c r="D1944" s="2" t="s">
        <v>4054</v>
      </c>
      <c r="E1944" s="2" t="s">
        <v>3854</v>
      </c>
      <c r="F1944" s="2">
        <v>200</v>
      </c>
      <c r="G1944" s="2" t="s">
        <v>3842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3843</v>
      </c>
      <c r="N1944" s="4"/>
      <c r="O1944" s="5"/>
      <c r="P1944" s="4"/>
      <c r="Q1944" s="21" t="str">
        <f>VLOOKUP(tblProductos[[#This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3853</v>
      </c>
      <c r="D1945" s="2" t="s">
        <v>4118</v>
      </c>
      <c r="E1945" s="2" t="s">
        <v>3854</v>
      </c>
      <c r="F1945" s="2">
        <v>200</v>
      </c>
      <c r="G1945" s="2" t="s">
        <v>3842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3843</v>
      </c>
      <c r="N1945" s="4"/>
      <c r="O1945" s="5"/>
      <c r="P1945" s="4"/>
      <c r="Q1945" s="21" t="str">
        <f>VLOOKUP(tblProductos[[#This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3853</v>
      </c>
      <c r="D1946" s="2" t="s">
        <v>3919</v>
      </c>
      <c r="E1946" s="2" t="s">
        <v>3854</v>
      </c>
      <c r="F1946" s="2">
        <v>200</v>
      </c>
      <c r="G1946" s="2" t="s">
        <v>3842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3843</v>
      </c>
      <c r="N1946" s="4"/>
      <c r="O1946" s="5"/>
      <c r="P1946" s="4"/>
      <c r="Q1946" s="21" t="str">
        <f>VLOOKUP(tblProductos[[#This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3853</v>
      </c>
      <c r="D1947" s="2" t="s">
        <v>4029</v>
      </c>
      <c r="E1947" s="2" t="s">
        <v>3854</v>
      </c>
      <c r="F1947" s="2">
        <v>200</v>
      </c>
      <c r="G1947" s="2" t="s">
        <v>3842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3843</v>
      </c>
      <c r="N1947" s="4"/>
      <c r="O1947" s="5"/>
      <c r="P1947" s="4"/>
      <c r="Q1947" s="21" t="str">
        <f>VLOOKUP(tblProductos[[#This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3853</v>
      </c>
      <c r="D1948" s="2" t="s">
        <v>4034</v>
      </c>
      <c r="E1948" s="2" t="s">
        <v>3854</v>
      </c>
      <c r="F1948" s="2">
        <v>200</v>
      </c>
      <c r="G1948" s="2" t="s">
        <v>3842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3843</v>
      </c>
      <c r="N1948" s="4"/>
      <c r="O1948" s="5"/>
      <c r="P1948" s="4"/>
      <c r="Q1948" s="21" t="str">
        <f>VLOOKUP(tblProductos[[#This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3853</v>
      </c>
      <c r="D1949" s="2" t="s">
        <v>4035</v>
      </c>
      <c r="E1949" s="2" t="s">
        <v>3854</v>
      </c>
      <c r="F1949" s="2">
        <v>200</v>
      </c>
      <c r="G1949" s="2" t="s">
        <v>3842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3843</v>
      </c>
      <c r="N1949" s="4"/>
      <c r="O1949" s="5"/>
      <c r="P1949" s="4"/>
      <c r="Q1949" s="21" t="str">
        <f>VLOOKUP(tblProductos[[#This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3853</v>
      </c>
      <c r="D1950" s="2" t="s">
        <v>4010</v>
      </c>
      <c r="E1950" s="2" t="s">
        <v>3856</v>
      </c>
      <c r="F1950" s="2">
        <v>200</v>
      </c>
      <c r="G1950" s="2" t="s">
        <v>3842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3843</v>
      </c>
      <c r="N1950" s="4"/>
      <c r="O1950" s="5"/>
      <c r="P1950" s="4"/>
      <c r="Q1950" s="21" t="str">
        <f>VLOOKUP(tblProductos[[#This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3853</v>
      </c>
      <c r="D1951" s="2" t="s">
        <v>4125</v>
      </c>
      <c r="E1951" s="2" t="s">
        <v>3856</v>
      </c>
      <c r="F1951" s="2">
        <v>200</v>
      </c>
      <c r="G1951" s="2" t="s">
        <v>3842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3843</v>
      </c>
      <c r="N1951" s="4"/>
      <c r="O1951" s="5"/>
      <c r="P1951" s="4"/>
      <c r="Q1951" s="21" t="str">
        <f>VLOOKUP(tblProductos[[#This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3853</v>
      </c>
      <c r="D1952" s="2" t="s">
        <v>4056</v>
      </c>
      <c r="E1952" s="2" t="s">
        <v>3856</v>
      </c>
      <c r="F1952" s="2">
        <v>200</v>
      </c>
      <c r="G1952" s="2" t="s">
        <v>3842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3843</v>
      </c>
      <c r="N1952" s="4"/>
      <c r="O1952" s="5"/>
      <c r="P1952" s="4"/>
      <c r="Q1952" s="21" t="str">
        <f>VLOOKUP(tblProductos[[#This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3853</v>
      </c>
      <c r="D1953" s="2" t="s">
        <v>4006</v>
      </c>
      <c r="E1953" s="2" t="s">
        <v>3856</v>
      </c>
      <c r="F1953" s="2">
        <v>200</v>
      </c>
      <c r="G1953" s="2" t="s">
        <v>3842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3843</v>
      </c>
      <c r="N1953" s="4"/>
      <c r="O1953" s="5"/>
      <c r="P1953" s="4"/>
      <c r="Q1953" s="21" t="str">
        <f>VLOOKUP(tblProductos[[#This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3853</v>
      </c>
      <c r="D1954" s="2" t="s">
        <v>4143</v>
      </c>
      <c r="E1954" s="2" t="s">
        <v>3856</v>
      </c>
      <c r="F1954" s="2">
        <v>200</v>
      </c>
      <c r="G1954" s="2" t="s">
        <v>3842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3843</v>
      </c>
      <c r="N1954" s="4"/>
      <c r="O1954" s="5"/>
      <c r="P1954" s="4"/>
      <c r="Q1954" s="21" t="str">
        <f>VLOOKUP(tblProductos[[#This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3853</v>
      </c>
      <c r="D1955" s="2" t="s">
        <v>4031</v>
      </c>
      <c r="E1955" s="2" t="s">
        <v>3856</v>
      </c>
      <c r="F1955" s="2">
        <v>200</v>
      </c>
      <c r="G1955" s="2" t="s">
        <v>3842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3843</v>
      </c>
      <c r="N1955" s="4"/>
      <c r="O1955" s="5"/>
      <c r="P1955" s="4"/>
      <c r="Q1955" s="21" t="str">
        <f>VLOOKUP(tblProductos[[#This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3853</v>
      </c>
      <c r="D1956" s="2" t="s">
        <v>4030</v>
      </c>
      <c r="E1956" s="2" t="s">
        <v>3856</v>
      </c>
      <c r="F1956" s="2">
        <v>200</v>
      </c>
      <c r="G1956" s="2" t="s">
        <v>3842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3843</v>
      </c>
      <c r="N1956" s="4"/>
      <c r="O1956" s="5"/>
      <c r="P1956" s="4"/>
      <c r="Q1956" s="21" t="str">
        <f>VLOOKUP(tblProductos[[#This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3853</v>
      </c>
      <c r="D1957" s="2" t="s">
        <v>4013</v>
      </c>
      <c r="E1957" s="2" t="s">
        <v>3856</v>
      </c>
      <c r="F1957" s="2">
        <v>200</v>
      </c>
      <c r="G1957" s="2" t="s">
        <v>3842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3843</v>
      </c>
      <c r="N1957" s="4"/>
      <c r="O1957" s="5"/>
      <c r="P1957" s="4"/>
      <c r="Q1957" s="21" t="str">
        <f>VLOOKUP(tblProductos[[#This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3853</v>
      </c>
      <c r="D1958" s="2" t="s">
        <v>4032</v>
      </c>
      <c r="E1958" s="2" t="s">
        <v>3856</v>
      </c>
      <c r="F1958" s="2">
        <v>200</v>
      </c>
      <c r="G1958" s="2" t="s">
        <v>3842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3843</v>
      </c>
      <c r="N1958" s="4"/>
      <c r="O1958" s="5"/>
      <c r="P1958" s="4"/>
      <c r="Q1958" s="21" t="str">
        <f>VLOOKUP(tblProductos[[#This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3853</v>
      </c>
      <c r="D1959" s="2" t="s">
        <v>3888</v>
      </c>
      <c r="E1959" s="2" t="s">
        <v>3856</v>
      </c>
      <c r="F1959" s="2">
        <v>200</v>
      </c>
      <c r="G1959" s="2" t="s">
        <v>3842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3843</v>
      </c>
      <c r="N1959" s="4"/>
      <c r="O1959" s="5"/>
      <c r="P1959" s="4"/>
      <c r="Q1959" s="21" t="str">
        <f>VLOOKUP(tblProductos[[#This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3853</v>
      </c>
      <c r="D1960" s="2" t="s">
        <v>4033</v>
      </c>
      <c r="E1960" s="2" t="s">
        <v>3856</v>
      </c>
      <c r="F1960" s="2">
        <v>200</v>
      </c>
      <c r="G1960" s="2" t="s">
        <v>3842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3843</v>
      </c>
      <c r="N1960" s="4"/>
      <c r="O1960" s="5"/>
      <c r="P1960" s="4"/>
      <c r="Q1960" s="21" t="str">
        <f>VLOOKUP(tblProductos[[#This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3853</v>
      </c>
      <c r="D1961" s="2" t="s">
        <v>4144</v>
      </c>
      <c r="E1961" s="2" t="s">
        <v>3856</v>
      </c>
      <c r="F1961" s="2">
        <v>200</v>
      </c>
      <c r="G1961" s="2" t="s">
        <v>3842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3843</v>
      </c>
      <c r="N1961" s="4"/>
      <c r="O1961" s="5"/>
      <c r="P1961" s="4"/>
      <c r="Q1961" s="21" t="str">
        <f>VLOOKUP(tblProductos[[#This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3853</v>
      </c>
      <c r="D1962" s="2" t="s">
        <v>4014</v>
      </c>
      <c r="E1962" s="2" t="s">
        <v>3856</v>
      </c>
      <c r="F1962" s="2">
        <v>200</v>
      </c>
      <c r="G1962" s="2" t="s">
        <v>3842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3843</v>
      </c>
      <c r="N1962" s="4"/>
      <c r="O1962" s="5"/>
      <c r="P1962" s="4"/>
      <c r="Q1962" s="21" t="str">
        <f>VLOOKUP(tblProductos[[#This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3853</v>
      </c>
      <c r="D1963" s="2" t="s">
        <v>4016</v>
      </c>
      <c r="E1963" s="2" t="s">
        <v>3856</v>
      </c>
      <c r="F1963" s="2">
        <v>200</v>
      </c>
      <c r="G1963" s="2" t="s">
        <v>3842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3843</v>
      </c>
      <c r="N1963" s="4"/>
      <c r="O1963" s="5"/>
      <c r="P1963" s="4"/>
      <c r="Q1963" s="21" t="str">
        <f>VLOOKUP(tblProductos[[#This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3853</v>
      </c>
      <c r="D1964" s="2" t="s">
        <v>4145</v>
      </c>
      <c r="E1964" s="2" t="s">
        <v>3856</v>
      </c>
      <c r="F1964" s="2">
        <v>200</v>
      </c>
      <c r="G1964" s="2" t="s">
        <v>3842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3843</v>
      </c>
      <c r="N1964" s="4"/>
      <c r="O1964" s="5"/>
      <c r="P1964" s="4"/>
      <c r="Q1964" s="21" t="str">
        <f>VLOOKUP(tblProductos[[#This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3853</v>
      </c>
      <c r="D1965" s="2" t="s">
        <v>4015</v>
      </c>
      <c r="E1965" s="2" t="s">
        <v>3856</v>
      </c>
      <c r="F1965" s="2">
        <v>200</v>
      </c>
      <c r="G1965" s="2" t="s">
        <v>3842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3843</v>
      </c>
      <c r="N1965" s="4"/>
      <c r="O1965" s="5"/>
      <c r="P1965" s="4"/>
      <c r="Q1965" s="21" t="str">
        <f>VLOOKUP(tblProductos[[#This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3853</v>
      </c>
      <c r="D1966" s="2" t="s">
        <v>4054</v>
      </c>
      <c r="E1966" s="2" t="s">
        <v>3856</v>
      </c>
      <c r="F1966" s="2">
        <v>200</v>
      </c>
      <c r="G1966" s="2" t="s">
        <v>3842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3843</v>
      </c>
      <c r="N1966" s="4"/>
      <c r="O1966" s="5"/>
      <c r="P1966" s="4"/>
      <c r="Q1966" s="21" t="str">
        <f>VLOOKUP(tblProductos[[#This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3853</v>
      </c>
      <c r="D1967" s="2" t="s">
        <v>4118</v>
      </c>
      <c r="E1967" s="2" t="s">
        <v>3856</v>
      </c>
      <c r="F1967" s="2">
        <v>200</v>
      </c>
      <c r="G1967" s="2" t="s">
        <v>3842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3843</v>
      </c>
      <c r="N1967" s="4"/>
      <c r="O1967" s="5"/>
      <c r="P1967" s="4"/>
      <c r="Q1967" s="21" t="str">
        <f>VLOOKUP(tblProductos[[#This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3853</v>
      </c>
      <c r="D1968" s="2" t="s">
        <v>3919</v>
      </c>
      <c r="E1968" s="2" t="s">
        <v>3856</v>
      </c>
      <c r="F1968" s="2">
        <v>200</v>
      </c>
      <c r="G1968" s="2" t="s">
        <v>3842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3843</v>
      </c>
      <c r="N1968" s="4"/>
      <c r="O1968" s="5"/>
      <c r="P1968" s="4"/>
      <c r="Q1968" s="21" t="str">
        <f>VLOOKUP(tblProductos[[#This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3853</v>
      </c>
      <c r="D1969" s="2" t="s">
        <v>4029</v>
      </c>
      <c r="E1969" s="2" t="s">
        <v>3856</v>
      </c>
      <c r="F1969" s="2">
        <v>200</v>
      </c>
      <c r="G1969" s="2" t="s">
        <v>3842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3843</v>
      </c>
      <c r="N1969" s="4"/>
      <c r="O1969" s="5"/>
      <c r="P1969" s="4"/>
      <c r="Q1969" s="21" t="str">
        <f>VLOOKUP(tblProductos[[#This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3853</v>
      </c>
      <c r="D1970" s="2" t="s">
        <v>4034</v>
      </c>
      <c r="E1970" s="2" t="s">
        <v>3856</v>
      </c>
      <c r="F1970" s="2">
        <v>200</v>
      </c>
      <c r="G1970" s="2" t="s">
        <v>3842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3843</v>
      </c>
      <c r="N1970" s="4"/>
      <c r="O1970" s="5"/>
      <c r="P1970" s="4"/>
      <c r="Q1970" s="21" t="str">
        <f>VLOOKUP(tblProductos[[#This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3853</v>
      </c>
      <c r="D1971" s="2" t="s">
        <v>4035</v>
      </c>
      <c r="E1971" s="2" t="s">
        <v>3856</v>
      </c>
      <c r="F1971" s="2">
        <v>200</v>
      </c>
      <c r="G1971" s="2" t="s">
        <v>3842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3843</v>
      </c>
      <c r="N1971" s="4"/>
      <c r="O1971" s="5"/>
      <c r="P1971" s="4"/>
      <c r="Q1971" s="21" t="str">
        <f>VLOOKUP(tblProductos[[#This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3855</v>
      </c>
      <c r="D1972" s="2" t="s">
        <v>4017</v>
      </c>
      <c r="E1972" s="2" t="s">
        <v>3856</v>
      </c>
      <c r="F1972" s="2">
        <v>200</v>
      </c>
      <c r="G1972" s="2" t="s">
        <v>3842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3843</v>
      </c>
      <c r="N1972" s="4"/>
      <c r="O1972" s="5"/>
      <c r="P1972" s="4"/>
      <c r="Q1972" s="21" t="str">
        <f>VLOOKUP(tblProductos[[#This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3855</v>
      </c>
      <c r="D1973" s="2" t="s">
        <v>4010</v>
      </c>
      <c r="E1973" s="2" t="s">
        <v>3856</v>
      </c>
      <c r="F1973" s="2">
        <v>200</v>
      </c>
      <c r="G1973" s="2" t="s">
        <v>3842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3843</v>
      </c>
      <c r="N1973" s="4"/>
      <c r="O1973" s="5"/>
      <c r="P1973" s="4"/>
      <c r="Q1973" s="21" t="str">
        <f>VLOOKUP(tblProductos[[#This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3855</v>
      </c>
      <c r="D1974" s="2" t="s">
        <v>4125</v>
      </c>
      <c r="E1974" s="2" t="s">
        <v>3856</v>
      </c>
      <c r="F1974" s="2">
        <v>200</v>
      </c>
      <c r="G1974" s="2" t="s">
        <v>3842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3843</v>
      </c>
      <c r="N1974" s="4"/>
      <c r="O1974" s="5"/>
      <c r="P1974" s="4"/>
      <c r="Q1974" s="21" t="str">
        <f>VLOOKUP(tblProductos[[#This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3855</v>
      </c>
      <c r="D1975" s="2" t="s">
        <v>4056</v>
      </c>
      <c r="E1975" s="2" t="s">
        <v>3856</v>
      </c>
      <c r="F1975" s="2">
        <v>200</v>
      </c>
      <c r="G1975" s="2" t="s">
        <v>3842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3843</v>
      </c>
      <c r="N1975" s="4"/>
      <c r="O1975" s="5"/>
      <c r="P1975" s="4"/>
      <c r="Q1975" s="21" t="str">
        <f>VLOOKUP(tblProductos[[#This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3855</v>
      </c>
      <c r="D1976" s="2" t="s">
        <v>4006</v>
      </c>
      <c r="E1976" s="2" t="s">
        <v>3856</v>
      </c>
      <c r="F1976" s="2">
        <v>200</v>
      </c>
      <c r="G1976" s="2" t="s">
        <v>3842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3843</v>
      </c>
      <c r="N1976" s="4"/>
      <c r="O1976" s="5"/>
      <c r="P1976" s="4"/>
      <c r="Q1976" s="21" t="str">
        <f>VLOOKUP(tblProductos[[#This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3855</v>
      </c>
      <c r="D1977" s="2" t="s">
        <v>4143</v>
      </c>
      <c r="E1977" s="2" t="s">
        <v>3856</v>
      </c>
      <c r="F1977" s="2">
        <v>200</v>
      </c>
      <c r="G1977" s="2" t="s">
        <v>3842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3843</v>
      </c>
      <c r="N1977" s="4"/>
      <c r="O1977" s="5"/>
      <c r="P1977" s="4"/>
      <c r="Q1977" s="21" t="str">
        <f>VLOOKUP(tblProductos[[#This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3855</v>
      </c>
      <c r="D1978" s="2" t="s">
        <v>4031</v>
      </c>
      <c r="E1978" s="2" t="s">
        <v>3856</v>
      </c>
      <c r="F1978" s="2">
        <v>200</v>
      </c>
      <c r="G1978" s="2" t="s">
        <v>3842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3843</v>
      </c>
      <c r="N1978" s="4"/>
      <c r="O1978" s="5"/>
      <c r="P1978" s="4"/>
      <c r="Q1978" s="21" t="str">
        <f>VLOOKUP(tblProductos[[#This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3855</v>
      </c>
      <c r="D1979" s="2" t="s">
        <v>4011</v>
      </c>
      <c r="E1979" s="2" t="s">
        <v>3856</v>
      </c>
      <c r="F1979" s="2">
        <v>200</v>
      </c>
      <c r="G1979" s="2" t="s">
        <v>3842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3843</v>
      </c>
      <c r="N1979" s="4"/>
      <c r="O1979" s="5"/>
      <c r="P1979" s="4"/>
      <c r="Q1979" s="21" t="str">
        <f>VLOOKUP(tblProductos[[#This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3855</v>
      </c>
      <c r="D1980" s="2" t="s">
        <v>4030</v>
      </c>
      <c r="E1980" s="2" t="s">
        <v>3856</v>
      </c>
      <c r="F1980" s="2">
        <v>200</v>
      </c>
      <c r="G1980" s="2" t="s">
        <v>3842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3843</v>
      </c>
      <c r="N1980" s="4"/>
      <c r="O1980" s="5"/>
      <c r="P1980" s="4"/>
      <c r="Q1980" s="21" t="str">
        <f>VLOOKUP(tblProductos[[#This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3855</v>
      </c>
      <c r="D1981" s="2" t="s">
        <v>4018</v>
      </c>
      <c r="E1981" s="2" t="s">
        <v>3856</v>
      </c>
      <c r="F1981" s="2">
        <v>200</v>
      </c>
      <c r="G1981" s="2" t="s">
        <v>3842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3843</v>
      </c>
      <c r="N1981" s="4"/>
      <c r="O1981" s="5"/>
      <c r="P1981" s="4"/>
      <c r="Q1981" s="21" t="str">
        <f>VLOOKUP(tblProductos[[#This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3855</v>
      </c>
      <c r="D1982" s="2" t="s">
        <v>4009</v>
      </c>
      <c r="E1982" s="2" t="s">
        <v>3856</v>
      </c>
      <c r="F1982" s="2">
        <v>200</v>
      </c>
      <c r="G1982" s="2" t="s">
        <v>3842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3843</v>
      </c>
      <c r="N1982" s="4"/>
      <c r="O1982" s="5"/>
      <c r="P1982" s="4"/>
      <c r="Q1982" s="21" t="str">
        <f>VLOOKUP(tblProductos[[#This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3855</v>
      </c>
      <c r="D1983" s="2" t="s">
        <v>4012</v>
      </c>
      <c r="E1983" s="2" t="s">
        <v>3856</v>
      </c>
      <c r="F1983" s="2">
        <v>200</v>
      </c>
      <c r="G1983" s="2" t="s">
        <v>3842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3843</v>
      </c>
      <c r="N1983" s="4"/>
      <c r="O1983" s="5"/>
      <c r="P1983" s="4"/>
      <c r="Q1983" s="21" t="str">
        <f>VLOOKUP(tblProductos[[#This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3855</v>
      </c>
      <c r="D1984" s="6" t="s">
        <v>4013</v>
      </c>
      <c r="E1984" s="6" t="s">
        <v>3856</v>
      </c>
      <c r="F1984" s="6">
        <v>200</v>
      </c>
      <c r="G1984" s="6" t="s">
        <v>3842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3843</v>
      </c>
      <c r="N1984" s="4"/>
      <c r="O1984" s="5"/>
      <c r="P1984" s="4"/>
      <c r="Q1984" s="21" t="str">
        <f>VLOOKUP(tblProductos[[#This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3855</v>
      </c>
      <c r="D1985" s="6" t="s">
        <v>3923</v>
      </c>
      <c r="E1985" s="6" t="s">
        <v>3856</v>
      </c>
      <c r="F1985" s="6">
        <v>200</v>
      </c>
      <c r="G1985" s="6" t="s">
        <v>3842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3843</v>
      </c>
      <c r="N1985" s="4"/>
      <c r="O1985" s="5"/>
      <c r="P1985" s="4"/>
      <c r="Q1985" s="21" t="str">
        <f>VLOOKUP(tblProductos[[#This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3855</v>
      </c>
      <c r="D1986" s="6" t="s">
        <v>4019</v>
      </c>
      <c r="E1986" s="6" t="s">
        <v>3856</v>
      </c>
      <c r="F1986" s="6">
        <v>200</v>
      </c>
      <c r="G1986" s="6" t="s">
        <v>3842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3843</v>
      </c>
      <c r="N1986" s="4"/>
      <c r="O1986" s="5"/>
      <c r="P1986" s="4"/>
      <c r="Q1986" s="21" t="str">
        <f>VLOOKUP(tblProductos[[#This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3855</v>
      </c>
      <c r="D1987" s="6" t="s">
        <v>4032</v>
      </c>
      <c r="E1987" s="2" t="s">
        <v>3856</v>
      </c>
      <c r="F1987" s="6">
        <v>200</v>
      </c>
      <c r="G1987" s="2" t="s">
        <v>3842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3843</v>
      </c>
      <c r="N1987" s="4"/>
      <c r="O1987" s="5"/>
      <c r="P1987" s="4"/>
      <c r="Q1987" s="21" t="str">
        <f>VLOOKUP(tblProductos[[#This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3855</v>
      </c>
      <c r="D1988" s="9" t="s">
        <v>3888</v>
      </c>
      <c r="E1988" s="9" t="s">
        <v>3856</v>
      </c>
      <c r="F1988" s="9">
        <v>200</v>
      </c>
      <c r="G1988" s="9" t="s">
        <v>3842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3843</v>
      </c>
      <c r="N1988" s="4"/>
      <c r="O1988" s="5"/>
      <c r="P1988" s="4"/>
      <c r="Q1988" s="21" t="str">
        <f>VLOOKUP(tblProductos[[#This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3855</v>
      </c>
      <c r="D1989" s="9" t="s">
        <v>4033</v>
      </c>
      <c r="E1989" s="9" t="s">
        <v>3856</v>
      </c>
      <c r="F1989" s="9">
        <v>200</v>
      </c>
      <c r="G1989" s="9" t="s">
        <v>3842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3843</v>
      </c>
      <c r="N1989" s="4"/>
      <c r="O1989" s="5"/>
      <c r="P1989" s="4"/>
      <c r="Q1989" s="21" t="str">
        <f>VLOOKUP(tblProductos[[#This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3855</v>
      </c>
      <c r="D1990" s="9" t="s">
        <v>4144</v>
      </c>
      <c r="E1990" s="9" t="s">
        <v>3856</v>
      </c>
      <c r="F1990" s="9">
        <v>200</v>
      </c>
      <c r="G1990" s="9" t="s">
        <v>3842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3843</v>
      </c>
      <c r="N1990" s="4"/>
      <c r="O1990" s="5"/>
      <c r="P1990" s="4"/>
      <c r="Q1990" s="21" t="str">
        <f>VLOOKUP(tblProductos[[#This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3855</v>
      </c>
      <c r="D1991" s="9" t="s">
        <v>4014</v>
      </c>
      <c r="E1991" s="9" t="s">
        <v>3856</v>
      </c>
      <c r="F1991" s="9">
        <v>200</v>
      </c>
      <c r="G1991" s="9" t="s">
        <v>3842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3843</v>
      </c>
      <c r="N1991" s="4"/>
      <c r="O1991" s="5"/>
      <c r="P1991" s="4"/>
      <c r="Q1991" s="21" t="str">
        <f>VLOOKUP(tblProductos[[#This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3855</v>
      </c>
      <c r="D1992" s="9" t="s">
        <v>4008</v>
      </c>
      <c r="E1992" s="9" t="s">
        <v>3856</v>
      </c>
      <c r="F1992" s="9">
        <v>200</v>
      </c>
      <c r="G1992" s="9" t="s">
        <v>3842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3843</v>
      </c>
      <c r="N1992" s="4"/>
      <c r="O1992" s="5"/>
      <c r="P1992" s="4"/>
      <c r="Q1992" s="21" t="str">
        <f>VLOOKUP(tblProductos[[#This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3855</v>
      </c>
      <c r="D1993" s="9" t="s">
        <v>4020</v>
      </c>
      <c r="E1993" s="9" t="s">
        <v>3856</v>
      </c>
      <c r="F1993" s="9">
        <v>200</v>
      </c>
      <c r="G1993" s="9" t="s">
        <v>3842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3843</v>
      </c>
      <c r="N1993" s="4"/>
      <c r="O1993" s="5"/>
      <c r="P1993" s="4"/>
      <c r="Q1993" s="21" t="str">
        <f>VLOOKUP(tblProductos[[#This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3855</v>
      </c>
      <c r="D1994" s="9" t="s">
        <v>4016</v>
      </c>
      <c r="E1994" s="9" t="s">
        <v>3856</v>
      </c>
      <c r="F1994" s="9">
        <v>200</v>
      </c>
      <c r="G1994" s="9" t="s">
        <v>3842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3843</v>
      </c>
      <c r="N1994" s="4"/>
      <c r="O1994" s="5"/>
      <c r="P1994" s="4"/>
      <c r="Q1994" s="21" t="str">
        <f>VLOOKUP(tblProductos[[#This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3855</v>
      </c>
      <c r="D1995" s="9" t="s">
        <v>4145</v>
      </c>
      <c r="E1995" s="9" t="s">
        <v>3856</v>
      </c>
      <c r="F1995" s="9">
        <v>200</v>
      </c>
      <c r="G1995" s="9" t="s">
        <v>3842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3843</v>
      </c>
      <c r="N1995" s="4"/>
      <c r="O1995" s="5"/>
      <c r="P1995" s="4"/>
      <c r="Q1995" s="21" t="str">
        <f>VLOOKUP(tblProductos[[#This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3855</v>
      </c>
      <c r="D1996" s="9" t="s">
        <v>3841</v>
      </c>
      <c r="E1996" s="9" t="s">
        <v>3856</v>
      </c>
      <c r="F1996" s="9">
        <v>200</v>
      </c>
      <c r="G1996" s="9" t="s">
        <v>3842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3843</v>
      </c>
      <c r="N1996" s="4"/>
      <c r="O1996" s="5"/>
      <c r="P1996" s="4"/>
      <c r="Q1996" s="21" t="str">
        <f>VLOOKUP(tblProductos[[#This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3855</v>
      </c>
      <c r="D1997" s="9" t="s">
        <v>4021</v>
      </c>
      <c r="E1997" s="9" t="s">
        <v>3856</v>
      </c>
      <c r="F1997" s="9">
        <v>200</v>
      </c>
      <c r="G1997" s="9" t="s">
        <v>3842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3843</v>
      </c>
      <c r="N1997" s="4"/>
      <c r="O1997" s="5"/>
      <c r="P1997" s="10"/>
      <c r="Q1997" s="21" t="str">
        <f>VLOOKUP(tblProductos[[#This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3855</v>
      </c>
      <c r="D1998" s="9" t="s">
        <v>4015</v>
      </c>
      <c r="E1998" s="9" t="s">
        <v>3856</v>
      </c>
      <c r="F1998" s="9">
        <v>200</v>
      </c>
      <c r="G1998" s="9" t="s">
        <v>3842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3843</v>
      </c>
      <c r="N1998" s="4"/>
      <c r="O1998" s="5"/>
      <c r="P1998" s="10"/>
      <c r="Q1998" s="21" t="str">
        <f>VLOOKUP(tblProductos[[#This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3855</v>
      </c>
      <c r="D1999" s="9" t="s">
        <v>4054</v>
      </c>
      <c r="E1999" s="9" t="s">
        <v>3856</v>
      </c>
      <c r="F1999" s="9">
        <v>200</v>
      </c>
      <c r="G1999" s="9" t="s">
        <v>3842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3843</v>
      </c>
      <c r="N1999" s="4"/>
      <c r="O1999" s="5"/>
      <c r="P1999" s="10"/>
      <c r="Q1999" s="21" t="str">
        <f>VLOOKUP(tblProductos[[#This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3855</v>
      </c>
      <c r="D2000" s="9" t="s">
        <v>4118</v>
      </c>
      <c r="E2000" s="9" t="s">
        <v>3856</v>
      </c>
      <c r="F2000" s="9">
        <v>200</v>
      </c>
      <c r="G2000" s="9" t="s">
        <v>3842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3843</v>
      </c>
      <c r="N2000" s="4"/>
      <c r="O2000" s="5"/>
      <c r="P2000" s="10"/>
      <c r="Q2000" s="21" t="str">
        <f>VLOOKUP(tblProductos[[#This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3855</v>
      </c>
      <c r="D2001" s="9" t="s">
        <v>4022</v>
      </c>
      <c r="E2001" s="9" t="s">
        <v>3856</v>
      </c>
      <c r="F2001" s="9">
        <v>200</v>
      </c>
      <c r="G2001" s="9" t="s">
        <v>3842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3843</v>
      </c>
      <c r="N2001" s="4"/>
      <c r="O2001" s="5"/>
      <c r="P2001" s="10"/>
      <c r="Q2001" s="21" t="str">
        <f>VLOOKUP(tblProductos[[#This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3855</v>
      </c>
      <c r="D2002" s="9" t="s">
        <v>3919</v>
      </c>
      <c r="E2002" s="9" t="s">
        <v>3856</v>
      </c>
      <c r="F2002" s="9">
        <v>200</v>
      </c>
      <c r="G2002" s="9" t="s">
        <v>3842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3843</v>
      </c>
      <c r="N2002" s="4"/>
      <c r="O2002" s="5"/>
      <c r="P2002" s="10"/>
      <c r="Q2002" s="21" t="str">
        <f>VLOOKUP(tblProductos[[#This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3855</v>
      </c>
      <c r="D2003" s="9" t="s">
        <v>4023</v>
      </c>
      <c r="E2003" s="9" t="s">
        <v>3856</v>
      </c>
      <c r="F2003" s="9">
        <v>200</v>
      </c>
      <c r="G2003" s="9" t="s">
        <v>3842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3843</v>
      </c>
      <c r="N2003" s="4"/>
      <c r="O2003" s="5"/>
      <c r="P2003" s="10"/>
      <c r="Q2003" s="21" t="str">
        <f>VLOOKUP(tblProductos[[#This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3855</v>
      </c>
      <c r="D2004" s="9" t="s">
        <v>4029</v>
      </c>
      <c r="E2004" s="9" t="s">
        <v>3856</v>
      </c>
      <c r="F2004" s="9">
        <v>200</v>
      </c>
      <c r="G2004" s="9" t="s">
        <v>3842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3843</v>
      </c>
      <c r="N2004" s="4"/>
      <c r="O2004" s="5"/>
      <c r="P2004" s="10"/>
      <c r="Q2004" s="21" t="str">
        <f>VLOOKUP(tblProductos[[#This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3855</v>
      </c>
      <c r="D2005" s="9" t="s">
        <v>4024</v>
      </c>
      <c r="E2005" s="9" t="s">
        <v>3856</v>
      </c>
      <c r="F2005" s="9">
        <v>200</v>
      </c>
      <c r="G2005" s="9" t="s">
        <v>3842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3843</v>
      </c>
      <c r="N2005" s="4"/>
      <c r="O2005" s="5"/>
      <c r="P2005" s="10"/>
      <c r="Q2005" s="21" t="str">
        <f>VLOOKUP(tblProductos[[#This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3855</v>
      </c>
      <c r="D2006" s="9" t="s">
        <v>4034</v>
      </c>
      <c r="E2006" s="9" t="s">
        <v>3856</v>
      </c>
      <c r="F2006" s="9">
        <v>200</v>
      </c>
      <c r="G2006" s="9" t="s">
        <v>3842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3843</v>
      </c>
      <c r="N2006" s="4"/>
      <c r="O2006" s="5"/>
      <c r="P2006" s="10"/>
      <c r="Q2006" s="21" t="str">
        <f>VLOOKUP(tblProductos[[#This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3855</v>
      </c>
      <c r="D2007" s="9" t="s">
        <v>4035</v>
      </c>
      <c r="E2007" s="9" t="s">
        <v>3856</v>
      </c>
      <c r="F2007" s="9">
        <v>200</v>
      </c>
      <c r="G2007" s="9" t="s">
        <v>3842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3843</v>
      </c>
      <c r="N2007" s="4"/>
      <c r="O2007" s="5"/>
      <c r="P2007" s="10"/>
      <c r="Q2007" s="21" t="str">
        <f>VLOOKUP(tblProductos[[#This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3855</v>
      </c>
      <c r="D2008" s="9" t="s">
        <v>4010</v>
      </c>
      <c r="E2008" s="9" t="s">
        <v>3856</v>
      </c>
      <c r="F2008" s="9">
        <v>200</v>
      </c>
      <c r="G2008" s="9" t="s">
        <v>3842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3843</v>
      </c>
      <c r="N2008" s="4"/>
      <c r="O2008" s="5"/>
      <c r="P2008" s="10"/>
      <c r="Q2008" s="21" t="str">
        <f>VLOOKUP(tblProductos[[#This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3855</v>
      </c>
      <c r="D2009" s="9" t="s">
        <v>4125</v>
      </c>
      <c r="E2009" s="9" t="s">
        <v>3856</v>
      </c>
      <c r="F2009" s="9">
        <v>200</v>
      </c>
      <c r="G2009" s="9" t="s">
        <v>3842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3843</v>
      </c>
      <c r="N2009" s="4"/>
      <c r="O2009" s="5"/>
      <c r="P2009" s="10"/>
      <c r="Q2009" s="21" t="str">
        <f>VLOOKUP(tblProductos[[#This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3855</v>
      </c>
      <c r="D2010" s="9" t="s">
        <v>4056</v>
      </c>
      <c r="E2010" s="9" t="s">
        <v>3856</v>
      </c>
      <c r="F2010" s="9">
        <v>200</v>
      </c>
      <c r="G2010" s="9" t="s">
        <v>3842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3843</v>
      </c>
      <c r="N2010" s="4"/>
      <c r="O2010" s="5"/>
      <c r="P2010" s="10"/>
      <c r="Q2010" s="21" t="str">
        <f>VLOOKUP(tblProductos[[#This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3855</v>
      </c>
      <c r="D2011" s="9" t="s">
        <v>4006</v>
      </c>
      <c r="E2011" s="9" t="s">
        <v>3856</v>
      </c>
      <c r="F2011" s="9">
        <v>200</v>
      </c>
      <c r="G2011" s="9" t="s">
        <v>3842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3843</v>
      </c>
      <c r="N2011" s="4"/>
      <c r="O2011" s="5"/>
      <c r="P2011" s="10"/>
      <c r="Q2011" s="21" t="str">
        <f>VLOOKUP(tblProductos[[#This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3855</v>
      </c>
      <c r="D2012" s="9" t="s">
        <v>4143</v>
      </c>
      <c r="E2012" s="9" t="s">
        <v>3856</v>
      </c>
      <c r="F2012" s="9">
        <v>200</v>
      </c>
      <c r="G2012" s="9" t="s">
        <v>3842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3843</v>
      </c>
      <c r="N2012" s="4"/>
      <c r="O2012" s="5"/>
      <c r="P2012" s="10"/>
      <c r="Q2012" s="21" t="str">
        <f>VLOOKUP(tblProductos[[#This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3855</v>
      </c>
      <c r="D2013" s="9" t="s">
        <v>4031</v>
      </c>
      <c r="E2013" s="9" t="s">
        <v>3856</v>
      </c>
      <c r="F2013" s="9">
        <v>200</v>
      </c>
      <c r="G2013" s="9" t="s">
        <v>3842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3843</v>
      </c>
      <c r="N2013" s="4"/>
      <c r="O2013" s="5"/>
      <c r="P2013" s="10"/>
      <c r="Q2013" s="21" t="str">
        <f>VLOOKUP(tblProductos[[#This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3855</v>
      </c>
      <c r="D2014" s="9" t="s">
        <v>4030</v>
      </c>
      <c r="E2014" s="9" t="s">
        <v>3856</v>
      </c>
      <c r="F2014" s="9">
        <v>200</v>
      </c>
      <c r="G2014" s="9" t="s">
        <v>3842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3843</v>
      </c>
      <c r="N2014" s="4"/>
      <c r="O2014" s="5"/>
      <c r="P2014" s="10"/>
      <c r="Q2014" s="21" t="str">
        <f>VLOOKUP(tblProductos[[#This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3855</v>
      </c>
      <c r="D2015" s="9" t="s">
        <v>4013</v>
      </c>
      <c r="E2015" s="9" t="s">
        <v>3856</v>
      </c>
      <c r="F2015" s="9">
        <v>200</v>
      </c>
      <c r="G2015" s="9" t="s">
        <v>3842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3843</v>
      </c>
      <c r="N2015" s="4"/>
      <c r="O2015" s="5"/>
      <c r="P2015" s="10"/>
      <c r="Q2015" s="21" t="str">
        <f>VLOOKUP(tblProductos[[#This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3855</v>
      </c>
      <c r="D2016" s="9" t="s">
        <v>4032</v>
      </c>
      <c r="E2016" s="9" t="s">
        <v>3856</v>
      </c>
      <c r="F2016" s="9">
        <v>200</v>
      </c>
      <c r="G2016" s="9" t="s">
        <v>3842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3843</v>
      </c>
      <c r="N2016" s="4"/>
      <c r="O2016" s="5"/>
      <c r="P2016" s="10"/>
      <c r="Q2016" s="21" t="str">
        <f>VLOOKUP(tblProductos[[#This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3855</v>
      </c>
      <c r="D2017" s="9" t="s">
        <v>3888</v>
      </c>
      <c r="E2017" s="9" t="s">
        <v>3856</v>
      </c>
      <c r="F2017" s="9">
        <v>200</v>
      </c>
      <c r="G2017" s="9" t="s">
        <v>3842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3843</v>
      </c>
      <c r="N2017" s="4"/>
      <c r="O2017" s="5"/>
      <c r="P2017" s="10"/>
      <c r="Q2017" s="21" t="str">
        <f>VLOOKUP(tblProductos[[#This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3855</v>
      </c>
      <c r="D2018" s="9" t="s">
        <v>4033</v>
      </c>
      <c r="E2018" s="9" t="s">
        <v>3856</v>
      </c>
      <c r="F2018" s="9">
        <v>200</v>
      </c>
      <c r="G2018" s="9" t="s">
        <v>3842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3843</v>
      </c>
      <c r="N2018" s="4"/>
      <c r="O2018" s="5"/>
      <c r="P2018" s="10"/>
      <c r="Q2018" s="21" t="str">
        <f>VLOOKUP(tblProductos[[#This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3855</v>
      </c>
      <c r="D2019" s="9" t="s">
        <v>4144</v>
      </c>
      <c r="E2019" s="9" t="s">
        <v>3856</v>
      </c>
      <c r="F2019" s="9">
        <v>200</v>
      </c>
      <c r="G2019" s="9" t="s">
        <v>3842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3843</v>
      </c>
      <c r="N2019" s="4"/>
      <c r="O2019" s="5"/>
      <c r="P2019" s="10"/>
      <c r="Q2019" s="21" t="str">
        <f>VLOOKUP(tblProductos[[#This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3855</v>
      </c>
      <c r="D2020" s="9" t="s">
        <v>4014</v>
      </c>
      <c r="E2020" s="9" t="s">
        <v>3856</v>
      </c>
      <c r="F2020" s="9">
        <v>200</v>
      </c>
      <c r="G2020" s="9" t="s">
        <v>3842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3843</v>
      </c>
      <c r="N2020" s="4"/>
      <c r="O2020" s="5"/>
      <c r="P2020" s="10"/>
      <c r="Q2020" s="21" t="str">
        <f>VLOOKUP(tblProductos[[#This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3855</v>
      </c>
      <c r="D2021" s="9" t="s">
        <v>4016</v>
      </c>
      <c r="E2021" s="9" t="s">
        <v>3856</v>
      </c>
      <c r="F2021" s="9">
        <v>200</v>
      </c>
      <c r="G2021" s="9" t="s">
        <v>3842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3843</v>
      </c>
      <c r="N2021" s="4"/>
      <c r="O2021" s="5"/>
      <c r="P2021" s="10"/>
      <c r="Q2021" s="21" t="str">
        <f>VLOOKUP(tblProductos[[#This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3855</v>
      </c>
      <c r="D2022" s="9" t="s">
        <v>4145</v>
      </c>
      <c r="E2022" s="9" t="s">
        <v>3856</v>
      </c>
      <c r="F2022" s="9">
        <v>200</v>
      </c>
      <c r="G2022" s="9" t="s">
        <v>3842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3843</v>
      </c>
      <c r="N2022" s="4"/>
      <c r="O2022" s="5"/>
      <c r="P2022" s="10"/>
      <c r="Q2022" s="21" t="str">
        <f>VLOOKUP(tblProductos[[#This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3855</v>
      </c>
      <c r="D2023" s="9" t="s">
        <v>4015</v>
      </c>
      <c r="E2023" s="9" t="s">
        <v>3856</v>
      </c>
      <c r="F2023" s="9">
        <v>200</v>
      </c>
      <c r="G2023" s="9" t="s">
        <v>3842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3843</v>
      </c>
      <c r="N2023" s="4"/>
      <c r="O2023" s="5"/>
      <c r="P2023" s="10"/>
      <c r="Q2023" s="21" t="str">
        <f>VLOOKUP(tblProductos[[#This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3855</v>
      </c>
      <c r="D2024" s="9" t="s">
        <v>4054</v>
      </c>
      <c r="E2024" s="9" t="s">
        <v>3856</v>
      </c>
      <c r="F2024" s="9">
        <v>200</v>
      </c>
      <c r="G2024" s="9" t="s">
        <v>3842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3843</v>
      </c>
      <c r="N2024" s="4"/>
      <c r="O2024" s="5"/>
      <c r="P2024" s="10"/>
      <c r="Q2024" s="21" t="str">
        <f>VLOOKUP(tblProductos[[#This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3855</v>
      </c>
      <c r="D2025" s="9" t="s">
        <v>4118</v>
      </c>
      <c r="E2025" s="9" t="s">
        <v>3856</v>
      </c>
      <c r="F2025" s="9">
        <v>200</v>
      </c>
      <c r="G2025" s="9" t="s">
        <v>3842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3843</v>
      </c>
      <c r="N2025" s="4"/>
      <c r="O2025" s="5"/>
      <c r="P2025" s="10"/>
      <c r="Q2025" s="21" t="str">
        <f>VLOOKUP(tblProductos[[#This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3855</v>
      </c>
      <c r="D2026" s="9" t="s">
        <v>3919</v>
      </c>
      <c r="E2026" s="9" t="s">
        <v>3856</v>
      </c>
      <c r="F2026" s="9">
        <v>200</v>
      </c>
      <c r="G2026" s="9" t="s">
        <v>3842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3843</v>
      </c>
      <c r="N2026" s="4"/>
      <c r="O2026" s="5"/>
      <c r="P2026" s="10"/>
      <c r="Q2026" s="21" t="str">
        <f>VLOOKUP(tblProductos[[#This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3855</v>
      </c>
      <c r="D2027" s="9" t="s">
        <v>4029</v>
      </c>
      <c r="E2027" s="9" t="s">
        <v>3856</v>
      </c>
      <c r="F2027" s="9">
        <v>200</v>
      </c>
      <c r="G2027" s="9" t="s">
        <v>3842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3843</v>
      </c>
      <c r="N2027" s="4"/>
      <c r="O2027" s="5"/>
      <c r="P2027" s="10"/>
      <c r="Q2027" s="21" t="str">
        <f>VLOOKUP(tblProductos[[#This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3855</v>
      </c>
      <c r="D2028" s="9" t="s">
        <v>4034</v>
      </c>
      <c r="E2028" s="9" t="s">
        <v>3856</v>
      </c>
      <c r="F2028" s="9">
        <v>200</v>
      </c>
      <c r="G2028" s="9" t="s">
        <v>3842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3843</v>
      </c>
      <c r="N2028" s="4"/>
      <c r="O2028" s="5"/>
      <c r="P2028" s="10"/>
      <c r="Q2028" s="21" t="str">
        <f>VLOOKUP(tblProductos[[#This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3855</v>
      </c>
      <c r="D2029" s="9" t="s">
        <v>4035</v>
      </c>
      <c r="E2029" s="9" t="s">
        <v>3856</v>
      </c>
      <c r="F2029" s="9">
        <v>200</v>
      </c>
      <c r="G2029" s="9" t="s">
        <v>3842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3843</v>
      </c>
      <c r="N2029" s="4"/>
      <c r="O2029" s="5"/>
      <c r="P2029" s="10"/>
      <c r="Q2029" s="21" t="str">
        <f>VLOOKUP(tblProductos[[#This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3855</v>
      </c>
      <c r="D2030" s="9" t="s">
        <v>4010</v>
      </c>
      <c r="E2030" s="9" t="s">
        <v>3858</v>
      </c>
      <c r="F2030" s="9">
        <v>200</v>
      </c>
      <c r="G2030" s="9" t="s">
        <v>3842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3843</v>
      </c>
      <c r="N2030" s="4"/>
      <c r="O2030" s="5"/>
      <c r="P2030" s="10"/>
      <c r="Q2030" s="21" t="str">
        <f>VLOOKUP(tblProductos[[#This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3855</v>
      </c>
      <c r="D2031" s="9" t="s">
        <v>4125</v>
      </c>
      <c r="E2031" s="9" t="s">
        <v>3858</v>
      </c>
      <c r="F2031" s="9">
        <v>200</v>
      </c>
      <c r="G2031" s="9" t="s">
        <v>3842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3843</v>
      </c>
      <c r="N2031" s="4"/>
      <c r="O2031" s="5"/>
      <c r="P2031" s="10"/>
      <c r="Q2031" s="21" t="str">
        <f>VLOOKUP(tblProductos[[#This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3855</v>
      </c>
      <c r="D2032" s="9" t="s">
        <v>4056</v>
      </c>
      <c r="E2032" s="9" t="s">
        <v>3858</v>
      </c>
      <c r="F2032" s="9">
        <v>200</v>
      </c>
      <c r="G2032" s="9" t="s">
        <v>3842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3843</v>
      </c>
      <c r="N2032" s="4"/>
      <c r="O2032" s="5"/>
      <c r="P2032" s="10"/>
      <c r="Q2032" s="21" t="str">
        <f>VLOOKUP(tblProductos[[#This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3855</v>
      </c>
      <c r="D2033" s="9" t="s">
        <v>4006</v>
      </c>
      <c r="E2033" s="9" t="s">
        <v>3858</v>
      </c>
      <c r="F2033" s="9">
        <v>200</v>
      </c>
      <c r="G2033" s="9" t="s">
        <v>3842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3843</v>
      </c>
      <c r="N2033" s="4"/>
      <c r="O2033" s="5"/>
      <c r="P2033" s="10"/>
      <c r="Q2033" s="21" t="str">
        <f>VLOOKUP(tblProductos[[#This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3855</v>
      </c>
      <c r="D2034" s="9" t="s">
        <v>4143</v>
      </c>
      <c r="E2034" s="9" t="s">
        <v>3858</v>
      </c>
      <c r="F2034" s="9">
        <v>200</v>
      </c>
      <c r="G2034" s="9" t="s">
        <v>3842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3843</v>
      </c>
      <c r="N2034" s="4"/>
      <c r="O2034" s="5"/>
      <c r="P2034" s="10"/>
      <c r="Q2034" s="21" t="str">
        <f>VLOOKUP(tblProductos[[#This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3855</v>
      </c>
      <c r="D2035" s="9" t="s">
        <v>4031</v>
      </c>
      <c r="E2035" s="9" t="s">
        <v>3858</v>
      </c>
      <c r="F2035" s="9">
        <v>200</v>
      </c>
      <c r="G2035" s="9" t="s">
        <v>3842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3843</v>
      </c>
      <c r="N2035" s="4"/>
      <c r="O2035" s="5"/>
      <c r="P2035" s="10"/>
      <c r="Q2035" s="21" t="str">
        <f>VLOOKUP(tblProductos[[#This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3855</v>
      </c>
      <c r="D2036" s="9" t="s">
        <v>4030</v>
      </c>
      <c r="E2036" s="9" t="s">
        <v>3858</v>
      </c>
      <c r="F2036" s="9">
        <v>200</v>
      </c>
      <c r="G2036" s="9" t="s">
        <v>3842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3843</v>
      </c>
      <c r="N2036" s="4"/>
      <c r="O2036" s="5"/>
      <c r="P2036" s="10"/>
      <c r="Q2036" s="21" t="str">
        <f>VLOOKUP(tblProductos[[#This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3855</v>
      </c>
      <c r="D2037" s="9" t="s">
        <v>4013</v>
      </c>
      <c r="E2037" s="9" t="s">
        <v>3858</v>
      </c>
      <c r="F2037" s="9">
        <v>200</v>
      </c>
      <c r="G2037" s="9" t="s">
        <v>3842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3843</v>
      </c>
      <c r="N2037" s="4"/>
      <c r="O2037" s="5"/>
      <c r="P2037" s="10"/>
      <c r="Q2037" s="21" t="str">
        <f>VLOOKUP(tblProductos[[#This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3855</v>
      </c>
      <c r="D2038" s="9" t="s">
        <v>4032</v>
      </c>
      <c r="E2038" s="9" t="s">
        <v>3858</v>
      </c>
      <c r="F2038" s="9">
        <v>200</v>
      </c>
      <c r="G2038" s="9" t="s">
        <v>3842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3843</v>
      </c>
      <c r="N2038" s="4"/>
      <c r="O2038" s="5"/>
      <c r="P2038" s="10"/>
      <c r="Q2038" s="21" t="str">
        <f>VLOOKUP(tblProductos[[#This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3855</v>
      </c>
      <c r="D2039" s="9" t="s">
        <v>3888</v>
      </c>
      <c r="E2039" s="9" t="s">
        <v>3858</v>
      </c>
      <c r="F2039" s="9">
        <v>200</v>
      </c>
      <c r="G2039" s="9" t="s">
        <v>3842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3843</v>
      </c>
      <c r="N2039" s="4"/>
      <c r="O2039" s="5"/>
      <c r="P2039" s="10"/>
      <c r="Q2039" s="21" t="str">
        <f>VLOOKUP(tblProductos[[#This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3855</v>
      </c>
      <c r="D2040" s="9" t="s">
        <v>4033</v>
      </c>
      <c r="E2040" s="9" t="s">
        <v>3858</v>
      </c>
      <c r="F2040" s="9">
        <v>200</v>
      </c>
      <c r="G2040" s="9" t="s">
        <v>3842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3843</v>
      </c>
      <c r="N2040" s="4"/>
      <c r="O2040" s="5"/>
      <c r="P2040" s="10"/>
      <c r="Q2040" s="21" t="str">
        <f>VLOOKUP(tblProductos[[#This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3855</v>
      </c>
      <c r="D2041" s="9" t="s">
        <v>4144</v>
      </c>
      <c r="E2041" s="9" t="s">
        <v>3858</v>
      </c>
      <c r="F2041" s="9">
        <v>200</v>
      </c>
      <c r="G2041" s="9" t="s">
        <v>3842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3843</v>
      </c>
      <c r="N2041" s="4"/>
      <c r="O2041" s="5"/>
      <c r="P2041" s="10"/>
      <c r="Q2041" s="21" t="str">
        <f>VLOOKUP(tblProductos[[#This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3855</v>
      </c>
      <c r="D2042" s="9" t="s">
        <v>4014</v>
      </c>
      <c r="E2042" s="9" t="s">
        <v>3858</v>
      </c>
      <c r="F2042" s="9">
        <v>200</v>
      </c>
      <c r="G2042" s="9" t="s">
        <v>3842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3843</v>
      </c>
      <c r="N2042" s="4"/>
      <c r="O2042" s="5"/>
      <c r="P2042" s="10"/>
      <c r="Q2042" s="21" t="str">
        <f>VLOOKUP(tblProductos[[#This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3855</v>
      </c>
      <c r="D2043" s="9" t="s">
        <v>4016</v>
      </c>
      <c r="E2043" s="9" t="s">
        <v>3858</v>
      </c>
      <c r="F2043" s="9">
        <v>200</v>
      </c>
      <c r="G2043" s="9" t="s">
        <v>3842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3843</v>
      </c>
      <c r="N2043" s="4"/>
      <c r="O2043" s="5"/>
      <c r="P2043" s="10"/>
      <c r="Q2043" s="21" t="str">
        <f>VLOOKUP(tblProductos[[#This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3855</v>
      </c>
      <c r="D2044" s="9" t="s">
        <v>4145</v>
      </c>
      <c r="E2044" s="9" t="s">
        <v>3858</v>
      </c>
      <c r="F2044" s="9">
        <v>200</v>
      </c>
      <c r="G2044" s="9" t="s">
        <v>3842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3843</v>
      </c>
      <c r="N2044" s="4"/>
      <c r="O2044" s="5"/>
      <c r="P2044" s="10"/>
      <c r="Q2044" s="21" t="str">
        <f>VLOOKUP(tblProductos[[#This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3855</v>
      </c>
      <c r="D2045" s="9" t="s">
        <v>4015</v>
      </c>
      <c r="E2045" s="9" t="s">
        <v>3858</v>
      </c>
      <c r="F2045" s="9">
        <v>200</v>
      </c>
      <c r="G2045" s="9" t="s">
        <v>3842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3843</v>
      </c>
      <c r="N2045" s="4"/>
      <c r="O2045" s="5"/>
      <c r="P2045" s="10"/>
      <c r="Q2045" s="21" t="str">
        <f>VLOOKUP(tblProductos[[#This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3855</v>
      </c>
      <c r="D2046" s="9" t="s">
        <v>4054</v>
      </c>
      <c r="E2046" s="9" t="s">
        <v>3858</v>
      </c>
      <c r="F2046" s="9">
        <v>200</v>
      </c>
      <c r="G2046" s="9" t="s">
        <v>3842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3843</v>
      </c>
      <c r="N2046" s="4"/>
      <c r="O2046" s="5"/>
      <c r="P2046" s="10"/>
      <c r="Q2046" s="21" t="str">
        <f>VLOOKUP(tblProductos[[#This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3855</v>
      </c>
      <c r="D2047" s="9" t="s">
        <v>4118</v>
      </c>
      <c r="E2047" s="9" t="s">
        <v>3858</v>
      </c>
      <c r="F2047" s="9">
        <v>200</v>
      </c>
      <c r="G2047" s="9" t="s">
        <v>3842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3843</v>
      </c>
      <c r="N2047" s="4"/>
      <c r="O2047" s="5"/>
      <c r="P2047" s="10"/>
      <c r="Q2047" s="21" t="str">
        <f>VLOOKUP(tblProductos[[#This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3855</v>
      </c>
      <c r="D2048" s="9" t="s">
        <v>3919</v>
      </c>
      <c r="E2048" s="9" t="s">
        <v>3858</v>
      </c>
      <c r="F2048" s="9">
        <v>200</v>
      </c>
      <c r="G2048" s="9" t="s">
        <v>3842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3843</v>
      </c>
      <c r="N2048" s="4"/>
      <c r="O2048" s="5"/>
      <c r="P2048" s="10"/>
      <c r="Q2048" s="21" t="str">
        <f>VLOOKUP(tblProductos[[#This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3855</v>
      </c>
      <c r="D2049" s="9" t="s">
        <v>4029</v>
      </c>
      <c r="E2049" s="9" t="s">
        <v>3858</v>
      </c>
      <c r="F2049" s="9">
        <v>200</v>
      </c>
      <c r="G2049" s="9" t="s">
        <v>3842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3843</v>
      </c>
      <c r="N2049" s="4"/>
      <c r="O2049" s="5"/>
      <c r="P2049" s="10"/>
      <c r="Q2049" s="21" t="str">
        <f>VLOOKUP(tblProductos[[#This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3855</v>
      </c>
      <c r="D2050" s="9" t="s">
        <v>4034</v>
      </c>
      <c r="E2050" s="9" t="s">
        <v>3858</v>
      </c>
      <c r="F2050" s="9">
        <v>200</v>
      </c>
      <c r="G2050" s="9" t="s">
        <v>3842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3843</v>
      </c>
      <c r="N2050" s="4"/>
      <c r="O2050" s="5"/>
      <c r="P2050" s="10"/>
      <c r="Q2050" s="21" t="str">
        <f>VLOOKUP(tblProductos[[#This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3855</v>
      </c>
      <c r="D2051" s="9" t="s">
        <v>4035</v>
      </c>
      <c r="E2051" s="9" t="s">
        <v>3858</v>
      </c>
      <c r="F2051" s="9">
        <v>200</v>
      </c>
      <c r="G2051" s="9" t="s">
        <v>3842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3843</v>
      </c>
      <c r="N2051" s="4"/>
      <c r="O2051" s="5"/>
      <c r="P2051" s="10"/>
      <c r="Q2051" s="21" t="str">
        <f>VLOOKUP(tblProductos[[#This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3150</v>
      </c>
      <c r="D2052" s="9" t="s">
        <v>4017</v>
      </c>
      <c r="E2052" s="9"/>
      <c r="F2052" s="9">
        <v>50</v>
      </c>
      <c r="G2052" s="9" t="s">
        <v>3842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3843</v>
      </c>
      <c r="N2052" s="4"/>
      <c r="O2052" s="5"/>
      <c r="P2052" s="10"/>
      <c r="Q2052" s="21" t="str">
        <f>VLOOKUP(tblProductos[[#This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3150</v>
      </c>
      <c r="D2053" s="9" t="s">
        <v>4125</v>
      </c>
      <c r="E2053" s="9"/>
      <c r="F2053" s="9">
        <v>50</v>
      </c>
      <c r="G2053" s="9" t="s">
        <v>3842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3843</v>
      </c>
      <c r="N2053" s="4"/>
      <c r="O2053" s="5"/>
      <c r="P2053" s="10"/>
      <c r="Q2053" s="21" t="str">
        <f>VLOOKUP(tblProductos[[#This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3150</v>
      </c>
      <c r="D2054" s="9" t="s">
        <v>4056</v>
      </c>
      <c r="E2054" s="9"/>
      <c r="F2054" s="9">
        <v>50</v>
      </c>
      <c r="G2054" s="9" t="s">
        <v>3842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3843</v>
      </c>
      <c r="N2054" s="4"/>
      <c r="O2054" s="5"/>
      <c r="P2054" s="10"/>
      <c r="Q2054" s="21" t="str">
        <f>VLOOKUP(tblProductos[[#This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3150</v>
      </c>
      <c r="D2055" s="9" t="s">
        <v>4143</v>
      </c>
      <c r="E2055" s="9"/>
      <c r="F2055" s="9">
        <v>50</v>
      </c>
      <c r="G2055" s="9" t="s">
        <v>3842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3843</v>
      </c>
      <c r="N2055" s="4"/>
      <c r="O2055" s="5"/>
      <c r="P2055" s="10"/>
      <c r="Q2055" s="21" t="str">
        <f>VLOOKUP(tblProductos[[#This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3150</v>
      </c>
      <c r="D2056" s="9" t="s">
        <v>4031</v>
      </c>
      <c r="E2056" s="9"/>
      <c r="F2056" s="9">
        <v>50</v>
      </c>
      <c r="G2056" s="9" t="s">
        <v>3842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3843</v>
      </c>
      <c r="N2056" s="4"/>
      <c r="O2056" s="5"/>
      <c r="P2056" s="10"/>
      <c r="Q2056" s="21" t="str">
        <f>VLOOKUP(tblProductos[[#This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3150</v>
      </c>
      <c r="D2057" s="9" t="s">
        <v>4030</v>
      </c>
      <c r="E2057" s="9"/>
      <c r="F2057" s="9">
        <v>50</v>
      </c>
      <c r="G2057" s="9" t="s">
        <v>3842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3843</v>
      </c>
      <c r="N2057" s="4"/>
      <c r="O2057" s="5"/>
      <c r="P2057" s="10"/>
      <c r="Q2057" s="21" t="str">
        <f>VLOOKUP(tblProductos[[#This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3150</v>
      </c>
      <c r="D2058" s="9" t="s">
        <v>4018</v>
      </c>
      <c r="E2058" s="9"/>
      <c r="F2058" s="9">
        <v>50</v>
      </c>
      <c r="G2058" s="9" t="s">
        <v>3842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3843</v>
      </c>
      <c r="N2058" s="4"/>
      <c r="O2058" s="5"/>
      <c r="P2058" s="10"/>
      <c r="Q2058" s="21" t="str">
        <f>VLOOKUP(tblProductos[[#This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3150</v>
      </c>
      <c r="D2059" s="9" t="s">
        <v>4019</v>
      </c>
      <c r="E2059" s="9"/>
      <c r="F2059" s="9">
        <v>50</v>
      </c>
      <c r="G2059" s="9" t="s">
        <v>3842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3843</v>
      </c>
      <c r="N2059" s="4"/>
      <c r="O2059" s="5"/>
      <c r="P2059" s="10"/>
      <c r="Q2059" s="21" t="str">
        <f>VLOOKUP(tblProductos[[#This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3150</v>
      </c>
      <c r="D2060" s="9" t="s">
        <v>4032</v>
      </c>
      <c r="E2060" s="9"/>
      <c r="F2060" s="9">
        <v>50</v>
      </c>
      <c r="G2060" s="9" t="s">
        <v>3842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3843</v>
      </c>
      <c r="N2060" s="4"/>
      <c r="O2060" s="5"/>
      <c r="P2060" s="10"/>
      <c r="Q2060" s="21" t="str">
        <f>VLOOKUP(tblProductos[[#This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3150</v>
      </c>
      <c r="D2061" s="9" t="s">
        <v>4007</v>
      </c>
      <c r="E2061" s="9"/>
      <c r="F2061" s="9">
        <v>50</v>
      </c>
      <c r="G2061" s="9" t="s">
        <v>3842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3843</v>
      </c>
      <c r="N2061" s="4"/>
      <c r="O2061" s="5"/>
      <c r="P2061" s="10"/>
      <c r="Q2061" s="21" t="str">
        <f>VLOOKUP(tblProductos[[#This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3150</v>
      </c>
      <c r="D2062" s="9" t="s">
        <v>4033</v>
      </c>
      <c r="E2062" s="9"/>
      <c r="F2062" s="9">
        <v>50</v>
      </c>
      <c r="G2062" s="9" t="s">
        <v>3842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3843</v>
      </c>
      <c r="N2062" s="4"/>
      <c r="O2062" s="5"/>
      <c r="P2062" s="10"/>
      <c r="Q2062" s="21" t="str">
        <f>VLOOKUP(tblProductos[[#This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3150</v>
      </c>
      <c r="D2063" s="9" t="s">
        <v>4144</v>
      </c>
      <c r="E2063" s="9"/>
      <c r="F2063" s="9">
        <v>50</v>
      </c>
      <c r="G2063" s="9" t="s">
        <v>3842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3843</v>
      </c>
      <c r="N2063" s="4"/>
      <c r="O2063" s="5"/>
      <c r="P2063" s="10"/>
      <c r="Q2063" s="21" t="str">
        <f>VLOOKUP(tblProductos[[#This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3150</v>
      </c>
      <c r="D2064" s="9" t="s">
        <v>4020</v>
      </c>
      <c r="E2064" s="9"/>
      <c r="F2064" s="9">
        <v>50</v>
      </c>
      <c r="G2064" s="9" t="s">
        <v>3842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3843</v>
      </c>
      <c r="N2064" s="4"/>
      <c r="O2064" s="5"/>
      <c r="P2064" s="10"/>
      <c r="Q2064" s="21" t="str">
        <f>VLOOKUP(tblProductos[[#This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3150</v>
      </c>
      <c r="D2065" s="9" t="s">
        <v>4145</v>
      </c>
      <c r="E2065" s="9"/>
      <c r="F2065" s="9">
        <v>50</v>
      </c>
      <c r="G2065" s="9" t="s">
        <v>3842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3843</v>
      </c>
      <c r="N2065" s="4"/>
      <c r="O2065" s="5"/>
      <c r="P2065" s="10"/>
      <c r="Q2065" s="21" t="str">
        <f>VLOOKUP(tblProductos[[#This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3150</v>
      </c>
      <c r="D2066" s="9" t="s">
        <v>4021</v>
      </c>
      <c r="E2066" s="9"/>
      <c r="F2066" s="9">
        <v>50</v>
      </c>
      <c r="G2066" s="9" t="s">
        <v>3842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3843</v>
      </c>
      <c r="N2066" s="4"/>
      <c r="O2066" s="5"/>
      <c r="P2066" s="10"/>
      <c r="Q2066" s="21" t="str">
        <f>VLOOKUP(tblProductos[[#This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3150</v>
      </c>
      <c r="D2067" s="9" t="s">
        <v>4054</v>
      </c>
      <c r="E2067" s="9"/>
      <c r="F2067" s="9">
        <v>50</v>
      </c>
      <c r="G2067" s="9" t="s">
        <v>3842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3843</v>
      </c>
      <c r="N2067" s="4"/>
      <c r="O2067" s="5"/>
      <c r="P2067" s="10"/>
      <c r="Q2067" s="21" t="str">
        <f>VLOOKUP(tblProductos[[#This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3150</v>
      </c>
      <c r="D2068" s="9" t="s">
        <v>4118</v>
      </c>
      <c r="E2068" s="9"/>
      <c r="F2068" s="9">
        <v>50</v>
      </c>
      <c r="G2068" s="9" t="s">
        <v>3842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3843</v>
      </c>
      <c r="N2068" s="4"/>
      <c r="O2068" s="5"/>
      <c r="P2068" s="10"/>
      <c r="Q2068" s="21" t="str">
        <f>VLOOKUP(tblProductos[[#This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3150</v>
      </c>
      <c r="D2069" s="9" t="s">
        <v>4022</v>
      </c>
      <c r="E2069" s="9"/>
      <c r="F2069" s="9">
        <v>50</v>
      </c>
      <c r="G2069" s="9" t="s">
        <v>3842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3843</v>
      </c>
      <c r="N2069" s="4"/>
      <c r="O2069" s="5"/>
      <c r="P2069" s="10"/>
      <c r="Q2069" s="21" t="str">
        <f>VLOOKUP(tblProductos[[#This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3150</v>
      </c>
      <c r="D2070" s="9" t="s">
        <v>4023</v>
      </c>
      <c r="E2070" s="9"/>
      <c r="F2070" s="9">
        <v>50</v>
      </c>
      <c r="G2070" s="9" t="s">
        <v>3842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3843</v>
      </c>
      <c r="N2070" s="4"/>
      <c r="O2070" s="5"/>
      <c r="P2070" s="10"/>
      <c r="Q2070" s="21" t="str">
        <f>VLOOKUP(tblProductos[[#This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3150</v>
      </c>
      <c r="D2071" s="9" t="s">
        <v>4024</v>
      </c>
      <c r="E2071" s="9"/>
      <c r="F2071" s="9">
        <v>50</v>
      </c>
      <c r="G2071" s="9" t="s">
        <v>3842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3843</v>
      </c>
      <c r="N2071" s="4"/>
      <c r="O2071" s="5"/>
      <c r="P2071" s="10"/>
      <c r="Q2071" s="21" t="str">
        <f>VLOOKUP(tblProductos[[#This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3150</v>
      </c>
      <c r="D2072" s="9" t="s">
        <v>4034</v>
      </c>
      <c r="E2072" s="9"/>
      <c r="F2072" s="9">
        <v>50</v>
      </c>
      <c r="G2072" s="9" t="s">
        <v>3842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3843</v>
      </c>
      <c r="N2072" s="4"/>
      <c r="O2072" s="5"/>
      <c r="P2072" s="10"/>
      <c r="Q2072" s="21" t="str">
        <f>VLOOKUP(tblProductos[[#This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3150</v>
      </c>
      <c r="D2073" s="9" t="s">
        <v>4035</v>
      </c>
      <c r="E2073" s="9"/>
      <c r="F2073" s="9">
        <v>50</v>
      </c>
      <c r="G2073" s="9" t="s">
        <v>3842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3843</v>
      </c>
      <c r="N2073" s="4"/>
      <c r="O2073" s="5"/>
      <c r="P2073" s="10"/>
      <c r="Q2073" s="21" t="str">
        <f>VLOOKUP(tblProductos[[#This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3150</v>
      </c>
      <c r="D2074" s="9" t="s">
        <v>4017</v>
      </c>
      <c r="E2074" s="9"/>
      <c r="F2074" s="9">
        <v>50</v>
      </c>
      <c r="G2074" s="9" t="s">
        <v>3842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3843</v>
      </c>
      <c r="N2074" s="4"/>
      <c r="O2074" s="5"/>
      <c r="P2074" s="10"/>
      <c r="Q2074" s="21" t="str">
        <f>VLOOKUP(tblProductos[[#This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3150</v>
      </c>
      <c r="D2075" s="9" t="s">
        <v>4010</v>
      </c>
      <c r="E2075" s="9"/>
      <c r="F2075" s="9">
        <v>50</v>
      </c>
      <c r="G2075" s="9" t="s">
        <v>3842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3843</v>
      </c>
      <c r="N2075" s="4"/>
      <c r="O2075" s="5"/>
      <c r="P2075" s="10"/>
      <c r="Q2075" s="21" t="str">
        <f>VLOOKUP(tblProductos[[#This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3150</v>
      </c>
      <c r="D2076" s="9" t="s">
        <v>4125</v>
      </c>
      <c r="E2076" s="9"/>
      <c r="F2076" s="9">
        <v>50</v>
      </c>
      <c r="G2076" s="9" t="s">
        <v>3842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3843</v>
      </c>
      <c r="N2076" s="4"/>
      <c r="O2076" s="5"/>
      <c r="P2076" s="10"/>
      <c r="Q2076" s="21" t="str">
        <f>VLOOKUP(tblProductos[[#This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3150</v>
      </c>
      <c r="D2077" s="9" t="s">
        <v>4056</v>
      </c>
      <c r="E2077" s="9"/>
      <c r="F2077" s="9">
        <v>50</v>
      </c>
      <c r="G2077" s="9" t="s">
        <v>3842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3843</v>
      </c>
      <c r="N2077" s="4"/>
      <c r="O2077" s="5"/>
      <c r="P2077" s="10"/>
      <c r="Q2077" s="21" t="str">
        <f>VLOOKUP(tblProductos[[#This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3150</v>
      </c>
      <c r="D2078" s="9" t="s">
        <v>4006</v>
      </c>
      <c r="E2078" s="9"/>
      <c r="F2078" s="9">
        <v>50</v>
      </c>
      <c r="G2078" s="9" t="s">
        <v>3842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3843</v>
      </c>
      <c r="N2078" s="4"/>
      <c r="O2078" s="5"/>
      <c r="P2078" s="10"/>
      <c r="Q2078" s="21" t="str">
        <f>VLOOKUP(tblProductos[[#This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3150</v>
      </c>
      <c r="D2079" s="9" t="s">
        <v>4143</v>
      </c>
      <c r="E2079" s="9"/>
      <c r="F2079" s="9">
        <v>50</v>
      </c>
      <c r="G2079" s="9" t="s">
        <v>3842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3843</v>
      </c>
      <c r="N2079" s="4"/>
      <c r="O2079" s="5"/>
      <c r="P2079" s="10"/>
      <c r="Q2079" s="21" t="str">
        <f>VLOOKUP(tblProductos[[#This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3150</v>
      </c>
      <c r="D2080" s="9" t="s">
        <v>4031</v>
      </c>
      <c r="E2080" s="9"/>
      <c r="F2080" s="9">
        <v>50</v>
      </c>
      <c r="G2080" s="9" t="s">
        <v>3842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3843</v>
      </c>
      <c r="N2080" s="4"/>
      <c r="O2080" s="5"/>
      <c r="P2080" s="10"/>
      <c r="Q2080" s="21" t="str">
        <f>VLOOKUP(tblProductos[[#This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3150</v>
      </c>
      <c r="D2081" s="9" t="s">
        <v>4011</v>
      </c>
      <c r="E2081" s="9"/>
      <c r="F2081" s="9">
        <v>50</v>
      </c>
      <c r="G2081" s="9" t="s">
        <v>3842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3843</v>
      </c>
      <c r="N2081" s="4"/>
      <c r="O2081" s="5"/>
      <c r="P2081" s="10"/>
      <c r="Q2081" s="21" t="str">
        <f>VLOOKUP(tblProductos[[#This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3150</v>
      </c>
      <c r="D2082" s="9" t="s">
        <v>4030</v>
      </c>
      <c r="E2082" s="9"/>
      <c r="F2082" s="9">
        <v>50</v>
      </c>
      <c r="G2082" s="9" t="s">
        <v>3842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3843</v>
      </c>
      <c r="N2082" s="4"/>
      <c r="O2082" s="5"/>
      <c r="P2082" s="10"/>
      <c r="Q2082" s="21" t="str">
        <f>VLOOKUP(tblProductos[[#This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3150</v>
      </c>
      <c r="D2083" s="9" t="s">
        <v>4018</v>
      </c>
      <c r="E2083" s="9"/>
      <c r="F2083" s="9">
        <v>50</v>
      </c>
      <c r="G2083" s="9" t="s">
        <v>3842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3843</v>
      </c>
      <c r="N2083" s="4"/>
      <c r="O2083" s="5"/>
      <c r="P2083" s="10"/>
      <c r="Q2083" s="21" t="str">
        <f>VLOOKUP(tblProductos[[#This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3150</v>
      </c>
      <c r="D2084" s="9" t="s">
        <v>4009</v>
      </c>
      <c r="E2084" s="9"/>
      <c r="F2084" s="9">
        <v>50</v>
      </c>
      <c r="G2084" s="9" t="s">
        <v>3842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3843</v>
      </c>
      <c r="N2084" s="4"/>
      <c r="O2084" s="5"/>
      <c r="P2084" s="10"/>
      <c r="Q2084" s="21" t="str">
        <f>VLOOKUP(tblProductos[[#This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3150</v>
      </c>
      <c r="D2085" s="9" t="s">
        <v>4012</v>
      </c>
      <c r="E2085" s="9"/>
      <c r="F2085" s="9">
        <v>50</v>
      </c>
      <c r="G2085" s="9" t="s">
        <v>3842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3843</v>
      </c>
      <c r="N2085" s="4"/>
      <c r="O2085" s="5"/>
      <c r="P2085" s="10"/>
      <c r="Q2085" s="21" t="str">
        <f>VLOOKUP(tblProductos[[#This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3150</v>
      </c>
      <c r="D2086" s="9" t="s">
        <v>4013</v>
      </c>
      <c r="E2086" s="9"/>
      <c r="F2086" s="9">
        <v>50</v>
      </c>
      <c r="G2086" s="9" t="s">
        <v>3842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3843</v>
      </c>
      <c r="N2086" s="4"/>
      <c r="O2086" s="5"/>
      <c r="P2086" s="10"/>
      <c r="Q2086" s="21" t="str">
        <f>VLOOKUP(tblProductos[[#This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3150</v>
      </c>
      <c r="D2087" s="9" t="s">
        <v>3923</v>
      </c>
      <c r="E2087" s="9"/>
      <c r="F2087" s="9">
        <v>50</v>
      </c>
      <c r="G2087" s="9" t="s">
        <v>3842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3843</v>
      </c>
      <c r="N2087" s="4"/>
      <c r="O2087" s="5"/>
      <c r="P2087" s="10"/>
      <c r="Q2087" s="21" t="str">
        <f>VLOOKUP(tblProductos[[#This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3150</v>
      </c>
      <c r="D2088" s="9" t="s">
        <v>4019</v>
      </c>
      <c r="E2088" s="9"/>
      <c r="F2088" s="9">
        <v>50</v>
      </c>
      <c r="G2088" s="9" t="s">
        <v>3842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3843</v>
      </c>
      <c r="N2088" s="4"/>
      <c r="O2088" s="5"/>
      <c r="P2088" s="10"/>
      <c r="Q2088" s="21" t="str">
        <f>VLOOKUP(tblProductos[[#This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3150</v>
      </c>
      <c r="D2089" s="9" t="s">
        <v>4032</v>
      </c>
      <c r="E2089" s="9"/>
      <c r="F2089" s="9">
        <v>50</v>
      </c>
      <c r="G2089" s="9" t="s">
        <v>3842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3843</v>
      </c>
      <c r="N2089" s="4"/>
      <c r="O2089" s="5"/>
      <c r="P2089" s="10"/>
      <c r="Q2089" s="21" t="str">
        <f>VLOOKUP(tblProductos[[#This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3150</v>
      </c>
      <c r="D2090" s="9" t="s">
        <v>4007</v>
      </c>
      <c r="E2090" s="9"/>
      <c r="F2090" s="9">
        <v>50</v>
      </c>
      <c r="G2090" s="9" t="s">
        <v>3842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3843</v>
      </c>
      <c r="N2090" s="4"/>
      <c r="O2090" s="5"/>
      <c r="P2090" s="10"/>
      <c r="Q2090" s="21" t="str">
        <f>VLOOKUP(tblProductos[[#This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3150</v>
      </c>
      <c r="D2091" s="9" t="s">
        <v>3888</v>
      </c>
      <c r="E2091" s="9"/>
      <c r="F2091" s="9">
        <v>50</v>
      </c>
      <c r="G2091" s="9" t="s">
        <v>3842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3843</v>
      </c>
      <c r="N2091" s="4"/>
      <c r="O2091" s="5"/>
      <c r="P2091" s="10"/>
      <c r="Q2091" s="21" t="str">
        <f>VLOOKUP(tblProductos[[#This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3150</v>
      </c>
      <c r="D2092" s="9" t="s">
        <v>4033</v>
      </c>
      <c r="E2092" s="9"/>
      <c r="F2092" s="9">
        <v>50</v>
      </c>
      <c r="G2092" s="9" t="s">
        <v>3842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3843</v>
      </c>
      <c r="N2092" s="4"/>
      <c r="O2092" s="5"/>
      <c r="P2092" s="10"/>
      <c r="Q2092" s="21" t="str">
        <f>VLOOKUP(tblProductos[[#This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3150</v>
      </c>
      <c r="D2093" s="9" t="s">
        <v>4144</v>
      </c>
      <c r="E2093" s="9"/>
      <c r="F2093" s="9">
        <v>50</v>
      </c>
      <c r="G2093" s="9" t="s">
        <v>3842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3843</v>
      </c>
      <c r="N2093" s="4"/>
      <c r="O2093" s="5"/>
      <c r="P2093" s="10"/>
      <c r="Q2093" s="21" t="str">
        <f>VLOOKUP(tblProductos[[#This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3150</v>
      </c>
      <c r="D2094" s="9" t="s">
        <v>4014</v>
      </c>
      <c r="E2094" s="9"/>
      <c r="F2094" s="9">
        <v>50</v>
      </c>
      <c r="G2094" s="9" t="s">
        <v>3842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3843</v>
      </c>
      <c r="N2094" s="4"/>
      <c r="O2094" s="5"/>
      <c r="P2094" s="10"/>
      <c r="Q2094" s="21" t="str">
        <f>VLOOKUP(tblProductos[[#This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3150</v>
      </c>
      <c r="D2095" s="9" t="s">
        <v>4008</v>
      </c>
      <c r="E2095" s="9"/>
      <c r="F2095" s="9">
        <v>50</v>
      </c>
      <c r="G2095" s="9" t="s">
        <v>3842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3843</v>
      </c>
      <c r="N2095" s="4"/>
      <c r="O2095" s="5"/>
      <c r="P2095" s="10"/>
      <c r="Q2095" s="21" t="str">
        <f>VLOOKUP(tblProductos[[#This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3150</v>
      </c>
      <c r="D2096" s="9" t="s">
        <v>4020</v>
      </c>
      <c r="E2096" s="9"/>
      <c r="F2096" s="9">
        <v>50</v>
      </c>
      <c r="G2096" s="9" t="s">
        <v>3842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3843</v>
      </c>
      <c r="N2096" s="4"/>
      <c r="O2096" s="5"/>
      <c r="P2096" s="10"/>
      <c r="Q2096" s="21" t="str">
        <f>VLOOKUP(tblProductos[[#This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3150</v>
      </c>
      <c r="D2097" s="9" t="s">
        <v>4016</v>
      </c>
      <c r="E2097" s="9"/>
      <c r="F2097" s="9">
        <v>50</v>
      </c>
      <c r="G2097" s="9" t="s">
        <v>3842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3843</v>
      </c>
      <c r="N2097" s="4"/>
      <c r="O2097" s="5"/>
      <c r="P2097" s="10"/>
      <c r="Q2097" s="21" t="str">
        <f>VLOOKUP(tblProductos[[#This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3150</v>
      </c>
      <c r="D2098" s="9" t="s">
        <v>4145</v>
      </c>
      <c r="E2098" s="9"/>
      <c r="F2098" s="9">
        <v>50</v>
      </c>
      <c r="G2098" s="9" t="s">
        <v>3842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3843</v>
      </c>
      <c r="N2098" s="4"/>
      <c r="O2098" s="5"/>
      <c r="P2098" s="10"/>
      <c r="Q2098" s="21" t="str">
        <f>VLOOKUP(tblProductos[[#This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3150</v>
      </c>
      <c r="D2099" s="9" t="s">
        <v>4021</v>
      </c>
      <c r="E2099" s="9"/>
      <c r="F2099" s="9">
        <v>50</v>
      </c>
      <c r="G2099" s="9" t="s">
        <v>3842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3843</v>
      </c>
      <c r="N2099" s="4"/>
      <c r="O2099" s="5"/>
      <c r="P2099" s="10"/>
      <c r="Q2099" s="21" t="str">
        <f>VLOOKUP(tblProductos[[#This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3150</v>
      </c>
      <c r="D2100" s="9" t="s">
        <v>4015</v>
      </c>
      <c r="E2100" s="9"/>
      <c r="F2100" s="9">
        <v>50</v>
      </c>
      <c r="G2100" s="9" t="s">
        <v>3842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3843</v>
      </c>
      <c r="N2100" s="4"/>
      <c r="O2100" s="5"/>
      <c r="P2100" s="10"/>
      <c r="Q2100" s="21" t="str">
        <f>VLOOKUP(tblProductos[[#This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3150</v>
      </c>
      <c r="D2101" s="9" t="s">
        <v>4054</v>
      </c>
      <c r="E2101" s="9"/>
      <c r="F2101" s="9">
        <v>50</v>
      </c>
      <c r="G2101" s="9" t="s">
        <v>3842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3843</v>
      </c>
      <c r="N2101" s="4"/>
      <c r="O2101" s="5"/>
      <c r="P2101" s="10"/>
      <c r="Q2101" s="21" t="str">
        <f>VLOOKUP(tblProductos[[#This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3150</v>
      </c>
      <c r="D2102" s="9" t="s">
        <v>4118</v>
      </c>
      <c r="E2102" s="9"/>
      <c r="F2102" s="9">
        <v>50</v>
      </c>
      <c r="G2102" s="9" t="s">
        <v>3842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3843</v>
      </c>
      <c r="N2102" s="4"/>
      <c r="O2102" s="5"/>
      <c r="P2102" s="10"/>
      <c r="Q2102" s="21" t="str">
        <f>VLOOKUP(tblProductos[[#This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3150</v>
      </c>
      <c r="D2103" s="9" t="s">
        <v>4022</v>
      </c>
      <c r="E2103" s="9"/>
      <c r="F2103" s="9">
        <v>50</v>
      </c>
      <c r="G2103" s="9" t="s">
        <v>3842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3843</v>
      </c>
      <c r="N2103" s="4"/>
      <c r="O2103" s="5"/>
      <c r="P2103" s="10"/>
      <c r="Q2103" s="21" t="str">
        <f>VLOOKUP(tblProductos[[#This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3150</v>
      </c>
      <c r="D2104" s="9" t="s">
        <v>3919</v>
      </c>
      <c r="E2104" s="9"/>
      <c r="F2104" s="9">
        <v>50</v>
      </c>
      <c r="G2104" s="9" t="s">
        <v>3842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3843</v>
      </c>
      <c r="N2104" s="4"/>
      <c r="O2104" s="5"/>
      <c r="P2104" s="10"/>
      <c r="Q2104" s="21" t="str">
        <f>VLOOKUP(tblProductos[[#This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3150</v>
      </c>
      <c r="D2105" s="9" t="s">
        <v>4023</v>
      </c>
      <c r="E2105" s="9"/>
      <c r="F2105" s="9">
        <v>50</v>
      </c>
      <c r="G2105" s="9" t="s">
        <v>3842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3843</v>
      </c>
      <c r="N2105" s="4"/>
      <c r="O2105" s="5"/>
      <c r="P2105" s="10"/>
      <c r="Q2105" s="21" t="str">
        <f>VLOOKUP(tblProductos[[#This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3150</v>
      </c>
      <c r="D2106" s="9" t="s">
        <v>4029</v>
      </c>
      <c r="E2106" s="9"/>
      <c r="F2106" s="9">
        <v>50</v>
      </c>
      <c r="G2106" s="9" t="s">
        <v>3842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3843</v>
      </c>
      <c r="N2106" s="4"/>
      <c r="O2106" s="5"/>
      <c r="P2106" s="10"/>
      <c r="Q2106" s="21" t="str">
        <f>VLOOKUP(tblProductos[[#This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3150</v>
      </c>
      <c r="D2107" s="9" t="s">
        <v>4024</v>
      </c>
      <c r="E2107" s="9"/>
      <c r="F2107" s="9">
        <v>50</v>
      </c>
      <c r="G2107" s="9" t="s">
        <v>3842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3843</v>
      </c>
      <c r="N2107" s="4"/>
      <c r="O2107" s="5"/>
      <c r="P2107" s="10"/>
      <c r="Q2107" s="21" t="str">
        <f>VLOOKUP(tblProductos[[#This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3150</v>
      </c>
      <c r="D2108" s="9" t="s">
        <v>4034</v>
      </c>
      <c r="E2108" s="9"/>
      <c r="F2108" s="9">
        <v>50</v>
      </c>
      <c r="G2108" s="9" t="s">
        <v>3842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3843</v>
      </c>
      <c r="N2108" s="4"/>
      <c r="O2108" s="5"/>
      <c r="P2108" s="10"/>
      <c r="Q2108" s="21" t="str">
        <f>VLOOKUP(tblProductos[[#This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3150</v>
      </c>
      <c r="D2109" s="9" t="s">
        <v>4035</v>
      </c>
      <c r="E2109" s="9"/>
      <c r="F2109" s="9">
        <v>50</v>
      </c>
      <c r="G2109" s="9" t="s">
        <v>3842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3843</v>
      </c>
      <c r="N2109" s="4"/>
      <c r="O2109" s="5"/>
      <c r="P2109" s="10"/>
      <c r="Q2109" s="21" t="str">
        <f>VLOOKUP(tblProductos[[#This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3150</v>
      </c>
      <c r="D2110" s="9" t="s">
        <v>4017</v>
      </c>
      <c r="E2110" s="9"/>
      <c r="F2110" s="9">
        <v>50</v>
      </c>
      <c r="G2110" s="9" t="s">
        <v>3842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3843</v>
      </c>
      <c r="N2110" s="4"/>
      <c r="O2110" s="5"/>
      <c r="P2110" s="10"/>
      <c r="Q2110" s="21" t="str">
        <f>VLOOKUP(tblProductos[[#This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3150</v>
      </c>
      <c r="D2111" s="9" t="s">
        <v>4010</v>
      </c>
      <c r="E2111" s="9"/>
      <c r="F2111" s="9">
        <v>50</v>
      </c>
      <c r="G2111" s="9" t="s">
        <v>3842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3843</v>
      </c>
      <c r="N2111" s="4"/>
      <c r="O2111" s="5"/>
      <c r="P2111" s="10"/>
      <c r="Q2111" s="21" t="str">
        <f>VLOOKUP(tblProductos[[#This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3150</v>
      </c>
      <c r="D2112" s="9" t="s">
        <v>4125</v>
      </c>
      <c r="E2112" s="9"/>
      <c r="F2112" s="9">
        <v>50</v>
      </c>
      <c r="G2112" s="9" t="s">
        <v>3842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3843</v>
      </c>
      <c r="N2112" s="4"/>
      <c r="O2112" s="5"/>
      <c r="P2112" s="10"/>
      <c r="Q2112" s="21" t="str">
        <f>VLOOKUP(tblProductos[[#This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3150</v>
      </c>
      <c r="D2113" s="9" t="s">
        <v>4056</v>
      </c>
      <c r="E2113" s="9"/>
      <c r="F2113" s="9">
        <v>50</v>
      </c>
      <c r="G2113" s="9" t="s">
        <v>3842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3843</v>
      </c>
      <c r="N2113" s="4"/>
      <c r="O2113" s="5"/>
      <c r="P2113" s="10"/>
      <c r="Q2113" s="21" t="str">
        <f>VLOOKUP(tblProductos[[#This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3150</v>
      </c>
      <c r="D2114" s="9" t="s">
        <v>4006</v>
      </c>
      <c r="E2114" s="9"/>
      <c r="F2114" s="9">
        <v>50</v>
      </c>
      <c r="G2114" s="9" t="s">
        <v>3842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3843</v>
      </c>
      <c r="N2114" s="4"/>
      <c r="O2114" s="5"/>
      <c r="P2114" s="10"/>
      <c r="Q2114" s="21" t="str">
        <f>VLOOKUP(tblProductos[[#This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3150</v>
      </c>
      <c r="D2115" s="9" t="s">
        <v>4143</v>
      </c>
      <c r="E2115" s="9"/>
      <c r="F2115" s="9">
        <v>50</v>
      </c>
      <c r="G2115" s="9" t="s">
        <v>3842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3843</v>
      </c>
      <c r="N2115" s="4"/>
      <c r="O2115" s="5"/>
      <c r="P2115" s="10"/>
      <c r="Q2115" s="21" t="str">
        <f>VLOOKUP(tblProductos[[#This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3150</v>
      </c>
      <c r="D2116" s="9" t="s">
        <v>4031</v>
      </c>
      <c r="E2116" s="9"/>
      <c r="F2116" s="9">
        <v>50</v>
      </c>
      <c r="G2116" s="9" t="s">
        <v>3842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3843</v>
      </c>
      <c r="N2116" s="4"/>
      <c r="O2116" s="5"/>
      <c r="P2116" s="10"/>
      <c r="Q2116" s="21" t="str">
        <f>VLOOKUP(tblProductos[[#This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3150</v>
      </c>
      <c r="D2117" s="9" t="s">
        <v>4011</v>
      </c>
      <c r="E2117" s="9"/>
      <c r="F2117" s="9">
        <v>50</v>
      </c>
      <c r="G2117" s="9" t="s">
        <v>3842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3843</v>
      </c>
      <c r="N2117" s="4"/>
      <c r="O2117" s="5"/>
      <c r="P2117" s="10"/>
      <c r="Q2117" s="21" t="str">
        <f>VLOOKUP(tblProductos[[#This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3150</v>
      </c>
      <c r="D2118" s="9" t="s">
        <v>4030</v>
      </c>
      <c r="E2118" s="9"/>
      <c r="F2118" s="9">
        <v>50</v>
      </c>
      <c r="G2118" s="9" t="s">
        <v>3842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3843</v>
      </c>
      <c r="N2118" s="4"/>
      <c r="O2118" s="5"/>
      <c r="P2118" s="10"/>
      <c r="Q2118" s="21" t="str">
        <f>VLOOKUP(tblProductos[[#This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3150</v>
      </c>
      <c r="D2119" s="9" t="s">
        <v>4018</v>
      </c>
      <c r="E2119" s="9"/>
      <c r="F2119" s="9">
        <v>50</v>
      </c>
      <c r="G2119" s="9" t="s">
        <v>3842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3843</v>
      </c>
      <c r="N2119" s="4"/>
      <c r="O2119" s="5"/>
      <c r="P2119" s="10"/>
      <c r="Q2119" s="21" t="str">
        <f>VLOOKUP(tblProductos[[#This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3150</v>
      </c>
      <c r="D2120" s="9" t="s">
        <v>4009</v>
      </c>
      <c r="E2120" s="9"/>
      <c r="F2120" s="9">
        <v>50</v>
      </c>
      <c r="G2120" s="9" t="s">
        <v>3842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3843</v>
      </c>
      <c r="N2120" s="4"/>
      <c r="O2120" s="5"/>
      <c r="P2120" s="10"/>
      <c r="Q2120" s="21" t="str">
        <f>VLOOKUP(tblProductos[[#This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3150</v>
      </c>
      <c r="D2121" s="9" t="s">
        <v>4012</v>
      </c>
      <c r="E2121" s="9"/>
      <c r="F2121" s="9">
        <v>50</v>
      </c>
      <c r="G2121" s="9" t="s">
        <v>3842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3843</v>
      </c>
      <c r="N2121" s="4"/>
      <c r="O2121" s="5"/>
      <c r="P2121" s="10"/>
      <c r="Q2121" s="21" t="str">
        <f>VLOOKUP(tblProductos[[#This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3150</v>
      </c>
      <c r="D2122" s="9" t="s">
        <v>4013</v>
      </c>
      <c r="E2122" s="9"/>
      <c r="F2122" s="9">
        <v>50</v>
      </c>
      <c r="G2122" s="9" t="s">
        <v>3842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3843</v>
      </c>
      <c r="N2122" s="4"/>
      <c r="O2122" s="5"/>
      <c r="P2122" s="10"/>
      <c r="Q2122" s="21" t="str">
        <f>VLOOKUP(tblProductos[[#This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3150</v>
      </c>
      <c r="D2123" s="9" t="s">
        <v>3923</v>
      </c>
      <c r="E2123" s="9"/>
      <c r="F2123" s="9">
        <v>50</v>
      </c>
      <c r="G2123" s="9" t="s">
        <v>3842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3843</v>
      </c>
      <c r="N2123" s="4"/>
      <c r="O2123" s="5"/>
      <c r="P2123" s="10"/>
      <c r="Q2123" s="21" t="str">
        <f>VLOOKUP(tblProductos[[#This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3150</v>
      </c>
      <c r="D2124" s="9" t="s">
        <v>4019</v>
      </c>
      <c r="E2124" s="9"/>
      <c r="F2124" s="9">
        <v>50</v>
      </c>
      <c r="G2124" s="9" t="s">
        <v>3842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3843</v>
      </c>
      <c r="N2124" s="4"/>
      <c r="O2124" s="5"/>
      <c r="P2124" s="10"/>
      <c r="Q2124" s="21" t="str">
        <f>VLOOKUP(tblProductos[[#This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3150</v>
      </c>
      <c r="D2125" s="9" t="s">
        <v>4032</v>
      </c>
      <c r="E2125" s="9"/>
      <c r="F2125" s="9">
        <v>50</v>
      </c>
      <c r="G2125" s="9" t="s">
        <v>3842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3843</v>
      </c>
      <c r="N2125" s="4"/>
      <c r="O2125" s="5"/>
      <c r="P2125" s="10"/>
      <c r="Q2125" s="21" t="str">
        <f>VLOOKUP(tblProductos[[#This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3150</v>
      </c>
      <c r="D2126" s="9" t="s">
        <v>4007</v>
      </c>
      <c r="E2126" s="9"/>
      <c r="F2126" s="9">
        <v>50</v>
      </c>
      <c r="G2126" s="9" t="s">
        <v>3842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3843</v>
      </c>
      <c r="N2126" s="4"/>
      <c r="O2126" s="5"/>
      <c r="P2126" s="10"/>
      <c r="Q2126" s="21" t="str">
        <f>VLOOKUP(tblProductos[[#This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3150</v>
      </c>
      <c r="D2127" s="9" t="s">
        <v>3888</v>
      </c>
      <c r="E2127" s="9"/>
      <c r="F2127" s="9">
        <v>50</v>
      </c>
      <c r="G2127" s="9" t="s">
        <v>3842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3843</v>
      </c>
      <c r="N2127" s="4"/>
      <c r="O2127" s="5"/>
      <c r="P2127" s="10"/>
      <c r="Q2127" s="21" t="str">
        <f>VLOOKUP(tblProductos[[#This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3150</v>
      </c>
      <c r="D2128" s="9" t="s">
        <v>4033</v>
      </c>
      <c r="E2128" s="9"/>
      <c r="F2128" s="9">
        <v>50</v>
      </c>
      <c r="G2128" s="9" t="s">
        <v>3842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3843</v>
      </c>
      <c r="N2128" s="4"/>
      <c r="O2128" s="5"/>
      <c r="P2128" s="10"/>
      <c r="Q2128" s="21" t="str">
        <f>VLOOKUP(tblProductos[[#This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3150</v>
      </c>
      <c r="D2129" s="9" t="s">
        <v>4144</v>
      </c>
      <c r="E2129" s="9"/>
      <c r="F2129" s="9">
        <v>50</v>
      </c>
      <c r="G2129" s="9" t="s">
        <v>3842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3843</v>
      </c>
      <c r="N2129" s="4"/>
      <c r="O2129" s="5"/>
      <c r="P2129" s="10"/>
      <c r="Q2129" s="21" t="str">
        <f>VLOOKUP(tblProductos[[#This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3150</v>
      </c>
      <c r="D2130" s="9" t="s">
        <v>4014</v>
      </c>
      <c r="E2130" s="9"/>
      <c r="F2130" s="9">
        <v>50</v>
      </c>
      <c r="G2130" s="9" t="s">
        <v>3842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3843</v>
      </c>
      <c r="N2130" s="4"/>
      <c r="O2130" s="5"/>
      <c r="P2130" s="10"/>
      <c r="Q2130" s="21" t="str">
        <f>VLOOKUP(tblProductos[[#This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3150</v>
      </c>
      <c r="D2131" s="9" t="s">
        <v>4008</v>
      </c>
      <c r="E2131" s="9"/>
      <c r="F2131" s="9">
        <v>50</v>
      </c>
      <c r="G2131" s="9" t="s">
        <v>3842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3843</v>
      </c>
      <c r="N2131" s="4"/>
      <c r="O2131" s="5"/>
      <c r="P2131" s="10"/>
      <c r="Q2131" s="21" t="str">
        <f>VLOOKUP(tblProductos[[#This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3150</v>
      </c>
      <c r="D2132" s="9" t="s">
        <v>4020</v>
      </c>
      <c r="E2132" s="9"/>
      <c r="F2132" s="9">
        <v>50</v>
      </c>
      <c r="G2132" s="9" t="s">
        <v>3842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3843</v>
      </c>
      <c r="N2132" s="4"/>
      <c r="O2132" s="5"/>
      <c r="P2132" s="10"/>
      <c r="Q2132" s="21" t="str">
        <f>VLOOKUP(tblProductos[[#This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3150</v>
      </c>
      <c r="D2133" s="9" t="s">
        <v>4016</v>
      </c>
      <c r="E2133" s="9"/>
      <c r="F2133" s="9">
        <v>50</v>
      </c>
      <c r="G2133" s="9" t="s">
        <v>3842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3843</v>
      </c>
      <c r="N2133" s="4"/>
      <c r="O2133" s="5"/>
      <c r="P2133" s="10"/>
      <c r="Q2133" s="21" t="str">
        <f>VLOOKUP(tblProductos[[#This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3150</v>
      </c>
      <c r="D2134" s="9" t="s">
        <v>4145</v>
      </c>
      <c r="E2134" s="9"/>
      <c r="F2134" s="9">
        <v>50</v>
      </c>
      <c r="G2134" s="9" t="s">
        <v>3842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3843</v>
      </c>
      <c r="N2134" s="4"/>
      <c r="O2134" s="5"/>
      <c r="P2134" s="10"/>
      <c r="Q2134" s="21" t="str">
        <f>VLOOKUP(tblProductos[[#This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3150</v>
      </c>
      <c r="D2135" s="9" t="s">
        <v>4021</v>
      </c>
      <c r="E2135" s="9"/>
      <c r="F2135" s="9">
        <v>50</v>
      </c>
      <c r="G2135" s="9" t="s">
        <v>3842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3843</v>
      </c>
      <c r="N2135" s="4"/>
      <c r="O2135" s="5"/>
      <c r="P2135" s="10"/>
      <c r="Q2135" s="21" t="str">
        <f>VLOOKUP(tblProductos[[#This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3150</v>
      </c>
      <c r="D2136" s="9" t="s">
        <v>4015</v>
      </c>
      <c r="E2136" s="9"/>
      <c r="F2136" s="9">
        <v>50</v>
      </c>
      <c r="G2136" s="9" t="s">
        <v>3842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3843</v>
      </c>
      <c r="N2136" s="4"/>
      <c r="O2136" s="5"/>
      <c r="P2136" s="10"/>
      <c r="Q2136" s="21" t="str">
        <f>VLOOKUP(tblProductos[[#This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3150</v>
      </c>
      <c r="D2137" s="9" t="s">
        <v>4054</v>
      </c>
      <c r="E2137" s="9"/>
      <c r="F2137" s="9">
        <v>50</v>
      </c>
      <c r="G2137" s="9" t="s">
        <v>3842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3843</v>
      </c>
      <c r="N2137" s="4"/>
      <c r="O2137" s="5"/>
      <c r="P2137" s="10"/>
      <c r="Q2137" s="21" t="str">
        <f>VLOOKUP(tblProductos[[#This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3150</v>
      </c>
      <c r="D2138" s="9" t="s">
        <v>4118</v>
      </c>
      <c r="E2138" s="9"/>
      <c r="F2138" s="9">
        <v>50</v>
      </c>
      <c r="G2138" s="9" t="s">
        <v>3842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3843</v>
      </c>
      <c r="N2138" s="4"/>
      <c r="O2138" s="5"/>
      <c r="P2138" s="10"/>
      <c r="Q2138" s="21" t="str">
        <f>VLOOKUP(tblProductos[[#This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3150</v>
      </c>
      <c r="D2139" s="9" t="s">
        <v>4022</v>
      </c>
      <c r="E2139" s="9"/>
      <c r="F2139" s="9">
        <v>50</v>
      </c>
      <c r="G2139" s="9" t="s">
        <v>3842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3843</v>
      </c>
      <c r="N2139" s="4"/>
      <c r="O2139" s="5"/>
      <c r="P2139" s="10"/>
      <c r="Q2139" s="21" t="str">
        <f>VLOOKUP(tblProductos[[#This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3150</v>
      </c>
      <c r="D2140" s="9" t="s">
        <v>3919</v>
      </c>
      <c r="E2140" s="9"/>
      <c r="F2140" s="9">
        <v>50</v>
      </c>
      <c r="G2140" s="9" t="s">
        <v>3842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3843</v>
      </c>
      <c r="N2140" s="4"/>
      <c r="O2140" s="5"/>
      <c r="P2140" s="10"/>
      <c r="Q2140" s="21" t="str">
        <f>VLOOKUP(tblProductos[[#This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3150</v>
      </c>
      <c r="D2141" s="9" t="s">
        <v>4023</v>
      </c>
      <c r="E2141" s="9"/>
      <c r="F2141" s="9">
        <v>50</v>
      </c>
      <c r="G2141" s="9" t="s">
        <v>3842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3843</v>
      </c>
      <c r="N2141" s="4"/>
      <c r="O2141" s="5"/>
      <c r="P2141" s="10"/>
      <c r="Q2141" s="21" t="str">
        <f>VLOOKUP(tblProductos[[#This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3150</v>
      </c>
      <c r="D2142" s="9" t="s">
        <v>4029</v>
      </c>
      <c r="E2142" s="9"/>
      <c r="F2142" s="9">
        <v>50</v>
      </c>
      <c r="G2142" s="9" t="s">
        <v>3842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3843</v>
      </c>
      <c r="N2142" s="4"/>
      <c r="O2142" s="5"/>
      <c r="P2142" s="10"/>
      <c r="Q2142" s="21" t="str">
        <f>VLOOKUP(tblProductos[[#This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3150</v>
      </c>
      <c r="D2143" s="9" t="s">
        <v>4024</v>
      </c>
      <c r="E2143" s="9"/>
      <c r="F2143" s="9">
        <v>50</v>
      </c>
      <c r="G2143" s="9" t="s">
        <v>3842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3843</v>
      </c>
      <c r="N2143" s="4"/>
      <c r="O2143" s="5"/>
      <c r="P2143" s="10"/>
      <c r="Q2143" s="21" t="str">
        <f>VLOOKUP(tblProductos[[#This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3150</v>
      </c>
      <c r="D2144" s="9" t="s">
        <v>4034</v>
      </c>
      <c r="E2144" s="9"/>
      <c r="F2144" s="9">
        <v>50</v>
      </c>
      <c r="G2144" s="9" t="s">
        <v>3842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3843</v>
      </c>
      <c r="N2144" s="4"/>
      <c r="O2144" s="5"/>
      <c r="P2144" s="10"/>
      <c r="Q2144" s="21" t="str">
        <f>VLOOKUP(tblProductos[[#This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3150</v>
      </c>
      <c r="D2145" s="9" t="s">
        <v>4035</v>
      </c>
      <c r="E2145" s="9"/>
      <c r="F2145" s="9">
        <v>50</v>
      </c>
      <c r="G2145" s="9" t="s">
        <v>3842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3843</v>
      </c>
      <c r="N2145" s="4"/>
      <c r="O2145" s="5"/>
      <c r="P2145" s="10"/>
      <c r="Q2145" s="21" t="str">
        <f>VLOOKUP(tblProductos[[#This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3150</v>
      </c>
      <c r="D2146" s="9" t="s">
        <v>4017</v>
      </c>
      <c r="E2146" s="9"/>
      <c r="F2146" s="9">
        <v>50</v>
      </c>
      <c r="G2146" s="9" t="s">
        <v>3842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3843</v>
      </c>
      <c r="N2146" s="4"/>
      <c r="O2146" s="5"/>
      <c r="P2146" s="10"/>
      <c r="Q2146" s="21" t="str">
        <f>VLOOKUP(tblProductos[[#This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3150</v>
      </c>
      <c r="D2147" s="9" t="s">
        <v>4010</v>
      </c>
      <c r="E2147" s="9"/>
      <c r="F2147" s="9">
        <v>50</v>
      </c>
      <c r="G2147" s="9" t="s">
        <v>3842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3843</v>
      </c>
      <c r="N2147" s="4"/>
      <c r="O2147" s="5"/>
      <c r="P2147" s="10"/>
      <c r="Q2147" s="21" t="str">
        <f>VLOOKUP(tblProductos[[#This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3150</v>
      </c>
      <c r="D2148" s="9" t="s">
        <v>4125</v>
      </c>
      <c r="E2148" s="9"/>
      <c r="F2148" s="9">
        <v>50</v>
      </c>
      <c r="G2148" s="9" t="s">
        <v>3842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3843</v>
      </c>
      <c r="N2148" s="4"/>
      <c r="O2148" s="5"/>
      <c r="P2148" s="10"/>
      <c r="Q2148" s="21" t="str">
        <f>VLOOKUP(tblProductos[[#This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3150</v>
      </c>
      <c r="D2149" s="9" t="s">
        <v>4056</v>
      </c>
      <c r="E2149" s="9"/>
      <c r="F2149" s="9">
        <v>50</v>
      </c>
      <c r="G2149" s="9" t="s">
        <v>3842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3843</v>
      </c>
      <c r="N2149" s="4"/>
      <c r="O2149" s="5"/>
      <c r="P2149" s="10"/>
      <c r="Q2149" s="21" t="str">
        <f>VLOOKUP(tblProductos[[#This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3150</v>
      </c>
      <c r="D2150" s="9" t="s">
        <v>4006</v>
      </c>
      <c r="E2150" s="9"/>
      <c r="F2150" s="9">
        <v>50</v>
      </c>
      <c r="G2150" s="9" t="s">
        <v>3842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3843</v>
      </c>
      <c r="N2150" s="4"/>
      <c r="O2150" s="5"/>
      <c r="P2150" s="10"/>
      <c r="Q2150" s="21" t="str">
        <f>VLOOKUP(tblProductos[[#This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3150</v>
      </c>
      <c r="D2151" s="9" t="s">
        <v>4143</v>
      </c>
      <c r="E2151" s="9"/>
      <c r="F2151" s="9">
        <v>50</v>
      </c>
      <c r="G2151" s="9" t="s">
        <v>3842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3843</v>
      </c>
      <c r="N2151" s="4"/>
      <c r="O2151" s="5"/>
      <c r="P2151" s="10"/>
      <c r="Q2151" s="21" t="str">
        <f>VLOOKUP(tblProductos[[#This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3150</v>
      </c>
      <c r="D2152" s="9" t="s">
        <v>4031</v>
      </c>
      <c r="E2152" s="9"/>
      <c r="F2152" s="9">
        <v>50</v>
      </c>
      <c r="G2152" s="9" t="s">
        <v>3842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3843</v>
      </c>
      <c r="N2152" s="4"/>
      <c r="O2152" s="5"/>
      <c r="P2152" s="10"/>
      <c r="Q2152" s="21" t="str">
        <f>VLOOKUP(tblProductos[[#This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3150</v>
      </c>
      <c r="D2153" s="9" t="s">
        <v>4011</v>
      </c>
      <c r="E2153" s="9"/>
      <c r="F2153" s="9">
        <v>50</v>
      </c>
      <c r="G2153" s="9" t="s">
        <v>3842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3843</v>
      </c>
      <c r="N2153" s="4"/>
      <c r="O2153" s="5"/>
      <c r="P2153" s="10"/>
      <c r="Q2153" s="21" t="str">
        <f>VLOOKUP(tblProductos[[#This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3150</v>
      </c>
      <c r="D2154" s="9" t="s">
        <v>4030</v>
      </c>
      <c r="E2154" s="9"/>
      <c r="F2154" s="9">
        <v>50</v>
      </c>
      <c r="G2154" s="9" t="s">
        <v>3842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3843</v>
      </c>
      <c r="N2154" s="4"/>
      <c r="O2154" s="5"/>
      <c r="P2154" s="10"/>
      <c r="Q2154" s="21" t="str">
        <f>VLOOKUP(tblProductos[[#This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3150</v>
      </c>
      <c r="D2155" s="9" t="s">
        <v>4018</v>
      </c>
      <c r="E2155" s="9"/>
      <c r="F2155" s="9">
        <v>50</v>
      </c>
      <c r="G2155" s="9" t="s">
        <v>3842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3843</v>
      </c>
      <c r="N2155" s="4"/>
      <c r="O2155" s="5"/>
      <c r="P2155" s="10"/>
      <c r="Q2155" s="21" t="str">
        <f>VLOOKUP(tblProductos[[#This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3150</v>
      </c>
      <c r="D2156" s="9" t="s">
        <v>4009</v>
      </c>
      <c r="E2156" s="9"/>
      <c r="F2156" s="9">
        <v>50</v>
      </c>
      <c r="G2156" s="9" t="s">
        <v>3842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3843</v>
      </c>
      <c r="N2156" s="4"/>
      <c r="O2156" s="5"/>
      <c r="P2156" s="10"/>
      <c r="Q2156" s="21" t="str">
        <f>VLOOKUP(tblProductos[[#This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3150</v>
      </c>
      <c r="D2157" s="9" t="s">
        <v>4012</v>
      </c>
      <c r="E2157" s="9"/>
      <c r="F2157" s="9">
        <v>50</v>
      </c>
      <c r="G2157" s="9" t="s">
        <v>3842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3843</v>
      </c>
      <c r="N2157" s="4"/>
      <c r="O2157" s="5"/>
      <c r="P2157" s="10"/>
      <c r="Q2157" s="21" t="str">
        <f>VLOOKUP(tblProductos[[#This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3150</v>
      </c>
      <c r="D2158" s="9" t="s">
        <v>4013</v>
      </c>
      <c r="E2158" s="9"/>
      <c r="F2158" s="9">
        <v>50</v>
      </c>
      <c r="G2158" s="9" t="s">
        <v>3842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3843</v>
      </c>
      <c r="N2158" s="4"/>
      <c r="O2158" s="5"/>
      <c r="P2158" s="10"/>
      <c r="Q2158" s="21" t="str">
        <f>VLOOKUP(tblProductos[[#This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3150</v>
      </c>
      <c r="D2159" s="9" t="s">
        <v>3923</v>
      </c>
      <c r="E2159" s="9"/>
      <c r="F2159" s="9">
        <v>50</v>
      </c>
      <c r="G2159" s="9" t="s">
        <v>3842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3843</v>
      </c>
      <c r="N2159" s="4"/>
      <c r="O2159" s="5"/>
      <c r="P2159" s="10"/>
      <c r="Q2159" s="21" t="str">
        <f>VLOOKUP(tblProductos[[#This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3150</v>
      </c>
      <c r="D2160" s="9" t="s">
        <v>4019</v>
      </c>
      <c r="E2160" s="9"/>
      <c r="F2160" s="9">
        <v>50</v>
      </c>
      <c r="G2160" s="9" t="s">
        <v>3842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3843</v>
      </c>
      <c r="N2160" s="4"/>
      <c r="O2160" s="5"/>
      <c r="P2160" s="10"/>
      <c r="Q2160" s="21" t="str">
        <f>VLOOKUP(tblProductos[[#This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3150</v>
      </c>
      <c r="D2161" s="9" t="s">
        <v>4032</v>
      </c>
      <c r="E2161" s="9"/>
      <c r="F2161" s="9">
        <v>50</v>
      </c>
      <c r="G2161" s="9" t="s">
        <v>3842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3843</v>
      </c>
      <c r="N2161" s="4"/>
      <c r="O2161" s="5"/>
      <c r="P2161" s="10"/>
      <c r="Q2161" s="21" t="str">
        <f>VLOOKUP(tblProductos[[#This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3150</v>
      </c>
      <c r="D2162" s="9" t="s">
        <v>4007</v>
      </c>
      <c r="E2162" s="9"/>
      <c r="F2162" s="9">
        <v>50</v>
      </c>
      <c r="G2162" s="9" t="s">
        <v>3842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3843</v>
      </c>
      <c r="N2162" s="4"/>
      <c r="O2162" s="5"/>
      <c r="P2162" s="10"/>
      <c r="Q2162" s="21" t="str">
        <f>VLOOKUP(tblProductos[[#This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3150</v>
      </c>
      <c r="D2163" s="9" t="s">
        <v>3888</v>
      </c>
      <c r="E2163" s="9"/>
      <c r="F2163" s="9">
        <v>50</v>
      </c>
      <c r="G2163" s="9" t="s">
        <v>3842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3843</v>
      </c>
      <c r="N2163" s="4"/>
      <c r="O2163" s="5"/>
      <c r="P2163" s="10"/>
      <c r="Q2163" s="21" t="str">
        <f>VLOOKUP(tblProductos[[#This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3150</v>
      </c>
      <c r="D2164" s="9" t="s">
        <v>4033</v>
      </c>
      <c r="E2164" s="9"/>
      <c r="F2164" s="9">
        <v>50</v>
      </c>
      <c r="G2164" s="9" t="s">
        <v>3842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3843</v>
      </c>
      <c r="N2164" s="4"/>
      <c r="O2164" s="5"/>
      <c r="P2164" s="10"/>
      <c r="Q2164" s="21" t="str">
        <f>VLOOKUP(tblProductos[[#This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3150</v>
      </c>
      <c r="D2165" s="9" t="s">
        <v>4144</v>
      </c>
      <c r="E2165" s="9"/>
      <c r="F2165" s="9">
        <v>50</v>
      </c>
      <c r="G2165" s="9" t="s">
        <v>3842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3843</v>
      </c>
      <c r="N2165" s="4"/>
      <c r="O2165" s="5"/>
      <c r="P2165" s="10"/>
      <c r="Q2165" s="21" t="str">
        <f>VLOOKUP(tblProductos[[#This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3150</v>
      </c>
      <c r="D2166" s="9" t="s">
        <v>4014</v>
      </c>
      <c r="E2166" s="9"/>
      <c r="F2166" s="9">
        <v>50</v>
      </c>
      <c r="G2166" s="9" t="s">
        <v>3842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3843</v>
      </c>
      <c r="N2166" s="4"/>
      <c r="O2166" s="5"/>
      <c r="P2166" s="10"/>
      <c r="Q2166" s="21" t="str">
        <f>VLOOKUP(tblProductos[[#This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3150</v>
      </c>
      <c r="D2167" s="9" t="s">
        <v>4008</v>
      </c>
      <c r="E2167" s="9"/>
      <c r="F2167" s="9">
        <v>50</v>
      </c>
      <c r="G2167" s="9" t="s">
        <v>3842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3843</v>
      </c>
      <c r="N2167" s="4"/>
      <c r="O2167" s="5"/>
      <c r="P2167" s="10"/>
      <c r="Q2167" s="21" t="str">
        <f>VLOOKUP(tblProductos[[#This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3150</v>
      </c>
      <c r="D2168" s="9" t="s">
        <v>4020</v>
      </c>
      <c r="E2168" s="9"/>
      <c r="F2168" s="9">
        <v>50</v>
      </c>
      <c r="G2168" s="9" t="s">
        <v>3842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3843</v>
      </c>
      <c r="N2168" s="4"/>
      <c r="O2168" s="5"/>
      <c r="P2168" s="10"/>
      <c r="Q2168" s="21" t="str">
        <f>VLOOKUP(tblProductos[[#This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3150</v>
      </c>
      <c r="D2169" s="9" t="s">
        <v>4016</v>
      </c>
      <c r="E2169" s="9"/>
      <c r="F2169" s="9">
        <v>50</v>
      </c>
      <c r="G2169" s="9" t="s">
        <v>3842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3843</v>
      </c>
      <c r="N2169" s="4"/>
      <c r="O2169" s="5"/>
      <c r="P2169" s="10"/>
      <c r="Q2169" s="21" t="str">
        <f>VLOOKUP(tblProductos[[#This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3150</v>
      </c>
      <c r="D2170" s="9" t="s">
        <v>4145</v>
      </c>
      <c r="E2170" s="9"/>
      <c r="F2170" s="9">
        <v>50</v>
      </c>
      <c r="G2170" s="9" t="s">
        <v>3842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3843</v>
      </c>
      <c r="N2170" s="4"/>
      <c r="O2170" s="5"/>
      <c r="P2170" s="10"/>
      <c r="Q2170" s="21" t="str">
        <f>VLOOKUP(tblProductos[[#This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3150</v>
      </c>
      <c r="D2171" s="9" t="s">
        <v>4021</v>
      </c>
      <c r="E2171" s="9"/>
      <c r="F2171" s="9">
        <v>50</v>
      </c>
      <c r="G2171" s="9" t="s">
        <v>3842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3843</v>
      </c>
      <c r="N2171" s="4"/>
      <c r="O2171" s="5">
        <v>5</v>
      </c>
      <c r="P2171" s="10"/>
      <c r="Q2171" s="21" t="str">
        <f>VLOOKUP(tblProductos[[#This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3150</v>
      </c>
      <c r="D2172" s="9" t="s">
        <v>4015</v>
      </c>
      <c r="E2172" s="9"/>
      <c r="F2172" s="9">
        <v>50</v>
      </c>
      <c r="G2172" s="9" t="s">
        <v>3842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3843</v>
      </c>
      <c r="N2172" s="4"/>
      <c r="O2172" s="5"/>
      <c r="P2172" s="10"/>
      <c r="Q2172" s="21" t="str">
        <f>VLOOKUP(tblProductos[[#This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3150</v>
      </c>
      <c r="D2173" s="9" t="s">
        <v>4054</v>
      </c>
      <c r="E2173" s="9"/>
      <c r="F2173" s="9">
        <v>50</v>
      </c>
      <c r="G2173" s="9" t="s">
        <v>3842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3843</v>
      </c>
      <c r="N2173" s="4"/>
      <c r="O2173" s="5"/>
      <c r="P2173" s="10"/>
      <c r="Q2173" s="21" t="str">
        <f>VLOOKUP(tblProductos[[#This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3150</v>
      </c>
      <c r="D2174" s="9" t="s">
        <v>4118</v>
      </c>
      <c r="E2174" s="9"/>
      <c r="F2174" s="9">
        <v>50</v>
      </c>
      <c r="G2174" s="9" t="s">
        <v>3842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3843</v>
      </c>
      <c r="N2174" s="4"/>
      <c r="O2174" s="5"/>
      <c r="P2174" s="10"/>
      <c r="Q2174" s="21" t="str">
        <f>VLOOKUP(tblProductos[[#This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3150</v>
      </c>
      <c r="D2175" s="9" t="s">
        <v>4022</v>
      </c>
      <c r="E2175" s="9"/>
      <c r="F2175" s="9">
        <v>50</v>
      </c>
      <c r="G2175" s="9" t="s">
        <v>3842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3843</v>
      </c>
      <c r="N2175" s="4"/>
      <c r="O2175" s="5"/>
      <c r="P2175" s="10"/>
      <c r="Q2175" s="21" t="str">
        <f>VLOOKUP(tblProductos[[#This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3150</v>
      </c>
      <c r="D2176" s="9" t="s">
        <v>3919</v>
      </c>
      <c r="E2176" s="9"/>
      <c r="F2176" s="9">
        <v>50</v>
      </c>
      <c r="G2176" s="9" t="s">
        <v>3842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3843</v>
      </c>
      <c r="N2176" s="4"/>
      <c r="O2176" s="5"/>
      <c r="P2176" s="10"/>
      <c r="Q2176" s="21" t="str">
        <f>VLOOKUP(tblProductos[[#This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3150</v>
      </c>
      <c r="D2177" s="9" t="s">
        <v>4023</v>
      </c>
      <c r="E2177" s="9"/>
      <c r="F2177" s="9">
        <v>50</v>
      </c>
      <c r="G2177" s="9" t="s">
        <v>3842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3843</v>
      </c>
      <c r="N2177" s="4"/>
      <c r="O2177" s="5"/>
      <c r="P2177" s="10"/>
      <c r="Q2177" s="21" t="str">
        <f>VLOOKUP(tblProductos[[#This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3150</v>
      </c>
      <c r="D2178" s="9" t="s">
        <v>4029</v>
      </c>
      <c r="E2178" s="9"/>
      <c r="F2178" s="9">
        <v>50</v>
      </c>
      <c r="G2178" s="9" t="s">
        <v>3842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3843</v>
      </c>
      <c r="N2178" s="4"/>
      <c r="O2178" s="5">
        <v>2</v>
      </c>
      <c r="P2178" s="10"/>
      <c r="Q2178" s="21" t="str">
        <f>VLOOKUP(tblProductos[[#This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3150</v>
      </c>
      <c r="D2179" s="9" t="s">
        <v>4024</v>
      </c>
      <c r="E2179" s="9"/>
      <c r="F2179" s="9">
        <v>50</v>
      </c>
      <c r="G2179" s="9" t="s">
        <v>3842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3843</v>
      </c>
      <c r="N2179" s="4"/>
      <c r="O2179" s="5"/>
      <c r="P2179" s="10"/>
      <c r="Q2179" s="21" t="str">
        <f>VLOOKUP(tblProductos[[#This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3150</v>
      </c>
      <c r="D2180" s="9" t="s">
        <v>4034</v>
      </c>
      <c r="E2180" s="9"/>
      <c r="F2180" s="9">
        <v>50</v>
      </c>
      <c r="G2180" s="9" t="s">
        <v>3842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3843</v>
      </c>
      <c r="N2180" s="4"/>
      <c r="O2180" s="5"/>
      <c r="P2180" s="10"/>
      <c r="Q2180" s="21" t="str">
        <f>VLOOKUP(tblProductos[[#This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3150</v>
      </c>
      <c r="D2181" s="9" t="s">
        <v>4035</v>
      </c>
      <c r="E2181" s="9"/>
      <c r="F2181" s="9">
        <v>50</v>
      </c>
      <c r="G2181" s="9" t="s">
        <v>3842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3843</v>
      </c>
      <c r="N2181" s="4"/>
      <c r="O2181" s="5"/>
      <c r="P2181" s="10"/>
      <c r="Q2181" s="21" t="str">
        <f>VLOOKUP(tblProductos[[#This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3900</v>
      </c>
      <c r="D2182" s="9" t="s">
        <v>4017</v>
      </c>
      <c r="E2182" s="9" t="s">
        <v>3901</v>
      </c>
      <c r="F2182" s="9">
        <v>1000</v>
      </c>
      <c r="G2182" s="9" t="s">
        <v>3873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3895</v>
      </c>
      <c r="N2182" s="4"/>
      <c r="O2182" s="5"/>
      <c r="P2182" s="10"/>
      <c r="Q2182" s="21" t="str">
        <f>VLOOKUP(tblProductos[[#This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3900</v>
      </c>
      <c r="D2183" s="9" t="s">
        <v>4010</v>
      </c>
      <c r="E2183" s="9" t="s">
        <v>3901</v>
      </c>
      <c r="F2183" s="9">
        <v>1000</v>
      </c>
      <c r="G2183" s="9" t="s">
        <v>3873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3895</v>
      </c>
      <c r="N2183" s="4"/>
      <c r="O2183" s="5"/>
      <c r="P2183" s="10"/>
      <c r="Q2183" s="21" t="str">
        <f>VLOOKUP(tblProductos[[#This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3900</v>
      </c>
      <c r="D2184" s="9" t="s">
        <v>4125</v>
      </c>
      <c r="E2184" s="9" t="s">
        <v>3901</v>
      </c>
      <c r="F2184" s="9">
        <v>1000</v>
      </c>
      <c r="G2184" s="9" t="s">
        <v>3873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3895</v>
      </c>
      <c r="N2184" s="4"/>
      <c r="O2184" s="5"/>
      <c r="P2184" s="10"/>
      <c r="Q2184" s="21" t="str">
        <f>VLOOKUP(tblProductos[[#This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3900</v>
      </c>
      <c r="D2185" s="9" t="s">
        <v>4056</v>
      </c>
      <c r="E2185" s="9" t="s">
        <v>3901</v>
      </c>
      <c r="F2185" s="9">
        <v>1000</v>
      </c>
      <c r="G2185" s="9" t="s">
        <v>3873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3895</v>
      </c>
      <c r="N2185" s="4"/>
      <c r="O2185" s="5"/>
      <c r="P2185" s="10"/>
      <c r="Q2185" s="21" t="str">
        <f>VLOOKUP(tblProductos[[#This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3900</v>
      </c>
      <c r="D2186" s="9" t="s">
        <v>4143</v>
      </c>
      <c r="E2186" s="9" t="s">
        <v>3901</v>
      </c>
      <c r="F2186" s="9">
        <v>1000</v>
      </c>
      <c r="G2186" s="9" t="s">
        <v>3873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3895</v>
      </c>
      <c r="N2186" s="4"/>
      <c r="O2186" s="5"/>
      <c r="P2186" s="10"/>
      <c r="Q2186" s="21" t="str">
        <f>VLOOKUP(tblProductos[[#This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3900</v>
      </c>
      <c r="D2187" s="9" t="s">
        <v>4031</v>
      </c>
      <c r="E2187" s="9" t="s">
        <v>3901</v>
      </c>
      <c r="F2187" s="9">
        <v>1000</v>
      </c>
      <c r="G2187" s="9" t="s">
        <v>3873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3895</v>
      </c>
      <c r="N2187" s="4"/>
      <c r="O2187" s="5"/>
      <c r="P2187" s="10"/>
      <c r="Q2187" s="21" t="str">
        <f>VLOOKUP(tblProductos[[#This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3900</v>
      </c>
      <c r="D2188" s="9" t="s">
        <v>4018</v>
      </c>
      <c r="E2188" s="9" t="s">
        <v>3901</v>
      </c>
      <c r="F2188" s="9">
        <v>1000</v>
      </c>
      <c r="G2188" s="9" t="s">
        <v>3873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3895</v>
      </c>
      <c r="N2188" s="4"/>
      <c r="O2188" s="5"/>
      <c r="P2188" s="10"/>
      <c r="Q2188" s="21" t="str">
        <f>VLOOKUP(tblProductos[[#This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3900</v>
      </c>
      <c r="D2189" s="9" t="s">
        <v>4012</v>
      </c>
      <c r="E2189" s="9" t="s">
        <v>3901</v>
      </c>
      <c r="F2189" s="9">
        <v>1000</v>
      </c>
      <c r="G2189" s="9" t="s">
        <v>3873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3895</v>
      </c>
      <c r="N2189" s="4"/>
      <c r="O2189" s="5"/>
      <c r="P2189" s="10"/>
      <c r="Q2189" s="21" t="str">
        <f>VLOOKUP(tblProductos[[#This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3900</v>
      </c>
      <c r="D2190" s="9" t="s">
        <v>3923</v>
      </c>
      <c r="E2190" s="9" t="s">
        <v>3901</v>
      </c>
      <c r="F2190" s="9">
        <v>1000</v>
      </c>
      <c r="G2190" s="9" t="s">
        <v>3873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3895</v>
      </c>
      <c r="N2190" s="4"/>
      <c r="O2190" s="5"/>
      <c r="P2190" s="10"/>
      <c r="Q2190" s="21" t="str">
        <f>VLOOKUP(tblProductos[[#This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3900</v>
      </c>
      <c r="D2191" s="9" t="s">
        <v>4019</v>
      </c>
      <c r="E2191" s="9" t="s">
        <v>3901</v>
      </c>
      <c r="F2191" s="9">
        <v>1000</v>
      </c>
      <c r="G2191" s="9" t="s">
        <v>3873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3895</v>
      </c>
      <c r="N2191" s="4"/>
      <c r="O2191" s="5">
        <v>2</v>
      </c>
      <c r="P2191" s="10"/>
      <c r="Q2191" s="21" t="str">
        <f>VLOOKUP(tblProductos[[#This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3900</v>
      </c>
      <c r="D2192" s="9" t="s">
        <v>4032</v>
      </c>
      <c r="E2192" s="9" t="s">
        <v>3901</v>
      </c>
      <c r="F2192" s="9">
        <v>1000</v>
      </c>
      <c r="G2192" s="9" t="s">
        <v>3873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3895</v>
      </c>
      <c r="N2192" s="4"/>
      <c r="O2192" s="5"/>
      <c r="P2192" s="10"/>
      <c r="Q2192" s="21" t="str">
        <f>VLOOKUP(tblProductos[[#This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3900</v>
      </c>
      <c r="D2193" s="9" t="s">
        <v>4144</v>
      </c>
      <c r="E2193" s="9" t="s">
        <v>3901</v>
      </c>
      <c r="F2193" s="9">
        <v>1000</v>
      </c>
      <c r="G2193" s="9" t="s">
        <v>3873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3895</v>
      </c>
      <c r="N2193" s="4"/>
      <c r="O2193" s="5"/>
      <c r="P2193" s="10"/>
      <c r="Q2193" s="21" t="str">
        <f>VLOOKUP(tblProductos[[#This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3900</v>
      </c>
      <c r="D2194" s="9" t="s">
        <v>4014</v>
      </c>
      <c r="E2194" s="9" t="s">
        <v>3901</v>
      </c>
      <c r="F2194" s="9">
        <v>1000</v>
      </c>
      <c r="G2194" s="9" t="s">
        <v>3873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3895</v>
      </c>
      <c r="N2194" s="4"/>
      <c r="O2194" s="5"/>
      <c r="P2194" s="10"/>
      <c r="Q2194" s="21" t="str">
        <f>VLOOKUP(tblProductos[[#This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3900</v>
      </c>
      <c r="D2195" s="9" t="s">
        <v>4020</v>
      </c>
      <c r="E2195" s="9" t="s">
        <v>3901</v>
      </c>
      <c r="F2195" s="9">
        <v>1000</v>
      </c>
      <c r="G2195" s="9" t="s">
        <v>3873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3895</v>
      </c>
      <c r="N2195" s="4"/>
      <c r="O2195" s="5"/>
      <c r="P2195" s="10"/>
      <c r="Q2195" s="21" t="str">
        <f>VLOOKUP(tblProductos[[#This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3900</v>
      </c>
      <c r="D2196" s="9" t="s">
        <v>4016</v>
      </c>
      <c r="E2196" s="9" t="s">
        <v>3901</v>
      </c>
      <c r="F2196" s="9">
        <v>1000</v>
      </c>
      <c r="G2196" s="9" t="s">
        <v>3873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3895</v>
      </c>
      <c r="N2196" s="4"/>
      <c r="O2196" s="5"/>
      <c r="P2196" s="10"/>
      <c r="Q2196" s="21" t="str">
        <f>VLOOKUP(tblProductos[[#This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3900</v>
      </c>
      <c r="D2197" s="9" t="s">
        <v>4145</v>
      </c>
      <c r="E2197" s="9" t="s">
        <v>3901</v>
      </c>
      <c r="F2197" s="9">
        <v>1000</v>
      </c>
      <c r="G2197" s="9" t="s">
        <v>3873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3895</v>
      </c>
      <c r="N2197" s="4"/>
      <c r="O2197" s="5"/>
      <c r="P2197" s="10"/>
      <c r="Q2197" s="21" t="str">
        <f>VLOOKUP(tblProductos[[#This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3900</v>
      </c>
      <c r="D2198" s="9" t="s">
        <v>4015</v>
      </c>
      <c r="E2198" s="9" t="s">
        <v>3901</v>
      </c>
      <c r="F2198" s="9">
        <v>1000</v>
      </c>
      <c r="G2198" s="9" t="s">
        <v>3873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3895</v>
      </c>
      <c r="N2198" s="4"/>
      <c r="O2198" s="5">
        <v>3</v>
      </c>
      <c r="P2198" s="10"/>
      <c r="Q2198" s="21" t="str">
        <f>VLOOKUP(tblProductos[[#This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3900</v>
      </c>
      <c r="D2199" s="9" t="s">
        <v>4054</v>
      </c>
      <c r="E2199" s="9" t="s">
        <v>3901</v>
      </c>
      <c r="F2199" s="9">
        <v>1000</v>
      </c>
      <c r="G2199" s="9" t="s">
        <v>3873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3895</v>
      </c>
      <c r="N2199" s="4"/>
      <c r="O2199" s="5"/>
      <c r="P2199" s="10"/>
      <c r="Q2199" s="21" t="str">
        <f>VLOOKUP(tblProductos[[#This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3900</v>
      </c>
      <c r="D2200" s="9" t="s">
        <v>4118</v>
      </c>
      <c r="E2200" s="9" t="s">
        <v>3901</v>
      </c>
      <c r="F2200" s="9">
        <v>1000</v>
      </c>
      <c r="G2200" s="9" t="s">
        <v>3873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3895</v>
      </c>
      <c r="N2200" s="4"/>
      <c r="O2200" s="5"/>
      <c r="P2200" s="10"/>
      <c r="Q2200" s="21" t="str">
        <f>VLOOKUP(tblProductos[[#This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3900</v>
      </c>
      <c r="D2201" s="9" t="s">
        <v>4022</v>
      </c>
      <c r="E2201" s="9" t="s">
        <v>3901</v>
      </c>
      <c r="F2201" s="9">
        <v>1000</v>
      </c>
      <c r="G2201" s="9" t="s">
        <v>3873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3895</v>
      </c>
      <c r="N2201" s="4"/>
      <c r="O2201" s="5"/>
      <c r="P2201" s="10"/>
      <c r="Q2201" s="21" t="str">
        <f>VLOOKUP(tblProductos[[#This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3900</v>
      </c>
      <c r="D2202" s="9" t="s">
        <v>4023</v>
      </c>
      <c r="E2202" s="9" t="s">
        <v>3901</v>
      </c>
      <c r="F2202" s="9">
        <v>1000</v>
      </c>
      <c r="G2202" s="9" t="s">
        <v>3873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3895</v>
      </c>
      <c r="N2202" s="4"/>
      <c r="O2202" s="5"/>
      <c r="P2202" s="10"/>
      <c r="Q2202" s="21" t="str">
        <f>VLOOKUP(tblProductos[[#This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3900</v>
      </c>
      <c r="D2203" s="9" t="s">
        <v>4024</v>
      </c>
      <c r="E2203" s="9" t="s">
        <v>3901</v>
      </c>
      <c r="F2203" s="9">
        <v>1000</v>
      </c>
      <c r="G2203" s="9" t="s">
        <v>3873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3895</v>
      </c>
      <c r="N2203" s="4"/>
      <c r="O2203" s="5"/>
      <c r="P2203" s="10"/>
      <c r="Q2203" s="21" t="str">
        <f>VLOOKUP(tblProductos[[#This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3900</v>
      </c>
      <c r="D2204" s="9" t="s">
        <v>4034</v>
      </c>
      <c r="E2204" s="9" t="s">
        <v>3901</v>
      </c>
      <c r="F2204" s="9">
        <v>1000</v>
      </c>
      <c r="G2204" s="9" t="s">
        <v>3873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3895</v>
      </c>
      <c r="N2204" s="4"/>
      <c r="O2204" s="5"/>
      <c r="P2204" s="10"/>
      <c r="Q2204" s="21" t="str">
        <f>VLOOKUP(tblProductos[[#This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3900</v>
      </c>
      <c r="D2205" s="9" t="s">
        <v>4035</v>
      </c>
      <c r="E2205" s="9" t="s">
        <v>3901</v>
      </c>
      <c r="F2205" s="9">
        <v>1000</v>
      </c>
      <c r="G2205" s="9" t="s">
        <v>3873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3895</v>
      </c>
      <c r="N2205" s="4"/>
      <c r="O2205" s="5">
        <v>2</v>
      </c>
      <c r="P2205" s="10"/>
      <c r="Q2205" s="21" t="str">
        <f>VLOOKUP(tblProductos[[#This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3902</v>
      </c>
      <c r="D2206" s="9" t="s">
        <v>4017</v>
      </c>
      <c r="E2206" s="9" t="s">
        <v>3897</v>
      </c>
      <c r="F2206" s="9">
        <v>2000</v>
      </c>
      <c r="G2206" s="9" t="s">
        <v>3873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3895</v>
      </c>
      <c r="N2206" s="4"/>
      <c r="O2206" s="5"/>
      <c r="P2206" s="10"/>
      <c r="Q2206" s="21" t="str">
        <f>VLOOKUP(tblProductos[[#This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3902</v>
      </c>
      <c r="D2207" s="9" t="s">
        <v>4010</v>
      </c>
      <c r="E2207" s="9" t="s">
        <v>3897</v>
      </c>
      <c r="F2207" s="9">
        <v>2000</v>
      </c>
      <c r="G2207" s="9" t="s">
        <v>3873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3895</v>
      </c>
      <c r="N2207" s="4"/>
      <c r="O2207" s="5"/>
      <c r="P2207" s="10"/>
      <c r="Q2207" s="21" t="str">
        <f>VLOOKUP(tblProductos[[#This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3902</v>
      </c>
      <c r="D2208" s="9" t="s">
        <v>4125</v>
      </c>
      <c r="E2208" s="9" t="s">
        <v>3897</v>
      </c>
      <c r="F2208" s="9">
        <v>2000</v>
      </c>
      <c r="G2208" s="9" t="s">
        <v>3873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3895</v>
      </c>
      <c r="N2208" s="4"/>
      <c r="O2208" s="5"/>
      <c r="P2208" s="10"/>
      <c r="Q2208" s="21" t="str">
        <f>VLOOKUP(tblProductos[[#This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3902</v>
      </c>
      <c r="D2209" s="9" t="s">
        <v>4056</v>
      </c>
      <c r="E2209" s="9" t="s">
        <v>3897</v>
      </c>
      <c r="F2209" s="9">
        <v>2000</v>
      </c>
      <c r="G2209" s="9" t="s">
        <v>3873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3895</v>
      </c>
      <c r="N2209" s="4"/>
      <c r="O2209" s="5"/>
      <c r="P2209" s="10"/>
      <c r="Q2209" s="21" t="str">
        <f>VLOOKUP(tblProductos[[#This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3902</v>
      </c>
      <c r="D2210" s="9" t="s">
        <v>4006</v>
      </c>
      <c r="E2210" s="9" t="s">
        <v>3897</v>
      </c>
      <c r="F2210" s="9">
        <v>2000</v>
      </c>
      <c r="G2210" s="9" t="s">
        <v>3873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3895</v>
      </c>
      <c r="N2210" s="4"/>
      <c r="O2210" s="5"/>
      <c r="P2210" s="10"/>
      <c r="Q2210" s="21" t="str">
        <f>VLOOKUP(tblProductos[[#This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3902</v>
      </c>
      <c r="D2211" s="9" t="s">
        <v>4143</v>
      </c>
      <c r="E2211" s="9" t="s">
        <v>3897</v>
      </c>
      <c r="F2211" s="9">
        <v>2000</v>
      </c>
      <c r="G2211" s="9" t="s">
        <v>3873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3895</v>
      </c>
      <c r="N2211" s="4"/>
      <c r="O2211" s="5"/>
      <c r="P2211" s="10"/>
      <c r="Q2211" s="21" t="str">
        <f>VLOOKUP(tblProductos[[#This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3902</v>
      </c>
      <c r="D2212" s="9" t="s">
        <v>4031</v>
      </c>
      <c r="E2212" s="9" t="s">
        <v>3897</v>
      </c>
      <c r="F2212" s="9">
        <v>2000</v>
      </c>
      <c r="G2212" s="9" t="s">
        <v>3873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3895</v>
      </c>
      <c r="N2212" s="4"/>
      <c r="O2212" s="5"/>
      <c r="P2212" s="10"/>
      <c r="Q2212" s="21" t="str">
        <f>VLOOKUP(tblProductos[[#This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3902</v>
      </c>
      <c r="D2213" s="9" t="s">
        <v>4030</v>
      </c>
      <c r="E2213" s="9" t="s">
        <v>3897</v>
      </c>
      <c r="F2213" s="9">
        <v>2000</v>
      </c>
      <c r="G2213" s="9" t="s">
        <v>3873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3895</v>
      </c>
      <c r="N2213" s="4"/>
      <c r="O2213" s="5"/>
      <c r="P2213" s="10"/>
      <c r="Q2213" s="21" t="str">
        <f>VLOOKUP(tblProductos[[#This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3902</v>
      </c>
      <c r="D2214" s="9" t="s">
        <v>4018</v>
      </c>
      <c r="E2214" s="9" t="s">
        <v>3897</v>
      </c>
      <c r="F2214" s="9">
        <v>2000</v>
      </c>
      <c r="G2214" s="9" t="s">
        <v>3873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3895</v>
      </c>
      <c r="N2214" s="4"/>
      <c r="O2214" s="5"/>
      <c r="P2214" s="10"/>
      <c r="Q2214" s="21" t="str">
        <f>VLOOKUP(tblProductos[[#This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3902</v>
      </c>
      <c r="D2215" s="9" t="s">
        <v>4009</v>
      </c>
      <c r="E2215" s="9" t="s">
        <v>3897</v>
      </c>
      <c r="F2215" s="9">
        <v>2000</v>
      </c>
      <c r="G2215" s="9" t="s">
        <v>3873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3895</v>
      </c>
      <c r="N2215" s="4"/>
      <c r="O2215" s="5"/>
      <c r="P2215" s="10"/>
      <c r="Q2215" s="21" t="str">
        <f>VLOOKUP(tblProductos[[#This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3902</v>
      </c>
      <c r="D2216" s="9" t="s">
        <v>4012</v>
      </c>
      <c r="E2216" s="9" t="s">
        <v>3897</v>
      </c>
      <c r="F2216" s="9">
        <v>2000</v>
      </c>
      <c r="G2216" s="9" t="s">
        <v>3873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3895</v>
      </c>
      <c r="N2216" s="4"/>
      <c r="O2216" s="5"/>
      <c r="P2216" s="10"/>
      <c r="Q2216" s="21" t="str">
        <f>VLOOKUP(tblProductos[[#This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3902</v>
      </c>
      <c r="D2217" s="9" t="s">
        <v>4013</v>
      </c>
      <c r="E2217" s="9" t="s">
        <v>3897</v>
      </c>
      <c r="F2217" s="9">
        <v>2000</v>
      </c>
      <c r="G2217" s="9" t="s">
        <v>3873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3895</v>
      </c>
      <c r="N2217" s="4"/>
      <c r="O2217" s="5"/>
      <c r="P2217" s="10"/>
      <c r="Q2217" s="21" t="str">
        <f>VLOOKUP(tblProductos[[#This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3902</v>
      </c>
      <c r="D2218" s="9" t="s">
        <v>3923</v>
      </c>
      <c r="E2218" s="9" t="s">
        <v>3897</v>
      </c>
      <c r="F2218" s="9">
        <v>2000</v>
      </c>
      <c r="G2218" s="9" t="s">
        <v>3873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3895</v>
      </c>
      <c r="N2218" s="4"/>
      <c r="O2218" s="5"/>
      <c r="P2218" s="10"/>
      <c r="Q2218" s="21" t="str">
        <f>VLOOKUP(tblProductos[[#This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3902</v>
      </c>
      <c r="D2219" s="9" t="s">
        <v>4019</v>
      </c>
      <c r="E2219" s="9" t="s">
        <v>3897</v>
      </c>
      <c r="F2219" s="9">
        <v>2000</v>
      </c>
      <c r="G2219" s="9" t="s">
        <v>3873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3895</v>
      </c>
      <c r="N2219" s="4"/>
      <c r="O2219" s="5"/>
      <c r="P2219" s="10"/>
      <c r="Q2219" s="21" t="str">
        <f>VLOOKUP(tblProductos[[#This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3902</v>
      </c>
      <c r="D2220" s="9" t="s">
        <v>4032</v>
      </c>
      <c r="E2220" s="9" t="s">
        <v>3897</v>
      </c>
      <c r="F2220" s="9">
        <v>2000</v>
      </c>
      <c r="G2220" s="9" t="s">
        <v>3873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3895</v>
      </c>
      <c r="N2220" s="4"/>
      <c r="O2220" s="5"/>
      <c r="P2220" s="10"/>
      <c r="Q2220" s="21" t="str">
        <f>VLOOKUP(tblProductos[[#This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3902</v>
      </c>
      <c r="D2221" s="9" t="s">
        <v>4007</v>
      </c>
      <c r="E2221" s="9" t="s">
        <v>3897</v>
      </c>
      <c r="F2221" s="9">
        <v>2000</v>
      </c>
      <c r="G2221" s="9" t="s">
        <v>3873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3895</v>
      </c>
      <c r="N2221" s="4"/>
      <c r="O2221" s="5"/>
      <c r="P2221" s="10"/>
      <c r="Q2221" s="21" t="str">
        <f>VLOOKUP(tblProductos[[#This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3902</v>
      </c>
      <c r="D2222" s="9" t="s">
        <v>3888</v>
      </c>
      <c r="E2222" s="9" t="s">
        <v>3897</v>
      </c>
      <c r="F2222" s="9">
        <v>2000</v>
      </c>
      <c r="G2222" s="9" t="s">
        <v>3873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3895</v>
      </c>
      <c r="N2222" s="4"/>
      <c r="O2222" s="5"/>
      <c r="P2222" s="10"/>
      <c r="Q2222" s="21" t="str">
        <f>VLOOKUP(tblProductos[[#This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3902</v>
      </c>
      <c r="D2223" s="9" t="s">
        <v>4033</v>
      </c>
      <c r="E2223" s="9" t="s">
        <v>3897</v>
      </c>
      <c r="F2223" s="9">
        <v>2000</v>
      </c>
      <c r="G2223" s="9" t="s">
        <v>3873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3895</v>
      </c>
      <c r="N2223" s="4"/>
      <c r="O2223" s="5"/>
      <c r="P2223" s="10"/>
      <c r="Q2223" s="21" t="str">
        <f>VLOOKUP(tblProductos[[#This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3902</v>
      </c>
      <c r="D2224" s="9" t="s">
        <v>4144</v>
      </c>
      <c r="E2224" s="9" t="s">
        <v>3897</v>
      </c>
      <c r="F2224" s="9">
        <v>2000</v>
      </c>
      <c r="G2224" s="9" t="s">
        <v>3873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3895</v>
      </c>
      <c r="N2224" s="4"/>
      <c r="O2224" s="5"/>
      <c r="P2224" s="10"/>
      <c r="Q2224" s="21" t="str">
        <f>VLOOKUP(tblProductos[[#This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3902</v>
      </c>
      <c r="D2225" s="9" t="s">
        <v>4014</v>
      </c>
      <c r="E2225" s="9" t="s">
        <v>3897</v>
      </c>
      <c r="F2225" s="9">
        <v>2000</v>
      </c>
      <c r="G2225" s="9" t="s">
        <v>3873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3895</v>
      </c>
      <c r="N2225" s="4"/>
      <c r="O2225" s="5"/>
      <c r="P2225" s="10"/>
      <c r="Q2225" s="21" t="str">
        <f>VLOOKUP(tblProductos[[#This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3902</v>
      </c>
      <c r="D2226" s="9" t="s">
        <v>4008</v>
      </c>
      <c r="E2226" s="9" t="s">
        <v>3897</v>
      </c>
      <c r="F2226" s="9">
        <v>2000</v>
      </c>
      <c r="G2226" s="9" t="s">
        <v>3873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3895</v>
      </c>
      <c r="N2226" s="4"/>
      <c r="O2226" s="5"/>
      <c r="P2226" s="10"/>
      <c r="Q2226" s="21" t="str">
        <f>VLOOKUP(tblProductos[[#This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3902</v>
      </c>
      <c r="D2227" s="9" t="s">
        <v>4020</v>
      </c>
      <c r="E2227" s="9" t="s">
        <v>3897</v>
      </c>
      <c r="F2227" s="9">
        <v>2000</v>
      </c>
      <c r="G2227" s="9" t="s">
        <v>3873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3895</v>
      </c>
      <c r="N2227" s="4"/>
      <c r="O2227" s="5"/>
      <c r="P2227" s="10"/>
      <c r="Q2227" s="21" t="str">
        <f>VLOOKUP(tblProductos[[#This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3902</v>
      </c>
      <c r="D2228" s="9" t="s">
        <v>4016</v>
      </c>
      <c r="E2228" s="9" t="s">
        <v>3897</v>
      </c>
      <c r="F2228" s="9">
        <v>2000</v>
      </c>
      <c r="G2228" s="9" t="s">
        <v>3873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3895</v>
      </c>
      <c r="N2228" s="4"/>
      <c r="O2228" s="5"/>
      <c r="P2228" s="10"/>
      <c r="Q2228" s="21" t="str">
        <f>VLOOKUP(tblProductos[[#This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3902</v>
      </c>
      <c r="D2229" s="9" t="s">
        <v>4145</v>
      </c>
      <c r="E2229" s="9" t="s">
        <v>3897</v>
      </c>
      <c r="F2229" s="9">
        <v>2000</v>
      </c>
      <c r="G2229" s="9" t="s">
        <v>3873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3895</v>
      </c>
      <c r="N2229" s="4"/>
      <c r="O2229" s="5"/>
      <c r="P2229" s="10"/>
      <c r="Q2229" s="21" t="str">
        <f>VLOOKUP(tblProductos[[#This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3902</v>
      </c>
      <c r="D2230" s="9" t="s">
        <v>3841</v>
      </c>
      <c r="E2230" s="9" t="s">
        <v>3897</v>
      </c>
      <c r="F2230" s="9">
        <v>2000</v>
      </c>
      <c r="G2230" s="9" t="s">
        <v>3873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3895</v>
      </c>
      <c r="N2230" s="4"/>
      <c r="O2230" s="5"/>
      <c r="P2230" s="10"/>
      <c r="Q2230" s="21" t="str">
        <f>VLOOKUP(tblProductos[[#This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3902</v>
      </c>
      <c r="D2231" s="9" t="s">
        <v>4021</v>
      </c>
      <c r="E2231" s="9" t="s">
        <v>3897</v>
      </c>
      <c r="F2231" s="9">
        <v>2000</v>
      </c>
      <c r="G2231" s="9" t="s">
        <v>3873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3895</v>
      </c>
      <c r="N2231" s="4"/>
      <c r="O2231" s="5"/>
      <c r="P2231" s="10"/>
      <c r="Q2231" s="21" t="str">
        <f>VLOOKUP(tblProductos[[#This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3902</v>
      </c>
      <c r="D2232" s="9" t="s">
        <v>4015</v>
      </c>
      <c r="E2232" s="9" t="s">
        <v>3897</v>
      </c>
      <c r="F2232" s="9">
        <v>2000</v>
      </c>
      <c r="G2232" s="9" t="s">
        <v>3873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3895</v>
      </c>
      <c r="N2232" s="4"/>
      <c r="O2232" s="5"/>
      <c r="P2232" s="10"/>
      <c r="Q2232" s="21" t="str">
        <f>VLOOKUP(tblProductos[[#This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3902</v>
      </c>
      <c r="D2233" s="9" t="s">
        <v>4054</v>
      </c>
      <c r="E2233" s="9" t="s">
        <v>3897</v>
      </c>
      <c r="F2233" s="9">
        <v>2000</v>
      </c>
      <c r="G2233" s="9" t="s">
        <v>3873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3895</v>
      </c>
      <c r="N2233" s="4"/>
      <c r="O2233" s="5"/>
      <c r="P2233" s="10"/>
      <c r="Q2233" s="21" t="str">
        <f>VLOOKUP(tblProductos[[#This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3902</v>
      </c>
      <c r="D2234" s="9" t="s">
        <v>4118</v>
      </c>
      <c r="E2234" s="9" t="s">
        <v>3897</v>
      </c>
      <c r="F2234" s="9">
        <v>2000</v>
      </c>
      <c r="G2234" s="9" t="s">
        <v>3873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3895</v>
      </c>
      <c r="N2234" s="4"/>
      <c r="O2234" s="5"/>
      <c r="P2234" s="10"/>
      <c r="Q2234" s="21" t="str">
        <f>VLOOKUP(tblProductos[[#This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3902</v>
      </c>
      <c r="D2235" s="9" t="s">
        <v>4022</v>
      </c>
      <c r="E2235" s="9" t="s">
        <v>3897</v>
      </c>
      <c r="F2235" s="9">
        <v>2000</v>
      </c>
      <c r="G2235" s="9" t="s">
        <v>3873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3895</v>
      </c>
      <c r="N2235" s="4"/>
      <c r="O2235" s="5"/>
      <c r="P2235" s="10"/>
      <c r="Q2235" s="21" t="str">
        <f>VLOOKUP(tblProductos[[#This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3902</v>
      </c>
      <c r="D2236" s="9" t="s">
        <v>3919</v>
      </c>
      <c r="E2236" s="9" t="s">
        <v>3897</v>
      </c>
      <c r="F2236" s="9">
        <v>2000</v>
      </c>
      <c r="G2236" s="9" t="s">
        <v>3873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3895</v>
      </c>
      <c r="N2236" s="4"/>
      <c r="O2236" s="5"/>
      <c r="P2236" s="10"/>
      <c r="Q2236" s="21" t="str">
        <f>VLOOKUP(tblProductos[[#This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3902</v>
      </c>
      <c r="D2237" s="9" t="s">
        <v>4023</v>
      </c>
      <c r="E2237" s="9" t="s">
        <v>3897</v>
      </c>
      <c r="F2237" s="9">
        <v>2000</v>
      </c>
      <c r="G2237" s="9" t="s">
        <v>3873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3895</v>
      </c>
      <c r="N2237" s="4"/>
      <c r="O2237" s="5"/>
      <c r="P2237" s="10"/>
      <c r="Q2237" s="21" t="str">
        <f>VLOOKUP(tblProductos[[#This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3902</v>
      </c>
      <c r="D2238" s="9" t="s">
        <v>4029</v>
      </c>
      <c r="E2238" s="9" t="s">
        <v>3897</v>
      </c>
      <c r="F2238" s="9">
        <v>2000</v>
      </c>
      <c r="G2238" s="9" t="s">
        <v>3873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3895</v>
      </c>
      <c r="N2238" s="4"/>
      <c r="O2238" s="5"/>
      <c r="P2238" s="10"/>
      <c r="Q2238" s="21" t="str">
        <f>VLOOKUP(tblProductos[[#This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3902</v>
      </c>
      <c r="D2239" s="9" t="s">
        <v>4024</v>
      </c>
      <c r="E2239" s="9" t="s">
        <v>3897</v>
      </c>
      <c r="F2239" s="9">
        <v>2000</v>
      </c>
      <c r="G2239" s="9" t="s">
        <v>3873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3895</v>
      </c>
      <c r="N2239" s="4"/>
      <c r="O2239" s="5"/>
      <c r="P2239" s="10"/>
      <c r="Q2239" s="21" t="str">
        <f>VLOOKUP(tblProductos[[#This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3902</v>
      </c>
      <c r="D2240" s="9" t="s">
        <v>4034</v>
      </c>
      <c r="E2240" s="9" t="s">
        <v>3897</v>
      </c>
      <c r="F2240" s="9">
        <v>2000</v>
      </c>
      <c r="G2240" s="9" t="s">
        <v>3873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3895</v>
      </c>
      <c r="N2240" s="4"/>
      <c r="O2240" s="5"/>
      <c r="P2240" s="10"/>
      <c r="Q2240" s="21" t="str">
        <f>VLOOKUP(tblProductos[[#This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3902</v>
      </c>
      <c r="D2241" s="9" t="s">
        <v>4035</v>
      </c>
      <c r="E2241" s="9" t="s">
        <v>3897</v>
      </c>
      <c r="F2241" s="9">
        <v>2000</v>
      </c>
      <c r="G2241" s="9" t="s">
        <v>3873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3895</v>
      </c>
      <c r="N2241" s="4"/>
      <c r="O2241" s="5"/>
      <c r="P2241" s="10"/>
      <c r="Q2241" s="21" t="str">
        <f>VLOOKUP(tblProductos[[#This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3902</v>
      </c>
      <c r="D2242" s="9" t="s">
        <v>4017</v>
      </c>
      <c r="E2242" s="9" t="s">
        <v>3897</v>
      </c>
      <c r="F2242" s="9">
        <v>2000</v>
      </c>
      <c r="G2242" s="9" t="s">
        <v>3873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3895</v>
      </c>
      <c r="N2242" s="4"/>
      <c r="O2242" s="5"/>
      <c r="P2242" s="10"/>
      <c r="Q2242" s="21" t="str">
        <f>VLOOKUP(tblProductos[[#This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3902</v>
      </c>
      <c r="D2243" s="9" t="s">
        <v>4010</v>
      </c>
      <c r="E2243" s="9" t="s">
        <v>3897</v>
      </c>
      <c r="F2243" s="9">
        <v>2000</v>
      </c>
      <c r="G2243" s="9" t="s">
        <v>3873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3895</v>
      </c>
      <c r="N2243" s="4"/>
      <c r="O2243" s="5"/>
      <c r="P2243" s="10"/>
      <c r="Q2243" s="21" t="str">
        <f>VLOOKUP(tblProductos[[#This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3902</v>
      </c>
      <c r="D2244" s="9" t="s">
        <v>4125</v>
      </c>
      <c r="E2244" s="9" t="s">
        <v>3897</v>
      </c>
      <c r="F2244" s="9">
        <v>2000</v>
      </c>
      <c r="G2244" s="9" t="s">
        <v>3873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3895</v>
      </c>
      <c r="N2244" s="4"/>
      <c r="O2244" s="5"/>
      <c r="P2244" s="10"/>
      <c r="Q2244" s="21" t="str">
        <f>VLOOKUP(tblProductos[[#This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3902</v>
      </c>
      <c r="D2245" s="9" t="s">
        <v>4056</v>
      </c>
      <c r="E2245" s="9" t="s">
        <v>3897</v>
      </c>
      <c r="F2245" s="9">
        <v>2000</v>
      </c>
      <c r="G2245" s="9" t="s">
        <v>3873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3895</v>
      </c>
      <c r="N2245" s="4"/>
      <c r="O2245" s="5"/>
      <c r="P2245" s="10"/>
      <c r="Q2245" s="21" t="str">
        <f>VLOOKUP(tblProductos[[#This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3902</v>
      </c>
      <c r="D2246" s="9" t="s">
        <v>4006</v>
      </c>
      <c r="E2246" s="9" t="s">
        <v>3897</v>
      </c>
      <c r="F2246" s="9">
        <v>2000</v>
      </c>
      <c r="G2246" s="9" t="s">
        <v>3873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3895</v>
      </c>
      <c r="N2246" s="4"/>
      <c r="O2246" s="5"/>
      <c r="P2246" s="10"/>
      <c r="Q2246" s="21" t="str">
        <f>VLOOKUP(tblProductos[[#This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3902</v>
      </c>
      <c r="D2247" s="9" t="s">
        <v>4143</v>
      </c>
      <c r="E2247" s="9" t="s">
        <v>3897</v>
      </c>
      <c r="F2247" s="9">
        <v>2000</v>
      </c>
      <c r="G2247" s="9" t="s">
        <v>3873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3895</v>
      </c>
      <c r="N2247" s="4"/>
      <c r="O2247" s="5"/>
      <c r="P2247" s="10"/>
      <c r="Q2247" s="21" t="str">
        <f>VLOOKUP(tblProductos[[#This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3902</v>
      </c>
      <c r="D2248" s="9" t="s">
        <v>4031</v>
      </c>
      <c r="E2248" s="9" t="s">
        <v>3897</v>
      </c>
      <c r="F2248" s="9">
        <v>2000</v>
      </c>
      <c r="G2248" s="9" t="s">
        <v>3873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3895</v>
      </c>
      <c r="N2248" s="4"/>
      <c r="O2248" s="5"/>
      <c r="P2248" s="10"/>
      <c r="Q2248" s="21" t="str">
        <f>VLOOKUP(tblProductos[[#This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3902</v>
      </c>
      <c r="D2249" s="9" t="s">
        <v>4011</v>
      </c>
      <c r="E2249" s="9" t="s">
        <v>3897</v>
      </c>
      <c r="F2249" s="9">
        <v>2000</v>
      </c>
      <c r="G2249" s="9" t="s">
        <v>3873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3895</v>
      </c>
      <c r="N2249" s="4"/>
      <c r="O2249" s="5"/>
      <c r="P2249" s="10"/>
      <c r="Q2249" s="21" t="str">
        <f>VLOOKUP(tblProductos[[#This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3902</v>
      </c>
      <c r="D2250" s="9" t="s">
        <v>4030</v>
      </c>
      <c r="E2250" s="9" t="s">
        <v>3897</v>
      </c>
      <c r="F2250" s="9">
        <v>2000</v>
      </c>
      <c r="G2250" s="9" t="s">
        <v>3873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3895</v>
      </c>
      <c r="N2250" s="4"/>
      <c r="O2250" s="5"/>
      <c r="P2250" s="10"/>
      <c r="Q2250" s="21" t="str">
        <f>VLOOKUP(tblProductos[[#This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3902</v>
      </c>
      <c r="D2251" s="9" t="s">
        <v>4018</v>
      </c>
      <c r="E2251" s="9" t="s">
        <v>3897</v>
      </c>
      <c r="F2251" s="9">
        <v>2000</v>
      </c>
      <c r="G2251" s="9" t="s">
        <v>3873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3895</v>
      </c>
      <c r="N2251" s="4"/>
      <c r="O2251" s="5"/>
      <c r="P2251" s="10"/>
      <c r="Q2251" s="21" t="str">
        <f>VLOOKUP(tblProductos[[#This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3902</v>
      </c>
      <c r="D2252" s="9" t="s">
        <v>4009</v>
      </c>
      <c r="E2252" s="9" t="s">
        <v>3897</v>
      </c>
      <c r="F2252" s="9">
        <v>2000</v>
      </c>
      <c r="G2252" s="9" t="s">
        <v>3873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3895</v>
      </c>
      <c r="N2252" s="4"/>
      <c r="O2252" s="5"/>
      <c r="P2252" s="10"/>
      <c r="Q2252" s="21" t="str">
        <f>VLOOKUP(tblProductos[[#This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3902</v>
      </c>
      <c r="D2253" s="9" t="s">
        <v>4012</v>
      </c>
      <c r="E2253" s="9" t="s">
        <v>3897</v>
      </c>
      <c r="F2253" s="9">
        <v>2000</v>
      </c>
      <c r="G2253" s="9" t="s">
        <v>3873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3895</v>
      </c>
      <c r="N2253" s="4"/>
      <c r="O2253" s="5"/>
      <c r="P2253" s="10"/>
      <c r="Q2253" s="21" t="str">
        <f>VLOOKUP(tblProductos[[#This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3902</v>
      </c>
      <c r="D2254" s="9" t="s">
        <v>4013</v>
      </c>
      <c r="E2254" s="9" t="s">
        <v>3897</v>
      </c>
      <c r="F2254" s="9">
        <v>2000</v>
      </c>
      <c r="G2254" s="9" t="s">
        <v>3873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3895</v>
      </c>
      <c r="N2254" s="4"/>
      <c r="O2254" s="5"/>
      <c r="P2254" s="10"/>
      <c r="Q2254" s="21" t="str">
        <f>VLOOKUP(tblProductos[[#This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3902</v>
      </c>
      <c r="D2255" s="9" t="s">
        <v>3923</v>
      </c>
      <c r="E2255" s="9" t="s">
        <v>3897</v>
      </c>
      <c r="F2255" s="9">
        <v>2000</v>
      </c>
      <c r="G2255" s="9" t="s">
        <v>3873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3895</v>
      </c>
      <c r="N2255" s="4"/>
      <c r="O2255" s="5"/>
      <c r="P2255" s="10"/>
      <c r="Q2255" s="21" t="str">
        <f>VLOOKUP(tblProductos[[#This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3902</v>
      </c>
      <c r="D2256" s="9" t="s">
        <v>4019</v>
      </c>
      <c r="E2256" s="9" t="s">
        <v>3897</v>
      </c>
      <c r="F2256" s="9">
        <v>2000</v>
      </c>
      <c r="G2256" s="9" t="s">
        <v>3873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3895</v>
      </c>
      <c r="N2256" s="4"/>
      <c r="O2256" s="5"/>
      <c r="P2256" s="10"/>
      <c r="Q2256" s="21" t="str">
        <f>VLOOKUP(tblProductos[[#This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3902</v>
      </c>
      <c r="D2257" s="9" t="s">
        <v>4032</v>
      </c>
      <c r="E2257" s="9" t="s">
        <v>3897</v>
      </c>
      <c r="F2257" s="9">
        <v>2000</v>
      </c>
      <c r="G2257" s="9" t="s">
        <v>3873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3895</v>
      </c>
      <c r="N2257" s="4"/>
      <c r="O2257" s="5"/>
      <c r="P2257" s="10"/>
      <c r="Q2257" s="21" t="str">
        <f>VLOOKUP(tblProductos[[#This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3902</v>
      </c>
      <c r="D2258" s="9" t="s">
        <v>4007</v>
      </c>
      <c r="E2258" s="9" t="s">
        <v>3897</v>
      </c>
      <c r="F2258" s="9">
        <v>2000</v>
      </c>
      <c r="G2258" s="9" t="s">
        <v>3873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3895</v>
      </c>
      <c r="N2258" s="4"/>
      <c r="O2258" s="5"/>
      <c r="P2258" s="10"/>
      <c r="Q2258" s="21" t="str">
        <f>VLOOKUP(tblProductos[[#This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3902</v>
      </c>
      <c r="D2259" s="9" t="s">
        <v>3888</v>
      </c>
      <c r="E2259" s="9" t="s">
        <v>3897</v>
      </c>
      <c r="F2259" s="9">
        <v>2000</v>
      </c>
      <c r="G2259" s="9" t="s">
        <v>3873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3895</v>
      </c>
      <c r="N2259" s="4"/>
      <c r="O2259" s="5"/>
      <c r="P2259" s="10"/>
      <c r="Q2259" s="21" t="str">
        <f>VLOOKUP(tblProductos[[#This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3902</v>
      </c>
      <c r="D2260" s="9" t="s">
        <v>4033</v>
      </c>
      <c r="E2260" s="9" t="s">
        <v>3897</v>
      </c>
      <c r="F2260" s="9">
        <v>2000</v>
      </c>
      <c r="G2260" s="9" t="s">
        <v>3873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3895</v>
      </c>
      <c r="N2260" s="4"/>
      <c r="O2260" s="5"/>
      <c r="P2260" s="10"/>
      <c r="Q2260" s="21" t="str">
        <f>VLOOKUP(tblProductos[[#This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3902</v>
      </c>
      <c r="D2261" s="9" t="s">
        <v>4144</v>
      </c>
      <c r="E2261" s="9" t="s">
        <v>3897</v>
      </c>
      <c r="F2261" s="9">
        <v>2000</v>
      </c>
      <c r="G2261" s="9" t="s">
        <v>3873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3895</v>
      </c>
      <c r="N2261" s="4"/>
      <c r="O2261" s="5"/>
      <c r="P2261" s="10"/>
      <c r="Q2261" s="21" t="str">
        <f>VLOOKUP(tblProductos[[#This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3902</v>
      </c>
      <c r="D2262" s="9" t="s">
        <v>4014</v>
      </c>
      <c r="E2262" s="9" t="s">
        <v>3897</v>
      </c>
      <c r="F2262" s="9">
        <v>2000</v>
      </c>
      <c r="G2262" s="9" t="s">
        <v>3873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3895</v>
      </c>
      <c r="N2262" s="4"/>
      <c r="O2262" s="5"/>
      <c r="P2262" s="10"/>
      <c r="Q2262" s="21" t="str">
        <f>VLOOKUP(tblProductos[[#This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3902</v>
      </c>
      <c r="D2263" s="9" t="s">
        <v>4008</v>
      </c>
      <c r="E2263" s="9" t="s">
        <v>3897</v>
      </c>
      <c r="F2263" s="9">
        <v>2000</v>
      </c>
      <c r="G2263" s="9" t="s">
        <v>3873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3895</v>
      </c>
      <c r="N2263" s="4"/>
      <c r="O2263" s="5"/>
      <c r="P2263" s="10"/>
      <c r="Q2263" s="21" t="str">
        <f>VLOOKUP(tblProductos[[#This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3902</v>
      </c>
      <c r="D2264" s="9" t="s">
        <v>4020</v>
      </c>
      <c r="E2264" s="9" t="s">
        <v>3897</v>
      </c>
      <c r="F2264" s="9">
        <v>2000</v>
      </c>
      <c r="G2264" s="9" t="s">
        <v>3873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3895</v>
      </c>
      <c r="N2264" s="4"/>
      <c r="O2264" s="5"/>
      <c r="P2264" s="10"/>
      <c r="Q2264" s="21" t="str">
        <f>VLOOKUP(tblProductos[[#This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3902</v>
      </c>
      <c r="D2265" s="9" t="s">
        <v>4016</v>
      </c>
      <c r="E2265" s="9" t="s">
        <v>3897</v>
      </c>
      <c r="F2265" s="9">
        <v>2000</v>
      </c>
      <c r="G2265" s="9" t="s">
        <v>3873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3895</v>
      </c>
      <c r="N2265" s="4"/>
      <c r="O2265" s="5"/>
      <c r="P2265" s="10"/>
      <c r="Q2265" s="21" t="str">
        <f>VLOOKUP(tblProductos[[#This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3902</v>
      </c>
      <c r="D2266" s="9" t="s">
        <v>4145</v>
      </c>
      <c r="E2266" s="9" t="s">
        <v>3897</v>
      </c>
      <c r="F2266" s="9">
        <v>2000</v>
      </c>
      <c r="G2266" s="9" t="s">
        <v>3873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3895</v>
      </c>
      <c r="N2266" s="4"/>
      <c r="O2266" s="5"/>
      <c r="P2266" s="10"/>
      <c r="Q2266" s="21" t="str">
        <f>VLOOKUP(tblProductos[[#This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3902</v>
      </c>
      <c r="D2267" s="9" t="s">
        <v>4021</v>
      </c>
      <c r="E2267" s="9" t="s">
        <v>3897</v>
      </c>
      <c r="F2267" s="9">
        <v>2000</v>
      </c>
      <c r="G2267" s="9" t="s">
        <v>3873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3895</v>
      </c>
      <c r="N2267" s="4"/>
      <c r="O2267" s="5"/>
      <c r="P2267" s="10"/>
      <c r="Q2267" s="21" t="str">
        <f>VLOOKUP(tblProductos[[#This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3902</v>
      </c>
      <c r="D2268" s="9" t="s">
        <v>4015</v>
      </c>
      <c r="E2268" s="9" t="s">
        <v>3897</v>
      </c>
      <c r="F2268" s="9">
        <v>2000</v>
      </c>
      <c r="G2268" s="9" t="s">
        <v>3873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3895</v>
      </c>
      <c r="N2268" s="4"/>
      <c r="O2268" s="5"/>
      <c r="P2268" s="10"/>
      <c r="Q2268" s="21" t="str">
        <f>VLOOKUP(tblProductos[[#This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3902</v>
      </c>
      <c r="D2269" s="9" t="s">
        <v>4054</v>
      </c>
      <c r="E2269" s="9" t="s">
        <v>3897</v>
      </c>
      <c r="F2269" s="9">
        <v>2000</v>
      </c>
      <c r="G2269" s="9" t="s">
        <v>3873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3895</v>
      </c>
      <c r="N2269" s="4"/>
      <c r="O2269" s="5"/>
      <c r="P2269" s="10"/>
      <c r="Q2269" s="21" t="str">
        <f>VLOOKUP(tblProductos[[#This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3902</v>
      </c>
      <c r="D2270" s="9" t="s">
        <v>4118</v>
      </c>
      <c r="E2270" s="9" t="s">
        <v>3897</v>
      </c>
      <c r="F2270" s="9">
        <v>2000</v>
      </c>
      <c r="G2270" s="9" t="s">
        <v>3873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3895</v>
      </c>
      <c r="N2270" s="4"/>
      <c r="O2270" s="5"/>
      <c r="P2270" s="10"/>
      <c r="Q2270" s="21" t="str">
        <f>VLOOKUP(tblProductos[[#This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3902</v>
      </c>
      <c r="D2271" s="9" t="s">
        <v>4022</v>
      </c>
      <c r="E2271" s="9" t="s">
        <v>3897</v>
      </c>
      <c r="F2271" s="9">
        <v>2000</v>
      </c>
      <c r="G2271" s="9" t="s">
        <v>3873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3895</v>
      </c>
      <c r="N2271" s="4"/>
      <c r="O2271" s="5"/>
      <c r="P2271" s="10"/>
      <c r="Q2271" s="21" t="str">
        <f>VLOOKUP(tblProductos[[#This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3902</v>
      </c>
      <c r="D2272" s="9" t="s">
        <v>3919</v>
      </c>
      <c r="E2272" s="9" t="s">
        <v>3897</v>
      </c>
      <c r="F2272" s="9">
        <v>2000</v>
      </c>
      <c r="G2272" s="9" t="s">
        <v>3873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3895</v>
      </c>
      <c r="N2272" s="4"/>
      <c r="O2272" s="5"/>
      <c r="P2272" s="10"/>
      <c r="Q2272" s="21" t="str">
        <f>VLOOKUP(tblProductos[[#This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3902</v>
      </c>
      <c r="D2273" s="9" t="s">
        <v>4023</v>
      </c>
      <c r="E2273" s="9" t="s">
        <v>3897</v>
      </c>
      <c r="F2273" s="9">
        <v>2000</v>
      </c>
      <c r="G2273" s="9" t="s">
        <v>3873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3895</v>
      </c>
      <c r="N2273" s="4"/>
      <c r="O2273" s="5"/>
      <c r="P2273" s="10"/>
      <c r="Q2273" s="21" t="str">
        <f>VLOOKUP(tblProductos[[#This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3902</v>
      </c>
      <c r="D2274" s="9" t="s">
        <v>4029</v>
      </c>
      <c r="E2274" s="9" t="s">
        <v>3897</v>
      </c>
      <c r="F2274" s="9">
        <v>2000</v>
      </c>
      <c r="G2274" s="9" t="s">
        <v>3873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3895</v>
      </c>
      <c r="N2274" s="4"/>
      <c r="O2274" s="5"/>
      <c r="P2274" s="10"/>
      <c r="Q2274" s="21" t="str">
        <f>VLOOKUP(tblProductos[[#This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3902</v>
      </c>
      <c r="D2275" s="9" t="s">
        <v>4024</v>
      </c>
      <c r="E2275" s="9" t="s">
        <v>3897</v>
      </c>
      <c r="F2275" s="9">
        <v>2000</v>
      </c>
      <c r="G2275" s="9" t="s">
        <v>3873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3895</v>
      </c>
      <c r="N2275" s="4"/>
      <c r="O2275" s="5"/>
      <c r="P2275" s="10"/>
      <c r="Q2275" s="21" t="str">
        <f>VLOOKUP(tblProductos[[#This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3902</v>
      </c>
      <c r="D2276" s="9" t="s">
        <v>4034</v>
      </c>
      <c r="E2276" s="9" t="s">
        <v>3897</v>
      </c>
      <c r="F2276" s="9">
        <v>2000</v>
      </c>
      <c r="G2276" s="9" t="s">
        <v>3873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3895</v>
      </c>
      <c r="N2276" s="4"/>
      <c r="O2276" s="5"/>
      <c r="P2276" s="10"/>
      <c r="Q2276" s="21" t="str">
        <f>VLOOKUP(tblProductos[[#This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3902</v>
      </c>
      <c r="D2277" s="9" t="s">
        <v>4035</v>
      </c>
      <c r="E2277" s="9" t="s">
        <v>3897</v>
      </c>
      <c r="F2277" s="9">
        <v>2000</v>
      </c>
      <c r="G2277" s="9" t="s">
        <v>3873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3895</v>
      </c>
      <c r="N2277" s="4"/>
      <c r="O2277" s="5"/>
      <c r="P2277" s="10"/>
      <c r="Q2277" s="21" t="str">
        <f>VLOOKUP(tblProductos[[#This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3902</v>
      </c>
      <c r="D2278" s="9" t="s">
        <v>4017</v>
      </c>
      <c r="E2278" s="9" t="s">
        <v>3897</v>
      </c>
      <c r="F2278" s="9">
        <v>1600</v>
      </c>
      <c r="G2278" s="9" t="s">
        <v>3867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3895</v>
      </c>
      <c r="N2278" s="4"/>
      <c r="O2278" s="5"/>
      <c r="P2278" s="10"/>
      <c r="Q2278" s="21" t="str">
        <f>VLOOKUP(tblProductos[[#This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3902</v>
      </c>
      <c r="D2279" s="9" t="s">
        <v>4010</v>
      </c>
      <c r="E2279" s="9" t="s">
        <v>3897</v>
      </c>
      <c r="F2279" s="9">
        <v>1600</v>
      </c>
      <c r="G2279" s="9" t="s">
        <v>3867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3895</v>
      </c>
      <c r="N2279" s="4"/>
      <c r="O2279" s="5"/>
      <c r="P2279" s="10"/>
      <c r="Q2279" s="21" t="str">
        <f>VLOOKUP(tblProductos[[#This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3902</v>
      </c>
      <c r="D2280" s="9" t="s">
        <v>4125</v>
      </c>
      <c r="E2280" s="9" t="s">
        <v>3897</v>
      </c>
      <c r="F2280" s="9">
        <v>1600</v>
      </c>
      <c r="G2280" s="9" t="s">
        <v>3867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3895</v>
      </c>
      <c r="N2280" s="4"/>
      <c r="O2280" s="5"/>
      <c r="P2280" s="10"/>
      <c r="Q2280" s="21" t="str">
        <f>VLOOKUP(tblProductos[[#This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3902</v>
      </c>
      <c r="D2281" s="9" t="s">
        <v>4056</v>
      </c>
      <c r="E2281" s="9" t="s">
        <v>3897</v>
      </c>
      <c r="F2281" s="9">
        <v>1600</v>
      </c>
      <c r="G2281" s="9" t="s">
        <v>3867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3895</v>
      </c>
      <c r="N2281" s="4"/>
      <c r="O2281" s="5"/>
      <c r="P2281" s="10"/>
      <c r="Q2281" s="21" t="str">
        <f>VLOOKUP(tblProductos[[#This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3902</v>
      </c>
      <c r="D2282" s="9" t="s">
        <v>4143</v>
      </c>
      <c r="E2282" s="9" t="s">
        <v>3897</v>
      </c>
      <c r="F2282" s="9">
        <v>1600</v>
      </c>
      <c r="G2282" s="9" t="s">
        <v>3867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3895</v>
      </c>
      <c r="N2282" s="4"/>
      <c r="O2282" s="5"/>
      <c r="P2282" s="10"/>
      <c r="Q2282" s="21" t="str">
        <f>VLOOKUP(tblProductos[[#This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3902</v>
      </c>
      <c r="D2283" s="9" t="s">
        <v>4031</v>
      </c>
      <c r="E2283" s="9" t="s">
        <v>3897</v>
      </c>
      <c r="F2283" s="9">
        <v>1600</v>
      </c>
      <c r="G2283" s="9" t="s">
        <v>3867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3895</v>
      </c>
      <c r="N2283" s="4"/>
      <c r="O2283" s="5"/>
      <c r="P2283" s="10"/>
      <c r="Q2283" s="21" t="str">
        <f>VLOOKUP(tblProductos[[#This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3902</v>
      </c>
      <c r="D2284" s="9" t="s">
        <v>4030</v>
      </c>
      <c r="E2284" s="9" t="s">
        <v>3897</v>
      </c>
      <c r="F2284" s="9">
        <v>1600</v>
      </c>
      <c r="G2284" s="9" t="s">
        <v>3867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3895</v>
      </c>
      <c r="N2284" s="4"/>
      <c r="O2284" s="5"/>
      <c r="P2284" s="10"/>
      <c r="Q2284" s="21" t="str">
        <f>VLOOKUP(tblProductos[[#This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3902</v>
      </c>
      <c r="D2285" s="9" t="s">
        <v>4018</v>
      </c>
      <c r="E2285" s="9" t="s">
        <v>3897</v>
      </c>
      <c r="F2285" s="9">
        <v>1600</v>
      </c>
      <c r="G2285" s="9" t="s">
        <v>3867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3895</v>
      </c>
      <c r="N2285" s="4"/>
      <c r="O2285" s="5"/>
      <c r="P2285" s="10"/>
      <c r="Q2285" s="21" t="str">
        <f>VLOOKUP(tblProductos[[#This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3902</v>
      </c>
      <c r="D2286" s="9" t="s">
        <v>4012</v>
      </c>
      <c r="E2286" s="9" t="s">
        <v>3897</v>
      </c>
      <c r="F2286" s="9">
        <v>1600</v>
      </c>
      <c r="G2286" s="9" t="s">
        <v>3867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3895</v>
      </c>
      <c r="N2286" s="4"/>
      <c r="O2286" s="5"/>
      <c r="P2286" s="10"/>
      <c r="Q2286" s="21" t="str">
        <f>VLOOKUP(tblProductos[[#This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3902</v>
      </c>
      <c r="D2287" s="9" t="s">
        <v>4013</v>
      </c>
      <c r="E2287" s="9" t="s">
        <v>3897</v>
      </c>
      <c r="F2287" s="9">
        <v>1600</v>
      </c>
      <c r="G2287" s="9" t="s">
        <v>3867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3895</v>
      </c>
      <c r="N2287" s="4"/>
      <c r="O2287" s="5"/>
      <c r="P2287" s="10"/>
      <c r="Q2287" s="21" t="str">
        <f>VLOOKUP(tblProductos[[#This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3902</v>
      </c>
      <c r="D2288" s="9" t="s">
        <v>3923</v>
      </c>
      <c r="E2288" s="9" t="s">
        <v>3897</v>
      </c>
      <c r="F2288" s="9">
        <v>1600</v>
      </c>
      <c r="G2288" s="9" t="s">
        <v>3867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3895</v>
      </c>
      <c r="N2288" s="4"/>
      <c r="O2288" s="5"/>
      <c r="P2288" s="10"/>
      <c r="Q2288" s="21" t="str">
        <f>VLOOKUP(tblProductos[[#This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3902</v>
      </c>
      <c r="D2289" s="9" t="s">
        <v>4033</v>
      </c>
      <c r="E2289" s="9" t="s">
        <v>3897</v>
      </c>
      <c r="F2289" s="9">
        <v>1600</v>
      </c>
      <c r="G2289" s="9" t="s">
        <v>3867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3895</v>
      </c>
      <c r="N2289" s="4"/>
      <c r="O2289" s="5"/>
      <c r="P2289" s="10"/>
      <c r="Q2289" s="21" t="str">
        <f>VLOOKUP(tblProductos[[#This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3902</v>
      </c>
      <c r="D2290" s="9" t="s">
        <v>4144</v>
      </c>
      <c r="E2290" s="9" t="s">
        <v>3897</v>
      </c>
      <c r="F2290" s="9">
        <v>1600</v>
      </c>
      <c r="G2290" s="9" t="s">
        <v>3867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3895</v>
      </c>
      <c r="N2290" s="4"/>
      <c r="O2290" s="5"/>
      <c r="P2290" s="10"/>
      <c r="Q2290" s="21" t="str">
        <f>VLOOKUP(tblProductos[[#This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3902</v>
      </c>
      <c r="D2291" s="9" t="s">
        <v>4014</v>
      </c>
      <c r="E2291" s="9" t="s">
        <v>3897</v>
      </c>
      <c r="F2291" s="9">
        <v>1600</v>
      </c>
      <c r="G2291" s="9" t="s">
        <v>3867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3895</v>
      </c>
      <c r="N2291" s="4"/>
      <c r="O2291" s="5"/>
      <c r="P2291" s="10"/>
      <c r="Q2291" s="21" t="str">
        <f>VLOOKUP(tblProductos[[#This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3902</v>
      </c>
      <c r="D2292" s="9" t="s">
        <v>4020</v>
      </c>
      <c r="E2292" s="9" t="s">
        <v>3897</v>
      </c>
      <c r="F2292" s="9">
        <v>1600</v>
      </c>
      <c r="G2292" s="9" t="s">
        <v>3867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3895</v>
      </c>
      <c r="N2292" s="4"/>
      <c r="O2292" s="5"/>
      <c r="P2292" s="10"/>
      <c r="Q2292" s="21" t="str">
        <f>VLOOKUP(tblProductos[[#This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3902</v>
      </c>
      <c r="D2293" s="9" t="s">
        <v>4016</v>
      </c>
      <c r="E2293" s="9" t="s">
        <v>3897</v>
      </c>
      <c r="F2293" s="9">
        <v>1600</v>
      </c>
      <c r="G2293" s="9" t="s">
        <v>3867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3895</v>
      </c>
      <c r="N2293" s="4"/>
      <c r="O2293" s="5"/>
      <c r="P2293" s="10"/>
      <c r="Q2293" s="21" t="str">
        <f>VLOOKUP(tblProductos[[#This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3902</v>
      </c>
      <c r="D2294" s="9" t="s">
        <v>4145</v>
      </c>
      <c r="E2294" s="9" t="s">
        <v>3897</v>
      </c>
      <c r="F2294" s="9">
        <v>1600</v>
      </c>
      <c r="G2294" s="9" t="s">
        <v>3867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3895</v>
      </c>
      <c r="N2294" s="4"/>
      <c r="O2294" s="5"/>
      <c r="P2294" s="10"/>
      <c r="Q2294" s="21" t="str">
        <f>VLOOKUP(tblProductos[[#This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3902</v>
      </c>
      <c r="D2295" s="9" t="s">
        <v>4015</v>
      </c>
      <c r="E2295" s="9" t="s">
        <v>3897</v>
      </c>
      <c r="F2295" s="9">
        <v>1600</v>
      </c>
      <c r="G2295" s="9" t="s">
        <v>3867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3895</v>
      </c>
      <c r="N2295" s="4"/>
      <c r="O2295" s="5"/>
      <c r="P2295" s="10"/>
      <c r="Q2295" s="21" t="str">
        <f>VLOOKUP(tblProductos[[#This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3902</v>
      </c>
      <c r="D2296" s="9" t="s">
        <v>4054</v>
      </c>
      <c r="E2296" s="9" t="s">
        <v>3897</v>
      </c>
      <c r="F2296" s="9">
        <v>1600</v>
      </c>
      <c r="G2296" s="9" t="s">
        <v>3867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3895</v>
      </c>
      <c r="N2296" s="4"/>
      <c r="O2296" s="5"/>
      <c r="P2296" s="10"/>
      <c r="Q2296" s="21" t="str">
        <f>VLOOKUP(tblProductos[[#This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3902</v>
      </c>
      <c r="D2297" s="9" t="s">
        <v>4118</v>
      </c>
      <c r="E2297" s="9" t="s">
        <v>3897</v>
      </c>
      <c r="F2297" s="9">
        <v>1600</v>
      </c>
      <c r="G2297" s="9" t="s">
        <v>3867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3895</v>
      </c>
      <c r="N2297" s="4"/>
      <c r="O2297" s="5"/>
      <c r="P2297" s="10"/>
      <c r="Q2297" s="21" t="str">
        <f>VLOOKUP(tblProductos[[#This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3902</v>
      </c>
      <c r="D2298" s="9" t="s">
        <v>4022</v>
      </c>
      <c r="E2298" s="9" t="s">
        <v>3897</v>
      </c>
      <c r="F2298" s="9">
        <v>1600</v>
      </c>
      <c r="G2298" s="9" t="s">
        <v>3867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3895</v>
      </c>
      <c r="N2298" s="4"/>
      <c r="O2298" s="5"/>
      <c r="P2298" s="10"/>
      <c r="Q2298" s="21" t="str">
        <f>VLOOKUP(tblProductos[[#This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3902</v>
      </c>
      <c r="D2299" s="9" t="s">
        <v>4023</v>
      </c>
      <c r="E2299" s="9" t="s">
        <v>3897</v>
      </c>
      <c r="F2299" s="9">
        <v>1600</v>
      </c>
      <c r="G2299" s="9" t="s">
        <v>3867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3895</v>
      </c>
      <c r="N2299" s="4"/>
      <c r="O2299" s="5"/>
      <c r="P2299" s="10"/>
      <c r="Q2299" s="21" t="str">
        <f>VLOOKUP(tblProductos[[#This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3902</v>
      </c>
      <c r="D2300" s="9" t="s">
        <v>4029</v>
      </c>
      <c r="E2300" s="9" t="s">
        <v>3897</v>
      </c>
      <c r="F2300" s="9">
        <v>1600</v>
      </c>
      <c r="G2300" s="9" t="s">
        <v>3867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3895</v>
      </c>
      <c r="N2300" s="4"/>
      <c r="O2300" s="5"/>
      <c r="P2300" s="10"/>
      <c r="Q2300" s="21" t="str">
        <f>VLOOKUP(tblProductos[[#This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3902</v>
      </c>
      <c r="D2301" s="9" t="s">
        <v>4024</v>
      </c>
      <c r="E2301" s="9" t="s">
        <v>3897</v>
      </c>
      <c r="F2301" s="9">
        <v>1600</v>
      </c>
      <c r="G2301" s="9" t="s">
        <v>3867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3895</v>
      </c>
      <c r="N2301" s="4"/>
      <c r="O2301" s="5"/>
      <c r="P2301" s="10"/>
      <c r="Q2301" s="21" t="str">
        <f>VLOOKUP(tblProductos[[#This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3902</v>
      </c>
      <c r="D2302" s="9" t="s">
        <v>4034</v>
      </c>
      <c r="E2302" s="9" t="s">
        <v>3897</v>
      </c>
      <c r="F2302" s="9">
        <v>1600</v>
      </c>
      <c r="G2302" s="9" t="s">
        <v>3867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3895</v>
      </c>
      <c r="N2302" s="4"/>
      <c r="O2302" s="5"/>
      <c r="P2302" s="10"/>
      <c r="Q2302" s="21" t="str">
        <f>VLOOKUP(tblProductos[[#This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3902</v>
      </c>
      <c r="D2303" s="9" t="s">
        <v>4035</v>
      </c>
      <c r="E2303" s="9" t="s">
        <v>3897</v>
      </c>
      <c r="F2303" s="9">
        <v>1600</v>
      </c>
      <c r="G2303" s="9" t="s">
        <v>3867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3895</v>
      </c>
      <c r="N2303" s="4"/>
      <c r="O2303" s="5"/>
      <c r="P2303" s="10"/>
      <c r="Q2303" s="21" t="str">
        <f>VLOOKUP(tblProductos[[#This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3899</v>
      </c>
      <c r="D2304" s="9" t="s">
        <v>4010</v>
      </c>
      <c r="E2304" s="9" t="s">
        <v>3897</v>
      </c>
      <c r="F2304" s="9">
        <v>2000</v>
      </c>
      <c r="G2304" s="9" t="s">
        <v>3873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3895</v>
      </c>
      <c r="N2304" s="4"/>
      <c r="O2304" s="5"/>
      <c r="P2304" s="10"/>
      <c r="Q2304" s="21" t="str">
        <f>VLOOKUP(tblProductos[[#This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3899</v>
      </c>
      <c r="D2305" s="9" t="s">
        <v>4125</v>
      </c>
      <c r="E2305" s="9" t="s">
        <v>3897</v>
      </c>
      <c r="F2305" s="9">
        <v>2000</v>
      </c>
      <c r="G2305" s="9" t="s">
        <v>3873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3895</v>
      </c>
      <c r="N2305" s="4"/>
      <c r="O2305" s="5"/>
      <c r="P2305" s="10"/>
      <c r="Q2305" s="21" t="str">
        <f>VLOOKUP(tblProductos[[#This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3899</v>
      </c>
      <c r="D2306" s="9" t="s">
        <v>4056</v>
      </c>
      <c r="E2306" s="9" t="s">
        <v>3897</v>
      </c>
      <c r="F2306" s="9">
        <v>2000</v>
      </c>
      <c r="G2306" s="9" t="s">
        <v>3873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3895</v>
      </c>
      <c r="N2306" s="4"/>
      <c r="O2306" s="5"/>
      <c r="P2306" s="10"/>
      <c r="Q2306" s="21" t="str">
        <f>VLOOKUP(tblProductos[[#This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3899</v>
      </c>
      <c r="D2307" s="9" t="s">
        <v>4143</v>
      </c>
      <c r="E2307" s="9" t="s">
        <v>3897</v>
      </c>
      <c r="F2307" s="9">
        <v>2000</v>
      </c>
      <c r="G2307" s="9" t="s">
        <v>3873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3895</v>
      </c>
      <c r="N2307" s="4"/>
      <c r="O2307" s="5"/>
      <c r="P2307" s="10"/>
      <c r="Q2307" s="21" t="str">
        <f>VLOOKUP(tblProductos[[#This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3899</v>
      </c>
      <c r="D2308" s="9" t="s">
        <v>4031</v>
      </c>
      <c r="E2308" s="9" t="s">
        <v>3897</v>
      </c>
      <c r="F2308" s="9">
        <v>2000</v>
      </c>
      <c r="G2308" s="9" t="s">
        <v>3873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3895</v>
      </c>
      <c r="N2308" s="4"/>
      <c r="O2308" s="5"/>
      <c r="P2308" s="10"/>
      <c r="Q2308" s="21" t="str">
        <f>VLOOKUP(tblProductos[[#This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3899</v>
      </c>
      <c r="D2309" s="9" t="s">
        <v>4030</v>
      </c>
      <c r="E2309" s="9" t="s">
        <v>3897</v>
      </c>
      <c r="F2309" s="9">
        <v>2000</v>
      </c>
      <c r="G2309" s="9" t="s">
        <v>3873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3895</v>
      </c>
      <c r="N2309" s="4"/>
      <c r="O2309" s="5"/>
      <c r="P2309" s="10"/>
      <c r="Q2309" s="21" t="str">
        <f>VLOOKUP(tblProductos[[#This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3899</v>
      </c>
      <c r="D2310" s="9" t="s">
        <v>4018</v>
      </c>
      <c r="E2310" s="9" t="s">
        <v>3897</v>
      </c>
      <c r="F2310" s="9">
        <v>2000</v>
      </c>
      <c r="G2310" s="9" t="s">
        <v>3873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3895</v>
      </c>
      <c r="N2310" s="4"/>
      <c r="O2310" s="5"/>
      <c r="P2310" s="10"/>
      <c r="Q2310" s="21" t="str">
        <f>VLOOKUP(tblProductos[[#This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3899</v>
      </c>
      <c r="D2311" s="9" t="s">
        <v>4012</v>
      </c>
      <c r="E2311" s="9" t="s">
        <v>3897</v>
      </c>
      <c r="F2311" s="9">
        <v>2000</v>
      </c>
      <c r="G2311" s="9" t="s">
        <v>3873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3895</v>
      </c>
      <c r="N2311" s="4"/>
      <c r="O2311" s="5"/>
      <c r="P2311" s="10"/>
      <c r="Q2311" s="21" t="str">
        <f>VLOOKUP(tblProductos[[#This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3899</v>
      </c>
      <c r="D2312" s="9" t="s">
        <v>4013</v>
      </c>
      <c r="E2312" s="9" t="s">
        <v>3897</v>
      </c>
      <c r="F2312" s="9">
        <v>2000</v>
      </c>
      <c r="G2312" s="9" t="s">
        <v>3873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3895</v>
      </c>
      <c r="N2312" s="4"/>
      <c r="O2312" s="5"/>
      <c r="P2312" s="10"/>
      <c r="Q2312" s="21" t="str">
        <f>VLOOKUP(tblProductos[[#This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3899</v>
      </c>
      <c r="D2313" s="9" t="s">
        <v>3923</v>
      </c>
      <c r="E2313" s="9" t="s">
        <v>3897</v>
      </c>
      <c r="F2313" s="9">
        <v>2000</v>
      </c>
      <c r="G2313" s="9" t="s">
        <v>3873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3895</v>
      </c>
      <c r="N2313" s="4"/>
      <c r="O2313" s="5"/>
      <c r="P2313" s="10"/>
      <c r="Q2313" s="21" t="str">
        <f>VLOOKUP(tblProductos[[#This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3899</v>
      </c>
      <c r="D2314" s="9" t="s">
        <v>4019</v>
      </c>
      <c r="E2314" s="9" t="s">
        <v>3897</v>
      </c>
      <c r="F2314" s="9">
        <v>2000</v>
      </c>
      <c r="G2314" s="9" t="s">
        <v>3873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3895</v>
      </c>
      <c r="N2314" s="4"/>
      <c r="O2314" s="5"/>
      <c r="P2314" s="10"/>
      <c r="Q2314" s="21" t="str">
        <f>VLOOKUP(tblProductos[[#This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3899</v>
      </c>
      <c r="D2315" s="9" t="s">
        <v>4032</v>
      </c>
      <c r="E2315" s="9" t="s">
        <v>3897</v>
      </c>
      <c r="F2315" s="9">
        <v>2000</v>
      </c>
      <c r="G2315" s="9" t="s">
        <v>3873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3895</v>
      </c>
      <c r="N2315" s="4"/>
      <c r="O2315" s="5"/>
      <c r="P2315" s="10"/>
      <c r="Q2315" s="21" t="str">
        <f>VLOOKUP(tblProductos[[#This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3899</v>
      </c>
      <c r="D2316" s="9" t="s">
        <v>4033</v>
      </c>
      <c r="E2316" s="9" t="s">
        <v>3897</v>
      </c>
      <c r="F2316" s="9">
        <v>2000</v>
      </c>
      <c r="G2316" s="9" t="s">
        <v>3873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3895</v>
      </c>
      <c r="N2316" s="4"/>
      <c r="O2316" s="5"/>
      <c r="P2316" s="10"/>
      <c r="Q2316" s="21" t="str">
        <f>VLOOKUP(tblProductos[[#This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3899</v>
      </c>
      <c r="D2317" s="9" t="s">
        <v>4144</v>
      </c>
      <c r="E2317" s="9" t="s">
        <v>3897</v>
      </c>
      <c r="F2317" s="9">
        <v>2000</v>
      </c>
      <c r="G2317" s="9" t="s">
        <v>3873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3895</v>
      </c>
      <c r="N2317" s="4"/>
      <c r="O2317" s="5"/>
      <c r="P2317" s="10"/>
      <c r="Q2317" s="21" t="str">
        <f>VLOOKUP(tblProductos[[#This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3899</v>
      </c>
      <c r="D2318" s="9" t="s">
        <v>4014</v>
      </c>
      <c r="E2318" s="9" t="s">
        <v>3897</v>
      </c>
      <c r="F2318" s="9">
        <v>2000</v>
      </c>
      <c r="G2318" s="9" t="s">
        <v>3873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3895</v>
      </c>
      <c r="N2318" s="4"/>
      <c r="O2318" s="5"/>
      <c r="P2318" s="10"/>
      <c r="Q2318" s="21" t="str">
        <f>VLOOKUP(tblProductos[[#This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3899</v>
      </c>
      <c r="D2319" s="9" t="s">
        <v>4020</v>
      </c>
      <c r="E2319" s="9" t="s">
        <v>3897</v>
      </c>
      <c r="F2319" s="9">
        <v>2000</v>
      </c>
      <c r="G2319" s="9" t="s">
        <v>3873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3895</v>
      </c>
      <c r="N2319" s="4"/>
      <c r="O2319" s="5"/>
      <c r="P2319" s="10"/>
      <c r="Q2319" s="21" t="str">
        <f>VLOOKUP(tblProductos[[#This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3899</v>
      </c>
      <c r="D2320" s="9" t="s">
        <v>4016</v>
      </c>
      <c r="E2320" s="9" t="s">
        <v>3897</v>
      </c>
      <c r="F2320" s="9">
        <v>2000</v>
      </c>
      <c r="G2320" s="9" t="s">
        <v>3873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3895</v>
      </c>
      <c r="N2320" s="4"/>
      <c r="O2320" s="5"/>
      <c r="P2320" s="10"/>
      <c r="Q2320" s="21" t="str">
        <f>VLOOKUP(tblProductos[[#This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3899</v>
      </c>
      <c r="D2321" s="9" t="s">
        <v>4145</v>
      </c>
      <c r="E2321" s="9" t="s">
        <v>3897</v>
      </c>
      <c r="F2321" s="9">
        <v>2000</v>
      </c>
      <c r="G2321" s="9" t="s">
        <v>3873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3895</v>
      </c>
      <c r="N2321" s="4"/>
      <c r="O2321" s="5"/>
      <c r="P2321" s="10"/>
      <c r="Q2321" s="21" t="str">
        <f>VLOOKUP(tblProductos[[#This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3899</v>
      </c>
      <c r="D2322" s="9" t="s">
        <v>4015</v>
      </c>
      <c r="E2322" s="9" t="s">
        <v>3897</v>
      </c>
      <c r="F2322" s="9">
        <v>2000</v>
      </c>
      <c r="G2322" s="9" t="s">
        <v>3873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3895</v>
      </c>
      <c r="N2322" s="4"/>
      <c r="O2322" s="5"/>
      <c r="P2322" s="10"/>
      <c r="Q2322" s="21" t="str">
        <f>VLOOKUP(tblProductos[[#This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3899</v>
      </c>
      <c r="D2323" s="9" t="s">
        <v>4054</v>
      </c>
      <c r="E2323" s="9" t="s">
        <v>3897</v>
      </c>
      <c r="F2323" s="9">
        <v>2000</v>
      </c>
      <c r="G2323" s="9" t="s">
        <v>3873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3895</v>
      </c>
      <c r="N2323" s="4"/>
      <c r="O2323" s="5"/>
      <c r="P2323" s="10"/>
      <c r="Q2323" s="21" t="str">
        <f>VLOOKUP(tblProductos[[#This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3899</v>
      </c>
      <c r="D2324" s="9" t="s">
        <v>4118</v>
      </c>
      <c r="E2324" s="9" t="s">
        <v>3897</v>
      </c>
      <c r="F2324" s="9">
        <v>2000</v>
      </c>
      <c r="G2324" s="9" t="s">
        <v>3873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3895</v>
      </c>
      <c r="N2324" s="4"/>
      <c r="O2324" s="5"/>
      <c r="P2324" s="10"/>
      <c r="Q2324" s="21" t="str">
        <f>VLOOKUP(tblProductos[[#This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3899</v>
      </c>
      <c r="D2325" s="9" t="s">
        <v>4022</v>
      </c>
      <c r="E2325" s="9" t="s">
        <v>3897</v>
      </c>
      <c r="F2325" s="9">
        <v>2000</v>
      </c>
      <c r="G2325" s="9" t="s">
        <v>3873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3895</v>
      </c>
      <c r="N2325" s="4"/>
      <c r="O2325" s="5"/>
      <c r="P2325" s="10"/>
      <c r="Q2325" s="21" t="str">
        <f>VLOOKUP(tblProductos[[#This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3899</v>
      </c>
      <c r="D2326" s="9" t="s">
        <v>4023</v>
      </c>
      <c r="E2326" s="9" t="s">
        <v>3897</v>
      </c>
      <c r="F2326" s="9">
        <v>2000</v>
      </c>
      <c r="G2326" s="9" t="s">
        <v>3873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3895</v>
      </c>
      <c r="N2326" s="4"/>
      <c r="O2326" s="5"/>
      <c r="P2326" s="10"/>
      <c r="Q2326" s="21" t="str">
        <f>VLOOKUP(tblProductos[[#This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3899</v>
      </c>
      <c r="D2327" s="9" t="s">
        <v>4029</v>
      </c>
      <c r="E2327" s="9" t="s">
        <v>3897</v>
      </c>
      <c r="F2327" s="9">
        <v>2000</v>
      </c>
      <c r="G2327" s="9" t="s">
        <v>3873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3895</v>
      </c>
      <c r="N2327" s="4"/>
      <c r="O2327" s="5"/>
      <c r="P2327" s="10"/>
      <c r="Q2327" s="21" t="str">
        <f>VLOOKUP(tblProductos[[#This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3899</v>
      </c>
      <c r="D2328" s="9" t="s">
        <v>4024</v>
      </c>
      <c r="E2328" s="9" t="s">
        <v>3897</v>
      </c>
      <c r="F2328" s="9">
        <v>2000</v>
      </c>
      <c r="G2328" s="9" t="s">
        <v>3873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3895</v>
      </c>
      <c r="N2328" s="4"/>
      <c r="O2328" s="5"/>
      <c r="P2328" s="10"/>
      <c r="Q2328" s="21" t="str">
        <f>VLOOKUP(tblProductos[[#This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3899</v>
      </c>
      <c r="D2329" s="9" t="s">
        <v>4034</v>
      </c>
      <c r="E2329" s="9" t="s">
        <v>3897</v>
      </c>
      <c r="F2329" s="9">
        <v>2000</v>
      </c>
      <c r="G2329" s="9" t="s">
        <v>3873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3895</v>
      </c>
      <c r="N2329" s="4"/>
      <c r="O2329" s="5"/>
      <c r="P2329" s="10"/>
      <c r="Q2329" s="21" t="str">
        <f>VLOOKUP(tblProductos[[#This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3899</v>
      </c>
      <c r="D2330" s="9" t="s">
        <v>4035</v>
      </c>
      <c r="E2330" s="9" t="s">
        <v>3897</v>
      </c>
      <c r="F2330" s="9">
        <v>2000</v>
      </c>
      <c r="G2330" s="9" t="s">
        <v>3873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3895</v>
      </c>
      <c r="N2330" s="4"/>
      <c r="O2330" s="5"/>
      <c r="P2330" s="10"/>
      <c r="Q2330" s="21" t="str">
        <f>VLOOKUP(tblProductos[[#This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3898</v>
      </c>
      <c r="D2331" s="9" t="s">
        <v>4017</v>
      </c>
      <c r="E2331" s="9" t="s">
        <v>3897</v>
      </c>
      <c r="F2331" s="9">
        <v>1000</v>
      </c>
      <c r="G2331" s="9" t="s">
        <v>3867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3895</v>
      </c>
      <c r="N2331" s="4"/>
      <c r="O2331" s="5"/>
      <c r="P2331" s="10"/>
      <c r="Q2331" s="21" t="str">
        <f>VLOOKUP(tblProductos[[#This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3898</v>
      </c>
      <c r="D2332" s="9" t="s">
        <v>4010</v>
      </c>
      <c r="E2332" s="9" t="s">
        <v>3897</v>
      </c>
      <c r="F2332" s="9">
        <v>1000</v>
      </c>
      <c r="G2332" s="9" t="s">
        <v>3867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3895</v>
      </c>
      <c r="N2332" s="4"/>
      <c r="O2332" s="5"/>
      <c r="P2332" s="10"/>
      <c r="Q2332" s="21" t="str">
        <f>VLOOKUP(tblProductos[[#This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3898</v>
      </c>
      <c r="D2333" s="9" t="s">
        <v>4125</v>
      </c>
      <c r="E2333" s="9" t="s">
        <v>3897</v>
      </c>
      <c r="F2333" s="9">
        <v>1000</v>
      </c>
      <c r="G2333" s="9" t="s">
        <v>3867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3895</v>
      </c>
      <c r="N2333" s="4"/>
      <c r="O2333" s="5"/>
      <c r="P2333" s="10"/>
      <c r="Q2333" s="21" t="str">
        <f>VLOOKUP(tblProductos[[#This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3898</v>
      </c>
      <c r="D2334" s="9" t="s">
        <v>4056</v>
      </c>
      <c r="E2334" s="9" t="s">
        <v>3897</v>
      </c>
      <c r="F2334" s="9">
        <v>1000</v>
      </c>
      <c r="G2334" s="9" t="s">
        <v>3867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3895</v>
      </c>
      <c r="N2334" s="4"/>
      <c r="O2334" s="5"/>
      <c r="P2334" s="10"/>
      <c r="Q2334" s="21" t="str">
        <f>VLOOKUP(tblProductos[[#This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3898</v>
      </c>
      <c r="D2335" s="9" t="s">
        <v>4006</v>
      </c>
      <c r="E2335" s="9" t="s">
        <v>3897</v>
      </c>
      <c r="F2335" s="9">
        <v>1000</v>
      </c>
      <c r="G2335" s="9" t="s">
        <v>3867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3895</v>
      </c>
      <c r="N2335" s="4"/>
      <c r="O2335" s="5"/>
      <c r="P2335" s="10"/>
      <c r="Q2335" s="21" t="str">
        <f>VLOOKUP(tblProductos[[#This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3898</v>
      </c>
      <c r="D2336" s="9" t="s">
        <v>4143</v>
      </c>
      <c r="E2336" s="9" t="s">
        <v>3897</v>
      </c>
      <c r="F2336" s="9">
        <v>1000</v>
      </c>
      <c r="G2336" s="9" t="s">
        <v>3867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3895</v>
      </c>
      <c r="N2336" s="4"/>
      <c r="O2336" s="5"/>
      <c r="P2336" s="10"/>
      <c r="Q2336" s="21" t="str">
        <f>VLOOKUP(tblProductos[[#This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3898</v>
      </c>
      <c r="D2337" s="9" t="s">
        <v>4031</v>
      </c>
      <c r="E2337" s="9" t="s">
        <v>3897</v>
      </c>
      <c r="F2337" s="9">
        <v>1000</v>
      </c>
      <c r="G2337" s="9" t="s">
        <v>3867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3895</v>
      </c>
      <c r="N2337" s="4"/>
      <c r="O2337" s="5"/>
      <c r="P2337" s="10"/>
      <c r="Q2337" s="21" t="str">
        <f>VLOOKUP(tblProductos[[#This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3898</v>
      </c>
      <c r="D2338" s="9" t="s">
        <v>4011</v>
      </c>
      <c r="E2338" s="9" t="s">
        <v>3897</v>
      </c>
      <c r="F2338" s="9">
        <v>1000</v>
      </c>
      <c r="G2338" s="9" t="s">
        <v>3867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3895</v>
      </c>
      <c r="N2338" s="4"/>
      <c r="O2338" s="5"/>
      <c r="P2338" s="10"/>
      <c r="Q2338" s="21" t="str">
        <f>VLOOKUP(tblProductos[[#This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3898</v>
      </c>
      <c r="D2339" s="9" t="s">
        <v>4030</v>
      </c>
      <c r="E2339" s="9" t="s">
        <v>3897</v>
      </c>
      <c r="F2339" s="9">
        <v>1000</v>
      </c>
      <c r="G2339" s="9" t="s">
        <v>3867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3895</v>
      </c>
      <c r="N2339" s="4"/>
      <c r="O2339" s="5"/>
      <c r="P2339" s="10"/>
      <c r="Q2339" s="21" t="str">
        <f>VLOOKUP(tblProductos[[#This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3898</v>
      </c>
      <c r="D2340" s="9" t="s">
        <v>4018</v>
      </c>
      <c r="E2340" s="9" t="s">
        <v>3897</v>
      </c>
      <c r="F2340" s="9">
        <v>1000</v>
      </c>
      <c r="G2340" s="9" t="s">
        <v>3867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3895</v>
      </c>
      <c r="N2340" s="4"/>
      <c r="O2340" s="5"/>
      <c r="P2340" s="10"/>
      <c r="Q2340" s="21" t="str">
        <f>VLOOKUP(tblProductos[[#This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3898</v>
      </c>
      <c r="D2341" s="9" t="s">
        <v>4009</v>
      </c>
      <c r="E2341" s="9" t="s">
        <v>3897</v>
      </c>
      <c r="F2341" s="9">
        <v>1000</v>
      </c>
      <c r="G2341" s="9" t="s">
        <v>3867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3895</v>
      </c>
      <c r="N2341" s="4"/>
      <c r="O2341" s="5"/>
      <c r="P2341" s="10"/>
      <c r="Q2341" s="21" t="str">
        <f>VLOOKUP(tblProductos[[#This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3898</v>
      </c>
      <c r="D2342" s="9" t="s">
        <v>4012</v>
      </c>
      <c r="E2342" s="9" t="s">
        <v>3897</v>
      </c>
      <c r="F2342" s="9">
        <v>1000</v>
      </c>
      <c r="G2342" s="9" t="s">
        <v>3867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3895</v>
      </c>
      <c r="N2342" s="4"/>
      <c r="O2342" s="5"/>
      <c r="P2342" s="10"/>
      <c r="Q2342" s="21" t="str">
        <f>VLOOKUP(tblProductos[[#This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3898</v>
      </c>
      <c r="D2343" s="9" t="s">
        <v>4013</v>
      </c>
      <c r="E2343" s="9" t="s">
        <v>3897</v>
      </c>
      <c r="F2343" s="9">
        <v>1000</v>
      </c>
      <c r="G2343" s="9" t="s">
        <v>3867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3895</v>
      </c>
      <c r="N2343" s="4"/>
      <c r="O2343" s="5"/>
      <c r="P2343" s="10"/>
      <c r="Q2343" s="21" t="str">
        <f>VLOOKUP(tblProductos[[#This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3898</v>
      </c>
      <c r="D2344" s="9" t="s">
        <v>4019</v>
      </c>
      <c r="E2344" s="9" t="s">
        <v>3897</v>
      </c>
      <c r="F2344" s="9">
        <v>1000</v>
      </c>
      <c r="G2344" s="9" t="s">
        <v>3867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3895</v>
      </c>
      <c r="N2344" s="4"/>
      <c r="O2344" s="5"/>
      <c r="P2344" s="10"/>
      <c r="Q2344" s="21" t="str">
        <f>VLOOKUP(tblProductos[[#This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3898</v>
      </c>
      <c r="D2345" s="9" t="s">
        <v>4032</v>
      </c>
      <c r="E2345" s="9" t="s">
        <v>3897</v>
      </c>
      <c r="F2345" s="9">
        <v>1000</v>
      </c>
      <c r="G2345" s="9" t="s">
        <v>3867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3895</v>
      </c>
      <c r="N2345" s="4"/>
      <c r="O2345" s="5"/>
      <c r="P2345" s="10"/>
      <c r="Q2345" s="21" t="str">
        <f>VLOOKUP(tblProductos[[#This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3898</v>
      </c>
      <c r="D2346" s="9" t="s">
        <v>4007</v>
      </c>
      <c r="E2346" s="9" t="s">
        <v>3897</v>
      </c>
      <c r="F2346" s="9">
        <v>1000</v>
      </c>
      <c r="G2346" s="9" t="s">
        <v>3867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3895</v>
      </c>
      <c r="N2346" s="4"/>
      <c r="O2346" s="5"/>
      <c r="P2346" s="10"/>
      <c r="Q2346" s="21" t="str">
        <f>VLOOKUP(tblProductos[[#This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3898</v>
      </c>
      <c r="D2347" s="9" t="s">
        <v>3888</v>
      </c>
      <c r="E2347" s="9" t="s">
        <v>3897</v>
      </c>
      <c r="F2347" s="9">
        <v>1000</v>
      </c>
      <c r="G2347" s="9" t="s">
        <v>3867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3895</v>
      </c>
      <c r="N2347" s="4"/>
      <c r="O2347" s="5"/>
      <c r="P2347" s="10"/>
      <c r="Q2347" s="21" t="str">
        <f>VLOOKUP(tblProductos[[#This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3898</v>
      </c>
      <c r="D2348" s="9" t="s">
        <v>4033</v>
      </c>
      <c r="E2348" s="9" t="s">
        <v>3897</v>
      </c>
      <c r="F2348" s="9">
        <v>1000</v>
      </c>
      <c r="G2348" s="9" t="s">
        <v>3867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3895</v>
      </c>
      <c r="N2348" s="4"/>
      <c r="O2348" s="5"/>
      <c r="P2348" s="10"/>
      <c r="Q2348" s="21" t="str">
        <f>VLOOKUP(tblProductos[[#This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3898</v>
      </c>
      <c r="D2349" s="9" t="s">
        <v>4144</v>
      </c>
      <c r="E2349" s="9" t="s">
        <v>3897</v>
      </c>
      <c r="F2349" s="9">
        <v>1000</v>
      </c>
      <c r="G2349" s="9" t="s">
        <v>3867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3895</v>
      </c>
      <c r="N2349" s="4"/>
      <c r="O2349" s="5"/>
      <c r="P2349" s="10"/>
      <c r="Q2349" s="21" t="str">
        <f>VLOOKUP(tblProductos[[#This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3898</v>
      </c>
      <c r="D2350" s="9" t="s">
        <v>4014</v>
      </c>
      <c r="E2350" s="9" t="s">
        <v>3897</v>
      </c>
      <c r="F2350" s="9">
        <v>1000</v>
      </c>
      <c r="G2350" s="9" t="s">
        <v>3867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3895</v>
      </c>
      <c r="N2350" s="4"/>
      <c r="O2350" s="5"/>
      <c r="P2350" s="10"/>
      <c r="Q2350" s="21" t="str">
        <f>VLOOKUP(tblProductos[[#This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3898</v>
      </c>
      <c r="D2351" s="9" t="s">
        <v>4008</v>
      </c>
      <c r="E2351" s="9" t="s">
        <v>3897</v>
      </c>
      <c r="F2351" s="9">
        <v>1000</v>
      </c>
      <c r="G2351" s="9" t="s">
        <v>3867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3895</v>
      </c>
      <c r="N2351" s="4"/>
      <c r="O2351" s="5"/>
      <c r="P2351" s="10"/>
      <c r="Q2351" s="21" t="str">
        <f>VLOOKUP(tblProductos[[#This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3898</v>
      </c>
      <c r="D2352" s="9" t="s">
        <v>4020</v>
      </c>
      <c r="E2352" s="9" t="s">
        <v>3897</v>
      </c>
      <c r="F2352" s="9">
        <v>1000</v>
      </c>
      <c r="G2352" s="9" t="s">
        <v>3867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3895</v>
      </c>
      <c r="N2352" s="4"/>
      <c r="O2352" s="5"/>
      <c r="P2352" s="10"/>
      <c r="Q2352" s="21" t="str">
        <f>VLOOKUP(tblProductos[[#This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3898</v>
      </c>
      <c r="D2353" s="9" t="s">
        <v>4016</v>
      </c>
      <c r="E2353" s="9" t="s">
        <v>3897</v>
      </c>
      <c r="F2353" s="9">
        <v>1000</v>
      </c>
      <c r="G2353" s="9" t="s">
        <v>3867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3895</v>
      </c>
      <c r="N2353" s="4"/>
      <c r="O2353" s="5"/>
      <c r="P2353" s="10"/>
      <c r="Q2353" s="21" t="str">
        <f>VLOOKUP(tblProductos[[#This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3898</v>
      </c>
      <c r="D2354" s="9" t="s">
        <v>4145</v>
      </c>
      <c r="E2354" s="9" t="s">
        <v>3897</v>
      </c>
      <c r="F2354" s="9">
        <v>1000</v>
      </c>
      <c r="G2354" s="9" t="s">
        <v>3867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3895</v>
      </c>
      <c r="N2354" s="4"/>
      <c r="O2354" s="5"/>
      <c r="P2354" s="10"/>
      <c r="Q2354" s="21" t="str">
        <f>VLOOKUP(tblProductos[[#This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3898</v>
      </c>
      <c r="D2355" s="9" t="s">
        <v>4021</v>
      </c>
      <c r="E2355" s="9" t="s">
        <v>3897</v>
      </c>
      <c r="F2355" s="9">
        <v>1000</v>
      </c>
      <c r="G2355" s="9" t="s">
        <v>3867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3895</v>
      </c>
      <c r="N2355" s="4"/>
      <c r="O2355" s="5"/>
      <c r="P2355" s="10"/>
      <c r="Q2355" s="21" t="str">
        <f>VLOOKUP(tblProductos[[#This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3898</v>
      </c>
      <c r="D2356" s="9" t="s">
        <v>4015</v>
      </c>
      <c r="E2356" s="9" t="s">
        <v>3897</v>
      </c>
      <c r="F2356" s="9">
        <v>1000</v>
      </c>
      <c r="G2356" s="9" t="s">
        <v>3867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3895</v>
      </c>
      <c r="N2356" s="4"/>
      <c r="O2356" s="5"/>
      <c r="P2356" s="10"/>
      <c r="Q2356" s="21" t="str">
        <f>VLOOKUP(tblProductos[[#This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3898</v>
      </c>
      <c r="D2357" s="9" t="s">
        <v>4054</v>
      </c>
      <c r="E2357" s="9" t="s">
        <v>3897</v>
      </c>
      <c r="F2357" s="9">
        <v>1000</v>
      </c>
      <c r="G2357" s="9" t="s">
        <v>3867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3895</v>
      </c>
      <c r="N2357" s="4"/>
      <c r="O2357" s="5"/>
      <c r="P2357" s="10"/>
      <c r="Q2357" s="21" t="str">
        <f>VLOOKUP(tblProductos[[#This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3898</v>
      </c>
      <c r="D2358" s="9" t="s">
        <v>4118</v>
      </c>
      <c r="E2358" s="9" t="s">
        <v>3897</v>
      </c>
      <c r="F2358" s="9">
        <v>1000</v>
      </c>
      <c r="G2358" s="9" t="s">
        <v>3867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3895</v>
      </c>
      <c r="N2358" s="4"/>
      <c r="O2358" s="5"/>
      <c r="P2358" s="10"/>
      <c r="Q2358" s="21" t="str">
        <f>VLOOKUP(tblProductos[[#This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3898</v>
      </c>
      <c r="D2359" s="9" t="s">
        <v>4022</v>
      </c>
      <c r="E2359" s="9" t="s">
        <v>3897</v>
      </c>
      <c r="F2359" s="9">
        <v>1000</v>
      </c>
      <c r="G2359" s="9" t="s">
        <v>3867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3895</v>
      </c>
      <c r="N2359" s="4"/>
      <c r="O2359" s="5"/>
      <c r="P2359" s="10"/>
      <c r="Q2359" s="21" t="str">
        <f>VLOOKUP(tblProductos[[#This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3898</v>
      </c>
      <c r="D2360" s="9" t="s">
        <v>3919</v>
      </c>
      <c r="E2360" s="9" t="s">
        <v>3897</v>
      </c>
      <c r="F2360" s="9">
        <v>1000</v>
      </c>
      <c r="G2360" s="9" t="s">
        <v>3867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3895</v>
      </c>
      <c r="N2360" s="4"/>
      <c r="O2360" s="5"/>
      <c r="P2360" s="10"/>
      <c r="Q2360" s="21" t="str">
        <f>VLOOKUP(tblProductos[[#This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3898</v>
      </c>
      <c r="D2361" s="9" t="s">
        <v>4023</v>
      </c>
      <c r="E2361" s="9" t="s">
        <v>3897</v>
      </c>
      <c r="F2361" s="9">
        <v>1000</v>
      </c>
      <c r="G2361" s="9" t="s">
        <v>3867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3895</v>
      </c>
      <c r="N2361" s="4"/>
      <c r="O2361" s="5"/>
      <c r="P2361" s="10"/>
      <c r="Q2361" s="21" t="str">
        <f>VLOOKUP(tblProductos[[#This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3898</v>
      </c>
      <c r="D2362" s="9" t="s">
        <v>4029</v>
      </c>
      <c r="E2362" s="9" t="s">
        <v>3897</v>
      </c>
      <c r="F2362" s="9">
        <v>1000</v>
      </c>
      <c r="G2362" s="9" t="s">
        <v>3867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3895</v>
      </c>
      <c r="N2362" s="4"/>
      <c r="O2362" s="5"/>
      <c r="P2362" s="10"/>
      <c r="Q2362" s="21" t="str">
        <f>VLOOKUP(tblProductos[[#This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3898</v>
      </c>
      <c r="D2363" s="9" t="s">
        <v>4024</v>
      </c>
      <c r="E2363" s="9" t="s">
        <v>3897</v>
      </c>
      <c r="F2363" s="9">
        <v>1000</v>
      </c>
      <c r="G2363" s="9" t="s">
        <v>3867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3895</v>
      </c>
      <c r="N2363" s="4"/>
      <c r="O2363" s="5"/>
      <c r="P2363" s="10"/>
      <c r="Q2363" s="21" t="str">
        <f>VLOOKUP(tblProductos[[#This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3898</v>
      </c>
      <c r="D2364" s="9" t="s">
        <v>4034</v>
      </c>
      <c r="E2364" s="9" t="s">
        <v>3897</v>
      </c>
      <c r="F2364" s="9">
        <v>1000</v>
      </c>
      <c r="G2364" s="9" t="s">
        <v>3867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3895</v>
      </c>
      <c r="N2364" s="4"/>
      <c r="O2364" s="5"/>
      <c r="P2364" s="10"/>
      <c r="Q2364" s="21" t="str">
        <f>VLOOKUP(tblProductos[[#This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3898</v>
      </c>
      <c r="D2365" s="9" t="s">
        <v>4035</v>
      </c>
      <c r="E2365" s="9" t="s">
        <v>3897</v>
      </c>
      <c r="F2365" s="9">
        <v>1000</v>
      </c>
      <c r="G2365" s="9" t="s">
        <v>3867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3895</v>
      </c>
      <c r="N2365" s="4"/>
      <c r="O2365" s="5"/>
      <c r="P2365" s="10"/>
      <c r="Q2365" s="21" t="str">
        <f>VLOOKUP(tblProductos[[#This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4041</v>
      </c>
      <c r="D2366" s="9" t="s">
        <v>4017</v>
      </c>
      <c r="E2366" s="9" t="s">
        <v>3897</v>
      </c>
      <c r="F2366" s="9">
        <v>1600</v>
      </c>
      <c r="G2366" s="9" t="s">
        <v>3867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3895</v>
      </c>
      <c r="N2366" s="4"/>
      <c r="O2366" s="5"/>
      <c r="P2366" s="10"/>
      <c r="Q2366" s="21" t="str">
        <f>VLOOKUP(tblProductos[[#This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4041</v>
      </c>
      <c r="D2367" s="9" t="s">
        <v>4010</v>
      </c>
      <c r="E2367" s="9" t="s">
        <v>3897</v>
      </c>
      <c r="F2367" s="9">
        <v>1600</v>
      </c>
      <c r="G2367" s="9" t="s">
        <v>3867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3895</v>
      </c>
      <c r="N2367" s="4"/>
      <c r="O2367" s="5"/>
      <c r="P2367" s="10"/>
      <c r="Q2367" s="21" t="str">
        <f>VLOOKUP(tblProductos[[#This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4041</v>
      </c>
      <c r="D2368" s="9" t="s">
        <v>4125</v>
      </c>
      <c r="E2368" s="9" t="s">
        <v>3897</v>
      </c>
      <c r="F2368" s="9">
        <v>1600</v>
      </c>
      <c r="G2368" s="9" t="s">
        <v>3867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3895</v>
      </c>
      <c r="N2368" s="4"/>
      <c r="O2368" s="5"/>
      <c r="P2368" s="10"/>
      <c r="Q2368" s="21" t="str">
        <f>VLOOKUP(tblProductos[[#This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4041</v>
      </c>
      <c r="D2369" s="9" t="s">
        <v>4056</v>
      </c>
      <c r="E2369" s="9" t="s">
        <v>3897</v>
      </c>
      <c r="F2369" s="9">
        <v>1600</v>
      </c>
      <c r="G2369" s="9" t="s">
        <v>3867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3895</v>
      </c>
      <c r="N2369" s="4"/>
      <c r="O2369" s="5"/>
      <c r="P2369" s="10"/>
      <c r="Q2369" s="21" t="str">
        <f>VLOOKUP(tblProductos[[#This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4041</v>
      </c>
      <c r="D2370" s="9" t="s">
        <v>4006</v>
      </c>
      <c r="E2370" s="9" t="s">
        <v>3897</v>
      </c>
      <c r="F2370" s="9">
        <v>1600</v>
      </c>
      <c r="G2370" s="9" t="s">
        <v>3867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3895</v>
      </c>
      <c r="N2370" s="4"/>
      <c r="O2370" s="5"/>
      <c r="P2370" s="10"/>
      <c r="Q2370" s="21" t="str">
        <f>VLOOKUP(tblProductos[[#This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4041</v>
      </c>
      <c r="D2371" s="9" t="s">
        <v>4143</v>
      </c>
      <c r="E2371" s="9" t="s">
        <v>3897</v>
      </c>
      <c r="F2371" s="9">
        <v>1600</v>
      </c>
      <c r="G2371" s="9" t="s">
        <v>3867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3895</v>
      </c>
      <c r="N2371" s="4"/>
      <c r="O2371" s="5"/>
      <c r="P2371" s="10"/>
      <c r="Q2371" s="21" t="str">
        <f>VLOOKUP(tblProductos[[#This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4041</v>
      </c>
      <c r="D2372" s="9" t="s">
        <v>4031</v>
      </c>
      <c r="E2372" s="9" t="s">
        <v>3897</v>
      </c>
      <c r="F2372" s="9">
        <v>1600</v>
      </c>
      <c r="G2372" s="9" t="s">
        <v>3867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3895</v>
      </c>
      <c r="N2372" s="4"/>
      <c r="O2372" s="5"/>
      <c r="P2372" s="10"/>
      <c r="Q2372" s="21" t="str">
        <f>VLOOKUP(tblProductos[[#This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4041</v>
      </c>
      <c r="D2373" s="9" t="s">
        <v>4011</v>
      </c>
      <c r="E2373" s="9" t="s">
        <v>3897</v>
      </c>
      <c r="F2373" s="9">
        <v>1600</v>
      </c>
      <c r="G2373" s="9" t="s">
        <v>3867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3895</v>
      </c>
      <c r="N2373" s="4"/>
      <c r="O2373" s="5"/>
      <c r="P2373" s="10"/>
      <c r="Q2373" s="21" t="str">
        <f>VLOOKUP(tblProductos[[#This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4041</v>
      </c>
      <c r="D2374" s="9" t="s">
        <v>4030</v>
      </c>
      <c r="E2374" s="9" t="s">
        <v>3897</v>
      </c>
      <c r="F2374" s="9">
        <v>1600</v>
      </c>
      <c r="G2374" s="9" t="s">
        <v>3867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3895</v>
      </c>
      <c r="N2374" s="4"/>
      <c r="O2374" s="5"/>
      <c r="P2374" s="10"/>
      <c r="Q2374" s="21" t="str">
        <f>VLOOKUP(tblProductos[[#This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4041</v>
      </c>
      <c r="D2375" s="9" t="s">
        <v>4018</v>
      </c>
      <c r="E2375" s="9" t="s">
        <v>3897</v>
      </c>
      <c r="F2375" s="9">
        <v>1600</v>
      </c>
      <c r="G2375" s="9" t="s">
        <v>3867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3895</v>
      </c>
      <c r="N2375" s="4"/>
      <c r="O2375" s="5"/>
      <c r="P2375" s="10"/>
      <c r="Q2375" s="21" t="str">
        <f>VLOOKUP(tblProductos[[#This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4041</v>
      </c>
      <c r="D2376" s="9" t="s">
        <v>4009</v>
      </c>
      <c r="E2376" s="9" t="s">
        <v>3897</v>
      </c>
      <c r="F2376" s="9">
        <v>1600</v>
      </c>
      <c r="G2376" s="9" t="s">
        <v>3867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3895</v>
      </c>
      <c r="N2376" s="4"/>
      <c r="O2376" s="5"/>
      <c r="P2376" s="10"/>
      <c r="Q2376" s="21" t="str">
        <f>VLOOKUP(tblProductos[[#This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4041</v>
      </c>
      <c r="D2377" s="9" t="s">
        <v>4012</v>
      </c>
      <c r="E2377" s="9" t="s">
        <v>3897</v>
      </c>
      <c r="F2377" s="9">
        <v>1600</v>
      </c>
      <c r="G2377" s="9" t="s">
        <v>3867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3895</v>
      </c>
      <c r="N2377" s="4"/>
      <c r="O2377" s="5"/>
      <c r="P2377" s="10"/>
      <c r="Q2377" s="21" t="str">
        <f>VLOOKUP(tblProductos[[#This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4041</v>
      </c>
      <c r="D2378" s="9" t="s">
        <v>4013</v>
      </c>
      <c r="E2378" s="9" t="s">
        <v>3897</v>
      </c>
      <c r="F2378" s="9">
        <v>1600</v>
      </c>
      <c r="G2378" s="9" t="s">
        <v>3867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3895</v>
      </c>
      <c r="N2378" s="4"/>
      <c r="O2378" s="5"/>
      <c r="P2378" s="10"/>
      <c r="Q2378" s="21" t="str">
        <f>VLOOKUP(tblProductos[[#This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4041</v>
      </c>
      <c r="D2379" s="9" t="s">
        <v>3923</v>
      </c>
      <c r="E2379" s="9" t="s">
        <v>3897</v>
      </c>
      <c r="F2379" s="9">
        <v>1600</v>
      </c>
      <c r="G2379" s="9" t="s">
        <v>3867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3895</v>
      </c>
      <c r="N2379" s="4"/>
      <c r="O2379" s="5"/>
      <c r="P2379" s="10"/>
      <c r="Q2379" s="21" t="str">
        <f>VLOOKUP(tblProductos[[#This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4041</v>
      </c>
      <c r="D2380" s="9" t="s">
        <v>4019</v>
      </c>
      <c r="E2380" s="9" t="s">
        <v>3897</v>
      </c>
      <c r="F2380" s="9">
        <v>1600</v>
      </c>
      <c r="G2380" s="9" t="s">
        <v>3867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3895</v>
      </c>
      <c r="N2380" s="4"/>
      <c r="O2380" s="5"/>
      <c r="P2380" s="10"/>
      <c r="Q2380" s="21" t="str">
        <f>VLOOKUP(tblProductos[[#This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4041</v>
      </c>
      <c r="D2381" s="9" t="s">
        <v>4032</v>
      </c>
      <c r="E2381" s="9" t="s">
        <v>3897</v>
      </c>
      <c r="F2381" s="9">
        <v>1600</v>
      </c>
      <c r="G2381" s="9" t="s">
        <v>3867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3895</v>
      </c>
      <c r="N2381" s="4"/>
      <c r="O2381" s="5"/>
      <c r="P2381" s="10"/>
      <c r="Q2381" s="21" t="str">
        <f>VLOOKUP(tblProductos[[#This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4041</v>
      </c>
      <c r="D2382" s="9" t="s">
        <v>4007</v>
      </c>
      <c r="E2382" s="9" t="s">
        <v>3897</v>
      </c>
      <c r="F2382" s="9">
        <v>1600</v>
      </c>
      <c r="G2382" s="9" t="s">
        <v>3867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3895</v>
      </c>
      <c r="N2382" s="4"/>
      <c r="O2382" s="5"/>
      <c r="P2382" s="10"/>
      <c r="Q2382" s="21" t="str">
        <f>VLOOKUP(tblProductos[[#This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4041</v>
      </c>
      <c r="D2383" s="9" t="s">
        <v>3888</v>
      </c>
      <c r="E2383" s="9" t="s">
        <v>3897</v>
      </c>
      <c r="F2383" s="9">
        <v>1600</v>
      </c>
      <c r="G2383" s="9" t="s">
        <v>3867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3895</v>
      </c>
      <c r="N2383" s="4"/>
      <c r="O2383" s="5"/>
      <c r="P2383" s="10"/>
      <c r="Q2383" s="21" t="str">
        <f>VLOOKUP(tblProductos[[#This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4041</v>
      </c>
      <c r="D2384" s="9" t="s">
        <v>4033</v>
      </c>
      <c r="E2384" s="9" t="s">
        <v>3897</v>
      </c>
      <c r="F2384" s="9">
        <v>1600</v>
      </c>
      <c r="G2384" s="9" t="s">
        <v>3867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3895</v>
      </c>
      <c r="N2384" s="4"/>
      <c r="O2384" s="5"/>
      <c r="P2384" s="10"/>
      <c r="Q2384" s="21" t="str">
        <f>VLOOKUP(tblProductos[[#This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4041</v>
      </c>
      <c r="D2385" s="9" t="s">
        <v>4144</v>
      </c>
      <c r="E2385" s="9" t="s">
        <v>3897</v>
      </c>
      <c r="F2385" s="9">
        <v>1600</v>
      </c>
      <c r="G2385" s="9" t="s">
        <v>3867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3895</v>
      </c>
      <c r="N2385" s="4"/>
      <c r="O2385" s="5"/>
      <c r="P2385" s="10"/>
      <c r="Q2385" s="21" t="str">
        <f>VLOOKUP(tblProductos[[#This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4041</v>
      </c>
      <c r="D2386" s="9" t="s">
        <v>4014</v>
      </c>
      <c r="E2386" s="9" t="s">
        <v>3897</v>
      </c>
      <c r="F2386" s="9">
        <v>1600</v>
      </c>
      <c r="G2386" s="9" t="s">
        <v>3867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3895</v>
      </c>
      <c r="N2386" s="4"/>
      <c r="O2386" s="5"/>
      <c r="P2386" s="10"/>
      <c r="Q2386" s="21" t="str">
        <f>VLOOKUP(tblProductos[[#This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4041</v>
      </c>
      <c r="D2387" s="9" t="s">
        <v>4008</v>
      </c>
      <c r="E2387" s="9" t="s">
        <v>3897</v>
      </c>
      <c r="F2387" s="9">
        <v>1600</v>
      </c>
      <c r="G2387" s="9" t="s">
        <v>3867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3895</v>
      </c>
      <c r="N2387" s="4"/>
      <c r="O2387" s="5"/>
      <c r="P2387" s="10"/>
      <c r="Q2387" s="21" t="str">
        <f>VLOOKUP(tblProductos[[#This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4041</v>
      </c>
      <c r="D2388" s="9" t="s">
        <v>4020</v>
      </c>
      <c r="E2388" s="9" t="s">
        <v>3897</v>
      </c>
      <c r="F2388" s="9">
        <v>1600</v>
      </c>
      <c r="G2388" s="9" t="s">
        <v>3867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3895</v>
      </c>
      <c r="N2388" s="4"/>
      <c r="O2388" s="5"/>
      <c r="P2388" s="10"/>
      <c r="Q2388" s="21" t="str">
        <f>VLOOKUP(tblProductos[[#This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4041</v>
      </c>
      <c r="D2389" s="9" t="s">
        <v>4016</v>
      </c>
      <c r="E2389" s="9" t="s">
        <v>3897</v>
      </c>
      <c r="F2389" s="9">
        <v>1600</v>
      </c>
      <c r="G2389" s="9" t="s">
        <v>3867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3895</v>
      </c>
      <c r="N2389" s="4"/>
      <c r="O2389" s="5"/>
      <c r="P2389" s="10"/>
      <c r="Q2389" s="21" t="str">
        <f>VLOOKUP(tblProductos[[#This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4041</v>
      </c>
      <c r="D2390" s="9" t="s">
        <v>4145</v>
      </c>
      <c r="E2390" s="9" t="s">
        <v>3897</v>
      </c>
      <c r="F2390" s="9">
        <v>1600</v>
      </c>
      <c r="G2390" s="9" t="s">
        <v>3867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3895</v>
      </c>
      <c r="N2390" s="4"/>
      <c r="O2390" s="5"/>
      <c r="P2390" s="10"/>
      <c r="Q2390" s="21" t="str">
        <f>VLOOKUP(tblProductos[[#This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4041</v>
      </c>
      <c r="D2391" s="9" t="s">
        <v>4021</v>
      </c>
      <c r="E2391" s="9" t="s">
        <v>3897</v>
      </c>
      <c r="F2391" s="9">
        <v>1600</v>
      </c>
      <c r="G2391" s="9" t="s">
        <v>3867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3895</v>
      </c>
      <c r="N2391" s="4"/>
      <c r="O2391" s="5"/>
      <c r="P2391" s="10"/>
      <c r="Q2391" s="21" t="str">
        <f>VLOOKUP(tblProductos[[#This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4041</v>
      </c>
      <c r="D2392" s="9" t="s">
        <v>4015</v>
      </c>
      <c r="E2392" s="9" t="s">
        <v>3897</v>
      </c>
      <c r="F2392" s="9">
        <v>1600</v>
      </c>
      <c r="G2392" s="9" t="s">
        <v>3867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3895</v>
      </c>
      <c r="N2392" s="4"/>
      <c r="O2392" s="5"/>
      <c r="P2392" s="10"/>
      <c r="Q2392" s="21" t="str">
        <f>VLOOKUP(tblProductos[[#This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4041</v>
      </c>
      <c r="D2393" s="9" t="s">
        <v>4054</v>
      </c>
      <c r="E2393" s="9" t="s">
        <v>3897</v>
      </c>
      <c r="F2393" s="9">
        <v>1600</v>
      </c>
      <c r="G2393" s="9" t="s">
        <v>3867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3895</v>
      </c>
      <c r="N2393" s="4"/>
      <c r="O2393" s="5"/>
      <c r="P2393" s="10"/>
      <c r="Q2393" s="21" t="str">
        <f>VLOOKUP(tblProductos[[#This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4041</v>
      </c>
      <c r="D2394" s="9" t="s">
        <v>4118</v>
      </c>
      <c r="E2394" s="9" t="s">
        <v>3897</v>
      </c>
      <c r="F2394" s="9">
        <v>1600</v>
      </c>
      <c r="G2394" s="9" t="s">
        <v>3867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3895</v>
      </c>
      <c r="N2394" s="4"/>
      <c r="O2394" s="5"/>
      <c r="P2394" s="10"/>
      <c r="Q2394" s="21" t="str">
        <f>VLOOKUP(tblProductos[[#This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4041</v>
      </c>
      <c r="D2395" s="9" t="s">
        <v>4022</v>
      </c>
      <c r="E2395" s="9" t="s">
        <v>3897</v>
      </c>
      <c r="F2395" s="9">
        <v>1600</v>
      </c>
      <c r="G2395" s="9" t="s">
        <v>3867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3895</v>
      </c>
      <c r="N2395" s="4"/>
      <c r="O2395" s="5"/>
      <c r="P2395" s="10"/>
      <c r="Q2395" s="21" t="str">
        <f>VLOOKUP(tblProductos[[#This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4041</v>
      </c>
      <c r="D2396" s="9" t="s">
        <v>3919</v>
      </c>
      <c r="E2396" s="9" t="s">
        <v>3897</v>
      </c>
      <c r="F2396" s="9">
        <v>1600</v>
      </c>
      <c r="G2396" s="9" t="s">
        <v>3867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3895</v>
      </c>
      <c r="N2396" s="4"/>
      <c r="O2396" s="5"/>
      <c r="P2396" s="10"/>
      <c r="Q2396" s="21" t="str">
        <f>VLOOKUP(tblProductos[[#This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4041</v>
      </c>
      <c r="D2397" s="9" t="s">
        <v>4023</v>
      </c>
      <c r="E2397" s="9" t="s">
        <v>3897</v>
      </c>
      <c r="F2397" s="9">
        <v>1600</v>
      </c>
      <c r="G2397" s="9" t="s">
        <v>3867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3895</v>
      </c>
      <c r="N2397" s="4"/>
      <c r="O2397" s="5"/>
      <c r="P2397" s="10"/>
      <c r="Q2397" s="21" t="str">
        <f>VLOOKUP(tblProductos[[#This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4041</v>
      </c>
      <c r="D2398" s="9" t="s">
        <v>4029</v>
      </c>
      <c r="E2398" s="9" t="s">
        <v>3897</v>
      </c>
      <c r="F2398" s="9">
        <v>1600</v>
      </c>
      <c r="G2398" s="9" t="s">
        <v>3867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3895</v>
      </c>
      <c r="N2398" s="4"/>
      <c r="O2398" s="5"/>
      <c r="P2398" s="10"/>
      <c r="Q2398" s="21" t="str">
        <f>VLOOKUP(tblProductos[[#This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4041</v>
      </c>
      <c r="D2399" s="9" t="s">
        <v>4024</v>
      </c>
      <c r="E2399" s="9" t="s">
        <v>3897</v>
      </c>
      <c r="F2399" s="9">
        <v>1600</v>
      </c>
      <c r="G2399" s="9" t="s">
        <v>3867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3895</v>
      </c>
      <c r="N2399" s="4"/>
      <c r="O2399" s="5"/>
      <c r="P2399" s="10"/>
      <c r="Q2399" s="21" t="str">
        <f>VLOOKUP(tblProductos[[#This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4041</v>
      </c>
      <c r="D2400" s="9" t="s">
        <v>4034</v>
      </c>
      <c r="E2400" s="9" t="s">
        <v>3897</v>
      </c>
      <c r="F2400" s="9">
        <v>1600</v>
      </c>
      <c r="G2400" s="9" t="s">
        <v>3867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3895</v>
      </c>
      <c r="N2400" s="4"/>
      <c r="O2400" s="5"/>
      <c r="P2400" s="10"/>
      <c r="Q2400" s="21" t="str">
        <f>VLOOKUP(tblProductos[[#This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4041</v>
      </c>
      <c r="D2401" s="9" t="s">
        <v>4035</v>
      </c>
      <c r="E2401" s="9" t="s">
        <v>3897</v>
      </c>
      <c r="F2401" s="9">
        <v>1600</v>
      </c>
      <c r="G2401" s="9" t="s">
        <v>3867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3895</v>
      </c>
      <c r="N2401" s="4"/>
      <c r="O2401" s="5"/>
      <c r="P2401" s="10"/>
      <c r="Q2401" s="21" t="str">
        <f>VLOOKUP(tblProductos[[#This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4121</v>
      </c>
      <c r="D2402" s="9" t="s">
        <v>4017</v>
      </c>
      <c r="E2402" s="9" t="s">
        <v>3897</v>
      </c>
      <c r="F2402" s="9">
        <v>1000</v>
      </c>
      <c r="G2402" s="9" t="s">
        <v>3867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3895</v>
      </c>
      <c r="N2402" s="4"/>
      <c r="O2402" s="5"/>
      <c r="P2402" s="10"/>
      <c r="Q2402" s="21" t="str">
        <f>VLOOKUP(tblProductos[[#This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4121</v>
      </c>
      <c r="D2403" s="9" t="s">
        <v>4010</v>
      </c>
      <c r="E2403" s="9" t="s">
        <v>3897</v>
      </c>
      <c r="F2403" s="9">
        <v>1000</v>
      </c>
      <c r="G2403" s="9" t="s">
        <v>3867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3895</v>
      </c>
      <c r="N2403" s="4"/>
      <c r="O2403" s="5"/>
      <c r="P2403" s="10"/>
      <c r="Q2403" s="21" t="str">
        <f>VLOOKUP(tblProductos[[#This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4121</v>
      </c>
      <c r="D2404" s="9" t="s">
        <v>4125</v>
      </c>
      <c r="E2404" s="9" t="s">
        <v>3897</v>
      </c>
      <c r="F2404" s="9">
        <v>1000</v>
      </c>
      <c r="G2404" s="9" t="s">
        <v>3867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3895</v>
      </c>
      <c r="N2404" s="4"/>
      <c r="O2404" s="5"/>
      <c r="P2404" s="10"/>
      <c r="Q2404" s="21" t="str">
        <f>VLOOKUP(tblProductos[[#This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4121</v>
      </c>
      <c r="D2405" s="9" t="s">
        <v>4056</v>
      </c>
      <c r="E2405" s="9" t="s">
        <v>3897</v>
      </c>
      <c r="F2405" s="9">
        <v>1000</v>
      </c>
      <c r="G2405" s="9" t="s">
        <v>3867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3895</v>
      </c>
      <c r="N2405" s="4"/>
      <c r="O2405" s="5"/>
      <c r="P2405" s="10"/>
      <c r="Q2405" s="21" t="str">
        <f>VLOOKUP(tblProductos[[#This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4121</v>
      </c>
      <c r="D2406" s="9" t="s">
        <v>4006</v>
      </c>
      <c r="E2406" s="9" t="s">
        <v>3897</v>
      </c>
      <c r="F2406" s="9">
        <v>1000</v>
      </c>
      <c r="G2406" s="9" t="s">
        <v>3867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3895</v>
      </c>
      <c r="N2406" s="4"/>
      <c r="O2406" s="5"/>
      <c r="P2406" s="10"/>
      <c r="Q2406" s="21" t="str">
        <f>VLOOKUP(tblProductos[[#This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4121</v>
      </c>
      <c r="D2407" s="9" t="s">
        <v>4143</v>
      </c>
      <c r="E2407" s="9" t="s">
        <v>3897</v>
      </c>
      <c r="F2407" s="9">
        <v>1000</v>
      </c>
      <c r="G2407" s="9" t="s">
        <v>3867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3895</v>
      </c>
      <c r="N2407" s="4"/>
      <c r="O2407" s="5"/>
      <c r="P2407" s="10"/>
      <c r="Q2407" s="21" t="str">
        <f>VLOOKUP(tblProductos[[#This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4121</v>
      </c>
      <c r="D2408" s="9" t="s">
        <v>4031</v>
      </c>
      <c r="E2408" s="9" t="s">
        <v>3897</v>
      </c>
      <c r="F2408" s="9">
        <v>1000</v>
      </c>
      <c r="G2408" s="9" t="s">
        <v>3867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3895</v>
      </c>
      <c r="N2408" s="4"/>
      <c r="O2408" s="5"/>
      <c r="P2408" s="10"/>
      <c r="Q2408" s="21" t="str">
        <f>VLOOKUP(tblProductos[[#This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4121</v>
      </c>
      <c r="D2409" s="9" t="s">
        <v>4011</v>
      </c>
      <c r="E2409" s="9" t="s">
        <v>3897</v>
      </c>
      <c r="F2409" s="9">
        <v>1000</v>
      </c>
      <c r="G2409" s="9" t="s">
        <v>3867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3895</v>
      </c>
      <c r="N2409" s="4"/>
      <c r="O2409" s="5"/>
      <c r="P2409" s="10"/>
      <c r="Q2409" s="21" t="str">
        <f>VLOOKUP(tblProductos[[#This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4121</v>
      </c>
      <c r="D2410" s="9" t="s">
        <v>4030</v>
      </c>
      <c r="E2410" s="9" t="s">
        <v>3897</v>
      </c>
      <c r="F2410" s="9">
        <v>1000</v>
      </c>
      <c r="G2410" s="9" t="s">
        <v>3867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3895</v>
      </c>
      <c r="N2410" s="4"/>
      <c r="O2410" s="5"/>
      <c r="P2410" s="10"/>
      <c r="Q2410" s="21" t="str">
        <f>VLOOKUP(tblProductos[[#This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4121</v>
      </c>
      <c r="D2411" s="9" t="s">
        <v>4018</v>
      </c>
      <c r="E2411" s="9" t="s">
        <v>3897</v>
      </c>
      <c r="F2411" s="9">
        <v>1000</v>
      </c>
      <c r="G2411" s="9" t="s">
        <v>3867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3895</v>
      </c>
      <c r="N2411" s="4"/>
      <c r="O2411" s="5"/>
      <c r="P2411" s="10"/>
      <c r="Q2411" s="21" t="str">
        <f>VLOOKUP(tblProductos[[#This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4121</v>
      </c>
      <c r="D2412" s="9" t="s">
        <v>4009</v>
      </c>
      <c r="E2412" s="9" t="s">
        <v>3897</v>
      </c>
      <c r="F2412" s="9">
        <v>1000</v>
      </c>
      <c r="G2412" s="9" t="s">
        <v>3867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3895</v>
      </c>
      <c r="N2412" s="4"/>
      <c r="O2412" s="5"/>
      <c r="P2412" s="10"/>
      <c r="Q2412" s="21" t="str">
        <f>VLOOKUP(tblProductos[[#This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4121</v>
      </c>
      <c r="D2413" s="9" t="s">
        <v>4012</v>
      </c>
      <c r="E2413" s="9" t="s">
        <v>3897</v>
      </c>
      <c r="F2413" s="9">
        <v>1000</v>
      </c>
      <c r="G2413" s="9" t="s">
        <v>3867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3895</v>
      </c>
      <c r="N2413" s="4"/>
      <c r="O2413" s="5"/>
      <c r="P2413" s="10"/>
      <c r="Q2413" s="21" t="str">
        <f>VLOOKUP(tblProductos[[#This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4121</v>
      </c>
      <c r="D2414" s="9" t="s">
        <v>4013</v>
      </c>
      <c r="E2414" s="9" t="s">
        <v>3897</v>
      </c>
      <c r="F2414" s="9">
        <v>1000</v>
      </c>
      <c r="G2414" s="9" t="s">
        <v>3867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3895</v>
      </c>
      <c r="N2414" s="4"/>
      <c r="O2414" s="5"/>
      <c r="P2414" s="10"/>
      <c r="Q2414" s="21" t="str">
        <f>VLOOKUP(tblProductos[[#This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4121</v>
      </c>
      <c r="D2415" s="9" t="s">
        <v>3923</v>
      </c>
      <c r="E2415" s="9" t="s">
        <v>3897</v>
      </c>
      <c r="F2415" s="9">
        <v>1000</v>
      </c>
      <c r="G2415" s="9" t="s">
        <v>3867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3895</v>
      </c>
      <c r="N2415" s="4"/>
      <c r="O2415" s="5"/>
      <c r="P2415" s="10"/>
      <c r="Q2415" s="21" t="str">
        <f>VLOOKUP(tblProductos[[#This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4121</v>
      </c>
      <c r="D2416" s="9" t="s">
        <v>4019</v>
      </c>
      <c r="E2416" s="9" t="s">
        <v>3897</v>
      </c>
      <c r="F2416" s="9">
        <v>1000</v>
      </c>
      <c r="G2416" s="9" t="s">
        <v>3867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3895</v>
      </c>
      <c r="N2416" s="4"/>
      <c r="O2416" s="5"/>
      <c r="P2416" s="10"/>
      <c r="Q2416" s="21" t="str">
        <f>VLOOKUP(tblProductos[[#This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4121</v>
      </c>
      <c r="D2417" s="9" t="s">
        <v>4032</v>
      </c>
      <c r="E2417" s="9" t="s">
        <v>3897</v>
      </c>
      <c r="F2417" s="9">
        <v>1000</v>
      </c>
      <c r="G2417" s="9" t="s">
        <v>3867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3895</v>
      </c>
      <c r="N2417" s="4"/>
      <c r="O2417" s="5"/>
      <c r="P2417" s="10"/>
      <c r="Q2417" s="21" t="str">
        <f>VLOOKUP(tblProductos[[#This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4121</v>
      </c>
      <c r="D2418" s="9" t="s">
        <v>3888</v>
      </c>
      <c r="E2418" s="9" t="s">
        <v>3897</v>
      </c>
      <c r="F2418" s="9">
        <v>1000</v>
      </c>
      <c r="G2418" s="9" t="s">
        <v>3867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3895</v>
      </c>
      <c r="N2418" s="4"/>
      <c r="O2418" s="5"/>
      <c r="P2418" s="10"/>
      <c r="Q2418" s="21" t="str">
        <f>VLOOKUP(tblProductos[[#This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4121</v>
      </c>
      <c r="D2419" s="9" t="s">
        <v>4033</v>
      </c>
      <c r="E2419" s="9" t="s">
        <v>3897</v>
      </c>
      <c r="F2419" s="9">
        <v>1000</v>
      </c>
      <c r="G2419" s="9" t="s">
        <v>3867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3895</v>
      </c>
      <c r="N2419" s="4"/>
      <c r="O2419" s="5"/>
      <c r="P2419" s="10"/>
      <c r="Q2419" s="21" t="str">
        <f>VLOOKUP(tblProductos[[#This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4121</v>
      </c>
      <c r="D2420" s="9" t="s">
        <v>4144</v>
      </c>
      <c r="E2420" s="9" t="s">
        <v>3897</v>
      </c>
      <c r="F2420" s="9">
        <v>1000</v>
      </c>
      <c r="G2420" s="9" t="s">
        <v>3867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3895</v>
      </c>
      <c r="N2420" s="4"/>
      <c r="O2420" s="5"/>
      <c r="P2420" s="10"/>
      <c r="Q2420" s="21" t="str">
        <f>VLOOKUP(tblProductos[[#This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4121</v>
      </c>
      <c r="D2421" s="9" t="s">
        <v>4014</v>
      </c>
      <c r="E2421" s="9" t="s">
        <v>3897</v>
      </c>
      <c r="F2421" s="9">
        <v>1000</v>
      </c>
      <c r="G2421" s="9" t="s">
        <v>3867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3895</v>
      </c>
      <c r="N2421" s="4"/>
      <c r="O2421" s="5"/>
      <c r="P2421" s="10"/>
      <c r="Q2421" s="21" t="str">
        <f>VLOOKUP(tblProductos[[#This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4121</v>
      </c>
      <c r="D2422" s="9" t="s">
        <v>4008</v>
      </c>
      <c r="E2422" s="9" t="s">
        <v>3897</v>
      </c>
      <c r="F2422" s="9">
        <v>1000</v>
      </c>
      <c r="G2422" s="9" t="s">
        <v>3867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3895</v>
      </c>
      <c r="N2422" s="4"/>
      <c r="O2422" s="5"/>
      <c r="P2422" s="10"/>
      <c r="Q2422" s="21" t="str">
        <f>VLOOKUP(tblProductos[[#This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4121</v>
      </c>
      <c r="D2423" s="9" t="s">
        <v>4020</v>
      </c>
      <c r="E2423" s="9" t="s">
        <v>3897</v>
      </c>
      <c r="F2423" s="9">
        <v>1000</v>
      </c>
      <c r="G2423" s="9" t="s">
        <v>3867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3895</v>
      </c>
      <c r="N2423" s="4"/>
      <c r="O2423" s="5"/>
      <c r="P2423" s="10"/>
      <c r="Q2423" s="21" t="str">
        <f>VLOOKUP(tblProductos[[#This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4121</v>
      </c>
      <c r="D2424" s="9" t="s">
        <v>4016</v>
      </c>
      <c r="E2424" s="9" t="s">
        <v>3897</v>
      </c>
      <c r="F2424" s="9">
        <v>1000</v>
      </c>
      <c r="G2424" s="9" t="s">
        <v>3867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3895</v>
      </c>
      <c r="N2424" s="4"/>
      <c r="O2424" s="5"/>
      <c r="P2424" s="10"/>
      <c r="Q2424" s="21" t="str">
        <f>VLOOKUP(tblProductos[[#This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4121</v>
      </c>
      <c r="D2425" s="9" t="s">
        <v>4145</v>
      </c>
      <c r="E2425" s="9" t="s">
        <v>3897</v>
      </c>
      <c r="F2425" s="9">
        <v>1000</v>
      </c>
      <c r="G2425" s="9" t="s">
        <v>3867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3895</v>
      </c>
      <c r="N2425" s="4"/>
      <c r="O2425" s="5"/>
      <c r="P2425" s="10"/>
      <c r="Q2425" s="21" t="str">
        <f>VLOOKUP(tblProductos[[#This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4121</v>
      </c>
      <c r="D2426" s="9" t="s">
        <v>4021</v>
      </c>
      <c r="E2426" s="9" t="s">
        <v>3897</v>
      </c>
      <c r="F2426" s="9">
        <v>1000</v>
      </c>
      <c r="G2426" s="9" t="s">
        <v>3867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3895</v>
      </c>
      <c r="N2426" s="4"/>
      <c r="O2426" s="5"/>
      <c r="P2426" s="10"/>
      <c r="Q2426" s="21" t="str">
        <f>VLOOKUP(tblProductos[[#This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4121</v>
      </c>
      <c r="D2427" s="9" t="s">
        <v>4015</v>
      </c>
      <c r="E2427" s="9" t="s">
        <v>3897</v>
      </c>
      <c r="F2427" s="9">
        <v>1000</v>
      </c>
      <c r="G2427" s="9" t="s">
        <v>3867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3895</v>
      </c>
      <c r="N2427" s="4"/>
      <c r="O2427" s="5"/>
      <c r="P2427" s="10"/>
      <c r="Q2427" s="21" t="str">
        <f>VLOOKUP(tblProductos[[#This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4121</v>
      </c>
      <c r="D2428" s="9" t="s">
        <v>4054</v>
      </c>
      <c r="E2428" s="9" t="s">
        <v>3897</v>
      </c>
      <c r="F2428" s="9">
        <v>1000</v>
      </c>
      <c r="G2428" s="9" t="s">
        <v>3867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3895</v>
      </c>
      <c r="N2428" s="4"/>
      <c r="O2428" s="5"/>
      <c r="P2428" s="10"/>
      <c r="Q2428" s="21" t="str">
        <f>VLOOKUP(tblProductos[[#This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4121</v>
      </c>
      <c r="D2429" s="9" t="s">
        <v>4118</v>
      </c>
      <c r="E2429" s="9" t="s">
        <v>3897</v>
      </c>
      <c r="F2429" s="9">
        <v>1000</v>
      </c>
      <c r="G2429" s="9" t="s">
        <v>3867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3895</v>
      </c>
      <c r="N2429" s="4"/>
      <c r="O2429" s="5"/>
      <c r="P2429" s="10"/>
      <c r="Q2429" s="21" t="str">
        <f>VLOOKUP(tblProductos[[#This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4121</v>
      </c>
      <c r="D2430" s="9" t="s">
        <v>4022</v>
      </c>
      <c r="E2430" s="9" t="s">
        <v>3897</v>
      </c>
      <c r="F2430" s="9">
        <v>1000</v>
      </c>
      <c r="G2430" s="9" t="s">
        <v>3867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3895</v>
      </c>
      <c r="N2430" s="4"/>
      <c r="O2430" s="5"/>
      <c r="P2430" s="10"/>
      <c r="Q2430" s="21" t="str">
        <f>VLOOKUP(tblProductos[[#This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4121</v>
      </c>
      <c r="D2431" s="9" t="s">
        <v>3919</v>
      </c>
      <c r="E2431" s="9" t="s">
        <v>3897</v>
      </c>
      <c r="F2431" s="9">
        <v>1000</v>
      </c>
      <c r="G2431" s="9" t="s">
        <v>3867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3895</v>
      </c>
      <c r="N2431" s="4"/>
      <c r="O2431" s="5"/>
      <c r="P2431" s="10"/>
      <c r="Q2431" s="21" t="str">
        <f>VLOOKUP(tblProductos[[#This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4121</v>
      </c>
      <c r="D2432" s="9" t="s">
        <v>4023</v>
      </c>
      <c r="E2432" s="9" t="s">
        <v>3897</v>
      </c>
      <c r="F2432" s="9">
        <v>1000</v>
      </c>
      <c r="G2432" s="9" t="s">
        <v>3867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3895</v>
      </c>
      <c r="N2432" s="4"/>
      <c r="O2432" s="5"/>
      <c r="P2432" s="10"/>
      <c r="Q2432" s="21" t="str">
        <f>VLOOKUP(tblProductos[[#This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4121</v>
      </c>
      <c r="D2433" s="9" t="s">
        <v>4029</v>
      </c>
      <c r="E2433" s="9" t="s">
        <v>3897</v>
      </c>
      <c r="F2433" s="9">
        <v>1000</v>
      </c>
      <c r="G2433" s="9" t="s">
        <v>3867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3895</v>
      </c>
      <c r="N2433" s="4"/>
      <c r="O2433" s="5"/>
      <c r="P2433" s="10"/>
      <c r="Q2433" s="21" t="str">
        <f>VLOOKUP(tblProductos[[#This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4121</v>
      </c>
      <c r="D2434" s="9" t="s">
        <v>4024</v>
      </c>
      <c r="E2434" s="9" t="s">
        <v>3897</v>
      </c>
      <c r="F2434" s="9">
        <v>1000</v>
      </c>
      <c r="G2434" s="9" t="s">
        <v>3867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3895</v>
      </c>
      <c r="N2434" s="4"/>
      <c r="O2434" s="5"/>
      <c r="P2434" s="10"/>
      <c r="Q2434" s="21" t="str">
        <f>VLOOKUP(tblProductos[[#This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4121</v>
      </c>
      <c r="D2435" s="9" t="s">
        <v>4034</v>
      </c>
      <c r="E2435" s="9" t="s">
        <v>3897</v>
      </c>
      <c r="F2435" s="9">
        <v>1000</v>
      </c>
      <c r="G2435" s="9" t="s">
        <v>3867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3895</v>
      </c>
      <c r="N2435" s="4"/>
      <c r="O2435" s="5"/>
      <c r="P2435" s="10"/>
      <c r="Q2435" s="21" t="str">
        <f>VLOOKUP(tblProductos[[#This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4121</v>
      </c>
      <c r="D2436" s="9" t="s">
        <v>4035</v>
      </c>
      <c r="E2436" s="9" t="s">
        <v>3897</v>
      </c>
      <c r="F2436" s="9">
        <v>1000</v>
      </c>
      <c r="G2436" s="9" t="s">
        <v>3867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3895</v>
      </c>
      <c r="N2436" s="4"/>
      <c r="O2436" s="5"/>
      <c r="P2436" s="10"/>
      <c r="Q2436" s="21" t="str">
        <f>VLOOKUP(tblProductos[[#This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4121</v>
      </c>
      <c r="D2437" s="9" t="s">
        <v>4017</v>
      </c>
      <c r="E2437" s="9" t="s">
        <v>3897</v>
      </c>
      <c r="F2437" s="9">
        <v>1000</v>
      </c>
      <c r="G2437" s="9" t="s">
        <v>3867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3895</v>
      </c>
      <c r="N2437" s="4"/>
      <c r="O2437" s="5"/>
      <c r="P2437" s="10"/>
      <c r="Q2437" s="21" t="str">
        <f>VLOOKUP(tblProductos[[#This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4121</v>
      </c>
      <c r="D2438" s="9" t="s">
        <v>4010</v>
      </c>
      <c r="E2438" s="9" t="s">
        <v>3897</v>
      </c>
      <c r="F2438" s="9">
        <v>1000</v>
      </c>
      <c r="G2438" s="9" t="s">
        <v>3867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3895</v>
      </c>
      <c r="N2438" s="4"/>
      <c r="O2438" s="5"/>
      <c r="P2438" s="10"/>
      <c r="Q2438" s="21" t="str">
        <f>VLOOKUP(tblProductos[[#This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4121</v>
      </c>
      <c r="D2439" s="9" t="s">
        <v>4125</v>
      </c>
      <c r="E2439" s="9" t="s">
        <v>3897</v>
      </c>
      <c r="F2439" s="9">
        <v>1000</v>
      </c>
      <c r="G2439" s="9" t="s">
        <v>3867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3895</v>
      </c>
      <c r="N2439" s="4"/>
      <c r="O2439" s="5"/>
      <c r="P2439" s="10"/>
      <c r="Q2439" s="21" t="str">
        <f>VLOOKUP(tblProductos[[#This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4121</v>
      </c>
      <c r="D2440" s="9" t="s">
        <v>4056</v>
      </c>
      <c r="E2440" s="9" t="s">
        <v>3897</v>
      </c>
      <c r="F2440" s="9">
        <v>1000</v>
      </c>
      <c r="G2440" s="9" t="s">
        <v>3867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3895</v>
      </c>
      <c r="N2440" s="4"/>
      <c r="O2440" s="5"/>
      <c r="P2440" s="10"/>
      <c r="Q2440" s="21" t="str">
        <f>VLOOKUP(tblProductos[[#This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4121</v>
      </c>
      <c r="D2441" s="9" t="s">
        <v>4006</v>
      </c>
      <c r="E2441" s="9" t="s">
        <v>3897</v>
      </c>
      <c r="F2441" s="9">
        <v>1000</v>
      </c>
      <c r="G2441" s="9" t="s">
        <v>3867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3895</v>
      </c>
      <c r="N2441" s="4"/>
      <c r="O2441" s="5"/>
      <c r="P2441" s="10"/>
      <c r="Q2441" s="21" t="str">
        <f>VLOOKUP(tblProductos[[#This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4121</v>
      </c>
      <c r="D2442" s="9" t="s">
        <v>4143</v>
      </c>
      <c r="E2442" s="9" t="s">
        <v>3897</v>
      </c>
      <c r="F2442" s="9">
        <v>1000</v>
      </c>
      <c r="G2442" s="9" t="s">
        <v>3867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3895</v>
      </c>
      <c r="N2442" s="4"/>
      <c r="O2442" s="5"/>
      <c r="P2442" s="10"/>
      <c r="Q2442" s="21" t="str">
        <f>VLOOKUP(tblProductos[[#This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4121</v>
      </c>
      <c r="D2443" s="9" t="s">
        <v>4031</v>
      </c>
      <c r="E2443" s="9" t="s">
        <v>3897</v>
      </c>
      <c r="F2443" s="9">
        <v>1000</v>
      </c>
      <c r="G2443" s="9" t="s">
        <v>3867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3895</v>
      </c>
      <c r="N2443" s="4"/>
      <c r="O2443" s="5"/>
      <c r="P2443" s="10"/>
      <c r="Q2443" s="21" t="str">
        <f>VLOOKUP(tblProductos[[#This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4121</v>
      </c>
      <c r="D2444" s="9" t="s">
        <v>4011</v>
      </c>
      <c r="E2444" s="9" t="s">
        <v>3897</v>
      </c>
      <c r="F2444" s="9">
        <v>1000</v>
      </c>
      <c r="G2444" s="9" t="s">
        <v>3867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3895</v>
      </c>
      <c r="N2444" s="4"/>
      <c r="O2444" s="5"/>
      <c r="P2444" s="10"/>
      <c r="Q2444" s="21" t="str">
        <f>VLOOKUP(tblProductos[[#This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4121</v>
      </c>
      <c r="D2445" s="9" t="s">
        <v>4030</v>
      </c>
      <c r="E2445" s="9" t="s">
        <v>3897</v>
      </c>
      <c r="F2445" s="9">
        <v>1000</v>
      </c>
      <c r="G2445" s="9" t="s">
        <v>3867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3895</v>
      </c>
      <c r="N2445" s="4"/>
      <c r="O2445" s="5"/>
      <c r="P2445" s="10"/>
      <c r="Q2445" s="21" t="str">
        <f>VLOOKUP(tblProductos[[#This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4121</v>
      </c>
      <c r="D2446" s="9" t="s">
        <v>4018</v>
      </c>
      <c r="E2446" s="9" t="s">
        <v>3897</v>
      </c>
      <c r="F2446" s="9">
        <v>1000</v>
      </c>
      <c r="G2446" s="9" t="s">
        <v>3867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3895</v>
      </c>
      <c r="N2446" s="4"/>
      <c r="O2446" s="5"/>
      <c r="P2446" s="10"/>
      <c r="Q2446" s="21" t="str">
        <f>VLOOKUP(tblProductos[[#This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4121</v>
      </c>
      <c r="D2447" s="9" t="s">
        <v>4009</v>
      </c>
      <c r="E2447" s="9" t="s">
        <v>3897</v>
      </c>
      <c r="F2447" s="9">
        <v>1000</v>
      </c>
      <c r="G2447" s="9" t="s">
        <v>3867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3895</v>
      </c>
      <c r="N2447" s="4"/>
      <c r="O2447" s="5"/>
      <c r="P2447" s="10"/>
      <c r="Q2447" s="21" t="str">
        <f>VLOOKUP(tblProductos[[#This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4121</v>
      </c>
      <c r="D2448" s="9" t="s">
        <v>4012</v>
      </c>
      <c r="E2448" s="9" t="s">
        <v>3897</v>
      </c>
      <c r="F2448" s="9">
        <v>1000</v>
      </c>
      <c r="G2448" s="9" t="s">
        <v>3867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3895</v>
      </c>
      <c r="N2448" s="4"/>
      <c r="O2448" s="5"/>
      <c r="P2448" s="10"/>
      <c r="Q2448" s="21" t="str">
        <f>VLOOKUP(tblProductos[[#This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4121</v>
      </c>
      <c r="D2449" s="9" t="s">
        <v>4013</v>
      </c>
      <c r="E2449" s="9" t="s">
        <v>3897</v>
      </c>
      <c r="F2449" s="9">
        <v>1000</v>
      </c>
      <c r="G2449" s="9" t="s">
        <v>3867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3895</v>
      </c>
      <c r="N2449" s="4"/>
      <c r="O2449" s="5"/>
      <c r="P2449" s="10"/>
      <c r="Q2449" s="21" t="str">
        <f>VLOOKUP(tblProductos[[#This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4121</v>
      </c>
      <c r="D2450" s="9" t="s">
        <v>3923</v>
      </c>
      <c r="E2450" s="9" t="s">
        <v>3897</v>
      </c>
      <c r="F2450" s="9">
        <v>1000</v>
      </c>
      <c r="G2450" s="9" t="s">
        <v>3867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3895</v>
      </c>
      <c r="N2450" s="4"/>
      <c r="O2450" s="5"/>
      <c r="P2450" s="10"/>
      <c r="Q2450" s="21" t="str">
        <f>VLOOKUP(tblProductos[[#This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4121</v>
      </c>
      <c r="D2451" s="9" t="s">
        <v>4019</v>
      </c>
      <c r="E2451" s="9" t="s">
        <v>3897</v>
      </c>
      <c r="F2451" s="9">
        <v>1000</v>
      </c>
      <c r="G2451" s="9" t="s">
        <v>3867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3895</v>
      </c>
      <c r="N2451" s="4"/>
      <c r="O2451" s="5"/>
      <c r="P2451" s="10"/>
      <c r="Q2451" s="21" t="str">
        <f>VLOOKUP(tblProductos[[#This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4121</v>
      </c>
      <c r="D2452" s="9" t="s">
        <v>4032</v>
      </c>
      <c r="E2452" s="9" t="s">
        <v>3897</v>
      </c>
      <c r="F2452" s="9">
        <v>1000</v>
      </c>
      <c r="G2452" s="9" t="s">
        <v>3867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3895</v>
      </c>
      <c r="N2452" s="4"/>
      <c r="O2452" s="5"/>
      <c r="P2452" s="10"/>
      <c r="Q2452" s="21" t="str">
        <f>VLOOKUP(tblProductos[[#This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4121</v>
      </c>
      <c r="D2453" s="9" t="s">
        <v>4007</v>
      </c>
      <c r="E2453" s="9" t="s">
        <v>3897</v>
      </c>
      <c r="F2453" s="9">
        <v>1000</v>
      </c>
      <c r="G2453" s="9" t="s">
        <v>3867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3895</v>
      </c>
      <c r="N2453" s="4"/>
      <c r="O2453" s="5"/>
      <c r="P2453" s="10"/>
      <c r="Q2453" s="21" t="str">
        <f>VLOOKUP(tblProductos[[#This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4121</v>
      </c>
      <c r="D2454" s="9" t="s">
        <v>3888</v>
      </c>
      <c r="E2454" s="9" t="s">
        <v>3897</v>
      </c>
      <c r="F2454" s="9">
        <v>1000</v>
      </c>
      <c r="G2454" s="9" t="s">
        <v>3867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3895</v>
      </c>
      <c r="N2454" s="4"/>
      <c r="O2454" s="5"/>
      <c r="P2454" s="10"/>
      <c r="Q2454" s="21" t="str">
        <f>VLOOKUP(tblProductos[[#This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4121</v>
      </c>
      <c r="D2455" s="9" t="s">
        <v>4033</v>
      </c>
      <c r="E2455" s="9" t="s">
        <v>3897</v>
      </c>
      <c r="F2455" s="9">
        <v>1000</v>
      </c>
      <c r="G2455" s="9" t="s">
        <v>3867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3895</v>
      </c>
      <c r="N2455" s="4"/>
      <c r="O2455" s="5"/>
      <c r="P2455" s="10"/>
      <c r="Q2455" s="21" t="str">
        <f>VLOOKUP(tblProductos[[#This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4121</v>
      </c>
      <c r="D2456" s="9" t="s">
        <v>4144</v>
      </c>
      <c r="E2456" s="9" t="s">
        <v>3897</v>
      </c>
      <c r="F2456" s="9">
        <v>1000</v>
      </c>
      <c r="G2456" s="9" t="s">
        <v>3867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3895</v>
      </c>
      <c r="N2456" s="4"/>
      <c r="O2456" s="5"/>
      <c r="P2456" s="10"/>
      <c r="Q2456" s="21" t="str">
        <f>VLOOKUP(tblProductos[[#This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4121</v>
      </c>
      <c r="D2457" s="9" t="s">
        <v>4014</v>
      </c>
      <c r="E2457" s="9" t="s">
        <v>3897</v>
      </c>
      <c r="F2457" s="9">
        <v>1000</v>
      </c>
      <c r="G2457" s="9" t="s">
        <v>3867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3895</v>
      </c>
      <c r="N2457" s="4"/>
      <c r="O2457" s="5"/>
      <c r="P2457" s="10"/>
      <c r="Q2457" s="21" t="str">
        <f>VLOOKUP(tblProductos[[#This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4121</v>
      </c>
      <c r="D2458" s="9" t="s">
        <v>4008</v>
      </c>
      <c r="E2458" s="9" t="s">
        <v>3897</v>
      </c>
      <c r="F2458" s="9">
        <v>1000</v>
      </c>
      <c r="G2458" s="9" t="s">
        <v>3867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3895</v>
      </c>
      <c r="N2458" s="4"/>
      <c r="O2458" s="5"/>
      <c r="P2458" s="10"/>
      <c r="Q2458" s="21" t="str">
        <f>VLOOKUP(tblProductos[[#This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4121</v>
      </c>
      <c r="D2459" s="9" t="s">
        <v>4020</v>
      </c>
      <c r="E2459" s="9" t="s">
        <v>3897</v>
      </c>
      <c r="F2459" s="9">
        <v>1000</v>
      </c>
      <c r="G2459" s="9" t="s">
        <v>3867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3895</v>
      </c>
      <c r="N2459" s="4"/>
      <c r="O2459" s="5"/>
      <c r="P2459" s="10"/>
      <c r="Q2459" s="21" t="str">
        <f>VLOOKUP(tblProductos[[#This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4121</v>
      </c>
      <c r="D2460" s="9" t="s">
        <v>4016</v>
      </c>
      <c r="E2460" s="9" t="s">
        <v>3897</v>
      </c>
      <c r="F2460" s="9">
        <v>1000</v>
      </c>
      <c r="G2460" s="9" t="s">
        <v>3867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3895</v>
      </c>
      <c r="N2460" s="4"/>
      <c r="O2460" s="5"/>
      <c r="P2460" s="10"/>
      <c r="Q2460" s="21" t="str">
        <f>VLOOKUP(tblProductos[[#This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4121</v>
      </c>
      <c r="D2461" s="9" t="s">
        <v>4145</v>
      </c>
      <c r="E2461" s="9" t="s">
        <v>3897</v>
      </c>
      <c r="F2461" s="9">
        <v>1000</v>
      </c>
      <c r="G2461" s="9" t="s">
        <v>3867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3895</v>
      </c>
      <c r="N2461" s="4"/>
      <c r="O2461" s="5"/>
      <c r="P2461" s="10"/>
      <c r="Q2461" s="21" t="str">
        <f>VLOOKUP(tblProductos[[#This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4121</v>
      </c>
      <c r="D2462" s="9" t="s">
        <v>4021</v>
      </c>
      <c r="E2462" s="9" t="s">
        <v>3897</v>
      </c>
      <c r="F2462" s="9">
        <v>1000</v>
      </c>
      <c r="G2462" s="9" t="s">
        <v>3867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3895</v>
      </c>
      <c r="N2462" s="4"/>
      <c r="O2462" s="5"/>
      <c r="P2462" s="10"/>
      <c r="Q2462" s="21" t="str">
        <f>VLOOKUP(tblProductos[[#This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4121</v>
      </c>
      <c r="D2463" s="9" t="s">
        <v>4015</v>
      </c>
      <c r="E2463" s="9" t="s">
        <v>3897</v>
      </c>
      <c r="F2463" s="9">
        <v>1000</v>
      </c>
      <c r="G2463" s="9" t="s">
        <v>3867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3895</v>
      </c>
      <c r="N2463" s="4"/>
      <c r="O2463" s="5"/>
      <c r="P2463" s="10"/>
      <c r="Q2463" s="21" t="str">
        <f>VLOOKUP(tblProductos[[#This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4121</v>
      </c>
      <c r="D2464" s="9" t="s">
        <v>4054</v>
      </c>
      <c r="E2464" s="9" t="s">
        <v>3897</v>
      </c>
      <c r="F2464" s="9">
        <v>1000</v>
      </c>
      <c r="G2464" s="9" t="s">
        <v>3867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3895</v>
      </c>
      <c r="N2464" s="4"/>
      <c r="O2464" s="5"/>
      <c r="P2464" s="10"/>
      <c r="Q2464" s="21" t="str">
        <f>VLOOKUP(tblProductos[[#This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4121</v>
      </c>
      <c r="D2465" s="9" t="s">
        <v>4118</v>
      </c>
      <c r="E2465" s="9" t="s">
        <v>3897</v>
      </c>
      <c r="F2465" s="9">
        <v>1000</v>
      </c>
      <c r="G2465" s="9" t="s">
        <v>3867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3895</v>
      </c>
      <c r="N2465" s="4"/>
      <c r="O2465" s="5"/>
      <c r="P2465" s="10"/>
      <c r="Q2465" s="21" t="str">
        <f>VLOOKUP(tblProductos[[#This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4121</v>
      </c>
      <c r="D2466" s="9" t="s">
        <v>4022</v>
      </c>
      <c r="E2466" s="9" t="s">
        <v>3897</v>
      </c>
      <c r="F2466" s="9">
        <v>1000</v>
      </c>
      <c r="G2466" s="9" t="s">
        <v>3867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3895</v>
      </c>
      <c r="N2466" s="4"/>
      <c r="O2466" s="5"/>
      <c r="P2466" s="10"/>
      <c r="Q2466" s="21" t="str">
        <f>VLOOKUP(tblProductos[[#This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4121</v>
      </c>
      <c r="D2467" s="9" t="s">
        <v>3919</v>
      </c>
      <c r="E2467" s="9" t="s">
        <v>3897</v>
      </c>
      <c r="F2467" s="9">
        <v>1000</v>
      </c>
      <c r="G2467" s="9" t="s">
        <v>3867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3895</v>
      </c>
      <c r="N2467" s="4"/>
      <c r="O2467" s="5"/>
      <c r="P2467" s="10"/>
      <c r="Q2467" s="21" t="str">
        <f>VLOOKUP(tblProductos[[#This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4121</v>
      </c>
      <c r="D2468" s="9" t="s">
        <v>4023</v>
      </c>
      <c r="E2468" s="9" t="s">
        <v>3897</v>
      </c>
      <c r="F2468" s="9">
        <v>1000</v>
      </c>
      <c r="G2468" s="9" t="s">
        <v>3867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3895</v>
      </c>
      <c r="N2468" s="4"/>
      <c r="O2468" s="5"/>
      <c r="P2468" s="10"/>
      <c r="Q2468" s="21" t="str">
        <f>VLOOKUP(tblProductos[[#This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4121</v>
      </c>
      <c r="D2469" s="9" t="s">
        <v>4029</v>
      </c>
      <c r="E2469" s="9" t="s">
        <v>3897</v>
      </c>
      <c r="F2469" s="9">
        <v>1000</v>
      </c>
      <c r="G2469" s="9" t="s">
        <v>3867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3895</v>
      </c>
      <c r="N2469" s="4"/>
      <c r="O2469" s="5"/>
      <c r="P2469" s="10"/>
      <c r="Q2469" s="21" t="str">
        <f>VLOOKUP(tblProductos[[#This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4121</v>
      </c>
      <c r="D2470" s="9" t="s">
        <v>4024</v>
      </c>
      <c r="E2470" s="9" t="s">
        <v>3897</v>
      </c>
      <c r="F2470" s="9">
        <v>1000</v>
      </c>
      <c r="G2470" s="9" t="s">
        <v>3867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3895</v>
      </c>
      <c r="N2470" s="4"/>
      <c r="O2470" s="5"/>
      <c r="P2470" s="10"/>
      <c r="Q2470" s="21" t="str">
        <f>VLOOKUP(tblProductos[[#This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4121</v>
      </c>
      <c r="D2471" s="9" t="s">
        <v>4034</v>
      </c>
      <c r="E2471" s="9" t="s">
        <v>3897</v>
      </c>
      <c r="F2471" s="9">
        <v>1000</v>
      </c>
      <c r="G2471" s="9" t="s">
        <v>3867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3895</v>
      </c>
      <c r="N2471" s="4"/>
      <c r="O2471" s="5"/>
      <c r="P2471" s="10"/>
      <c r="Q2471" s="21" t="str">
        <f>VLOOKUP(tblProductos[[#This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4121</v>
      </c>
      <c r="D2472" s="9" t="s">
        <v>4035</v>
      </c>
      <c r="E2472" s="9" t="s">
        <v>3897</v>
      </c>
      <c r="F2472" s="9">
        <v>1000</v>
      </c>
      <c r="G2472" s="9" t="s">
        <v>3867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3895</v>
      </c>
      <c r="N2472" s="4"/>
      <c r="O2472" s="5"/>
      <c r="P2472" s="10"/>
      <c r="Q2472" s="21" t="str">
        <f>VLOOKUP(tblProductos[[#This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3910</v>
      </c>
      <c r="D2473" s="9" t="s">
        <v>4017</v>
      </c>
      <c r="E2473" s="9" t="s">
        <v>3875</v>
      </c>
      <c r="F2473" s="9">
        <v>250</v>
      </c>
      <c r="G2473" s="9" t="s">
        <v>3886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3895</v>
      </c>
      <c r="N2473" s="4"/>
      <c r="O2473" s="5"/>
      <c r="P2473" s="10"/>
      <c r="Q2473" s="21" t="str">
        <f>VLOOKUP(tblProductos[[#This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3910</v>
      </c>
      <c r="D2474" s="9" t="s">
        <v>4010</v>
      </c>
      <c r="E2474" s="9" t="s">
        <v>3875</v>
      </c>
      <c r="F2474" s="9">
        <v>250</v>
      </c>
      <c r="G2474" s="9" t="s">
        <v>3886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3895</v>
      </c>
      <c r="N2474" s="4"/>
      <c r="O2474" s="5"/>
      <c r="P2474" s="10"/>
      <c r="Q2474" s="21" t="str">
        <f>VLOOKUP(tblProductos[[#This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3910</v>
      </c>
      <c r="D2475" s="9" t="s">
        <v>4125</v>
      </c>
      <c r="E2475" s="9" t="s">
        <v>3875</v>
      </c>
      <c r="F2475" s="9">
        <v>250</v>
      </c>
      <c r="G2475" s="9" t="s">
        <v>3886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3895</v>
      </c>
      <c r="N2475" s="4"/>
      <c r="O2475" s="5"/>
      <c r="P2475" s="10"/>
      <c r="Q2475" s="21" t="str">
        <f>VLOOKUP(tblProductos[[#This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3910</v>
      </c>
      <c r="D2476" s="9" t="s">
        <v>4056</v>
      </c>
      <c r="E2476" s="9" t="s">
        <v>3875</v>
      </c>
      <c r="F2476" s="9">
        <v>250</v>
      </c>
      <c r="G2476" s="9" t="s">
        <v>3886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3895</v>
      </c>
      <c r="N2476" s="4"/>
      <c r="O2476" s="5"/>
      <c r="P2476" s="10"/>
      <c r="Q2476" s="21" t="str">
        <f>VLOOKUP(tblProductos[[#This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3910</v>
      </c>
      <c r="D2477" s="9" t="s">
        <v>4143</v>
      </c>
      <c r="E2477" s="9" t="s">
        <v>3875</v>
      </c>
      <c r="F2477" s="9">
        <v>250</v>
      </c>
      <c r="G2477" s="9" t="s">
        <v>3886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3895</v>
      </c>
      <c r="N2477" s="4"/>
      <c r="O2477" s="5"/>
      <c r="P2477" s="10"/>
      <c r="Q2477" s="21" t="str">
        <f>VLOOKUP(tblProductos[[#This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3910</v>
      </c>
      <c r="D2478" s="9" t="s">
        <v>4031</v>
      </c>
      <c r="E2478" s="9" t="s">
        <v>3875</v>
      </c>
      <c r="F2478" s="9">
        <v>250</v>
      </c>
      <c r="G2478" s="9" t="s">
        <v>3886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3895</v>
      </c>
      <c r="N2478" s="4"/>
      <c r="O2478" s="5"/>
      <c r="P2478" s="10"/>
      <c r="Q2478" s="21" t="str">
        <f>VLOOKUP(tblProductos[[#This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3910</v>
      </c>
      <c r="D2479" s="9" t="s">
        <v>4011</v>
      </c>
      <c r="E2479" s="9" t="s">
        <v>3875</v>
      </c>
      <c r="F2479" s="9">
        <v>250</v>
      </c>
      <c r="G2479" s="9" t="s">
        <v>3886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3895</v>
      </c>
      <c r="N2479" s="4"/>
      <c r="O2479" s="5"/>
      <c r="P2479" s="10"/>
      <c r="Q2479" s="21" t="str">
        <f>VLOOKUP(tblProductos[[#This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3910</v>
      </c>
      <c r="D2480" s="9" t="s">
        <v>4018</v>
      </c>
      <c r="E2480" s="9" t="s">
        <v>3875</v>
      </c>
      <c r="F2480" s="9">
        <v>250</v>
      </c>
      <c r="G2480" s="9" t="s">
        <v>3886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3895</v>
      </c>
      <c r="N2480" s="4"/>
      <c r="O2480" s="5"/>
      <c r="P2480" s="10"/>
      <c r="Q2480" s="21" t="str">
        <f>VLOOKUP(tblProductos[[#This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3910</v>
      </c>
      <c r="D2481" s="9" t="s">
        <v>4012</v>
      </c>
      <c r="E2481" s="9" t="s">
        <v>3875</v>
      </c>
      <c r="F2481" s="9">
        <v>250</v>
      </c>
      <c r="G2481" s="9" t="s">
        <v>3886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3895</v>
      </c>
      <c r="N2481" s="4"/>
      <c r="O2481" s="5"/>
      <c r="P2481" s="10"/>
      <c r="Q2481" s="21" t="str">
        <f>VLOOKUP(tblProductos[[#This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3910</v>
      </c>
      <c r="D2482" s="9" t="s">
        <v>3923</v>
      </c>
      <c r="E2482" s="9" t="s">
        <v>3875</v>
      </c>
      <c r="F2482" s="9">
        <v>250</v>
      </c>
      <c r="G2482" s="9" t="s">
        <v>3886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3895</v>
      </c>
      <c r="N2482" s="4"/>
      <c r="O2482" s="5"/>
      <c r="P2482" s="10"/>
      <c r="Q2482" s="21" t="str">
        <f>VLOOKUP(tblProductos[[#This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3910</v>
      </c>
      <c r="D2483" s="9" t="s">
        <v>4019</v>
      </c>
      <c r="E2483" s="9" t="s">
        <v>3875</v>
      </c>
      <c r="F2483" s="9">
        <v>250</v>
      </c>
      <c r="G2483" s="9" t="s">
        <v>3886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3895</v>
      </c>
      <c r="N2483" s="4"/>
      <c r="O2483" s="5"/>
      <c r="P2483" s="10"/>
      <c r="Q2483" s="21" t="str">
        <f>VLOOKUP(tblProductos[[#This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3910</v>
      </c>
      <c r="D2484" s="9" t="s">
        <v>4032</v>
      </c>
      <c r="E2484" s="9" t="s">
        <v>3875</v>
      </c>
      <c r="F2484" s="9">
        <v>250</v>
      </c>
      <c r="G2484" s="9" t="s">
        <v>3886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3895</v>
      </c>
      <c r="N2484" s="4"/>
      <c r="O2484" s="5"/>
      <c r="P2484" s="10"/>
      <c r="Q2484" s="21" t="str">
        <f>VLOOKUP(tblProductos[[#This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3910</v>
      </c>
      <c r="D2485" s="9" t="s">
        <v>4033</v>
      </c>
      <c r="E2485" s="9" t="s">
        <v>3875</v>
      </c>
      <c r="F2485" s="9">
        <v>250</v>
      </c>
      <c r="G2485" s="9" t="s">
        <v>3886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3895</v>
      </c>
      <c r="N2485" s="4"/>
      <c r="O2485" s="5"/>
      <c r="P2485" s="10"/>
      <c r="Q2485" s="21" t="str">
        <f>VLOOKUP(tblProductos[[#This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3910</v>
      </c>
      <c r="D2486" s="9" t="s">
        <v>4144</v>
      </c>
      <c r="E2486" s="9" t="s">
        <v>3875</v>
      </c>
      <c r="F2486" s="9">
        <v>250</v>
      </c>
      <c r="G2486" s="9" t="s">
        <v>3886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3895</v>
      </c>
      <c r="N2486" s="4"/>
      <c r="O2486" s="5"/>
      <c r="P2486" s="10"/>
      <c r="Q2486" s="21" t="str">
        <f>VLOOKUP(tblProductos[[#This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3910</v>
      </c>
      <c r="D2487" s="9" t="s">
        <v>4014</v>
      </c>
      <c r="E2487" s="9" t="s">
        <v>3875</v>
      </c>
      <c r="F2487" s="9">
        <v>250</v>
      </c>
      <c r="G2487" s="9" t="s">
        <v>3886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3895</v>
      </c>
      <c r="N2487" s="4"/>
      <c r="O2487" s="5"/>
      <c r="P2487" s="10"/>
      <c r="Q2487" s="21" t="str">
        <f>VLOOKUP(tblProductos[[#This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3910</v>
      </c>
      <c r="D2488" s="9" t="s">
        <v>4020</v>
      </c>
      <c r="E2488" s="9" t="s">
        <v>3875</v>
      </c>
      <c r="F2488" s="9">
        <v>250</v>
      </c>
      <c r="G2488" s="9" t="s">
        <v>3886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3895</v>
      </c>
      <c r="N2488" s="4"/>
      <c r="O2488" s="5"/>
      <c r="P2488" s="10"/>
      <c r="Q2488" s="21" t="str">
        <f>VLOOKUP(tblProductos[[#This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3910</v>
      </c>
      <c r="D2489" s="9" t="s">
        <v>4016</v>
      </c>
      <c r="E2489" s="9" t="s">
        <v>3875</v>
      </c>
      <c r="F2489" s="9">
        <v>250</v>
      </c>
      <c r="G2489" s="9" t="s">
        <v>3886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3895</v>
      </c>
      <c r="N2489" s="4"/>
      <c r="O2489" s="5"/>
      <c r="P2489" s="10"/>
      <c r="Q2489" s="21" t="str">
        <f>VLOOKUP(tblProductos[[#This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3910</v>
      </c>
      <c r="D2490" s="9" t="s">
        <v>4145</v>
      </c>
      <c r="E2490" s="9" t="s">
        <v>3875</v>
      </c>
      <c r="F2490" s="9">
        <v>250</v>
      </c>
      <c r="G2490" s="9" t="s">
        <v>3886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3895</v>
      </c>
      <c r="N2490" s="4"/>
      <c r="O2490" s="5"/>
      <c r="P2490" s="10"/>
      <c r="Q2490" s="21" t="str">
        <f>VLOOKUP(tblProductos[[#This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3910</v>
      </c>
      <c r="D2491" s="9" t="s">
        <v>4021</v>
      </c>
      <c r="E2491" s="9" t="s">
        <v>3875</v>
      </c>
      <c r="F2491" s="9">
        <v>250</v>
      </c>
      <c r="G2491" s="9" t="s">
        <v>3886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3895</v>
      </c>
      <c r="N2491" s="4"/>
      <c r="O2491" s="5"/>
      <c r="P2491" s="10"/>
      <c r="Q2491" s="21" t="str">
        <f>VLOOKUP(tblProductos[[#This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3910</v>
      </c>
      <c r="D2492" s="9" t="s">
        <v>4054</v>
      </c>
      <c r="E2492" s="9" t="s">
        <v>3875</v>
      </c>
      <c r="F2492" s="9">
        <v>250</v>
      </c>
      <c r="G2492" s="9" t="s">
        <v>3886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3895</v>
      </c>
      <c r="N2492" s="4"/>
      <c r="O2492" s="5"/>
      <c r="P2492" s="10"/>
      <c r="Q2492" s="21" t="str">
        <f>VLOOKUP(tblProductos[[#This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3910</v>
      </c>
      <c r="D2493" s="9" t="s">
        <v>4118</v>
      </c>
      <c r="E2493" s="9" t="s">
        <v>3875</v>
      </c>
      <c r="F2493" s="9">
        <v>250</v>
      </c>
      <c r="G2493" s="9" t="s">
        <v>3886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3895</v>
      </c>
      <c r="N2493" s="4"/>
      <c r="O2493" s="5"/>
      <c r="P2493" s="10"/>
      <c r="Q2493" s="21" t="str">
        <f>VLOOKUP(tblProductos[[#This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3910</v>
      </c>
      <c r="D2494" s="9" t="s">
        <v>4022</v>
      </c>
      <c r="E2494" s="9" t="s">
        <v>3875</v>
      </c>
      <c r="F2494" s="9">
        <v>250</v>
      </c>
      <c r="G2494" s="9" t="s">
        <v>3886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3895</v>
      </c>
      <c r="N2494" s="4"/>
      <c r="O2494" s="5"/>
      <c r="P2494" s="10"/>
      <c r="Q2494" s="21" t="str">
        <f>VLOOKUP(tblProductos[[#This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3910</v>
      </c>
      <c r="D2495" s="9" t="s">
        <v>4023</v>
      </c>
      <c r="E2495" s="9" t="s">
        <v>3875</v>
      </c>
      <c r="F2495" s="9">
        <v>250</v>
      </c>
      <c r="G2495" s="9" t="s">
        <v>3886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3895</v>
      </c>
      <c r="N2495" s="4"/>
      <c r="O2495" s="5"/>
      <c r="P2495" s="10"/>
      <c r="Q2495" s="21" t="str">
        <f>VLOOKUP(tblProductos[[#This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3910</v>
      </c>
      <c r="D2496" s="9" t="s">
        <v>4024</v>
      </c>
      <c r="E2496" s="9" t="s">
        <v>3875</v>
      </c>
      <c r="F2496" s="9">
        <v>250</v>
      </c>
      <c r="G2496" s="9" t="s">
        <v>3886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3895</v>
      </c>
      <c r="N2496" s="4"/>
      <c r="O2496" s="5"/>
      <c r="P2496" s="10"/>
      <c r="Q2496" s="21" t="str">
        <f>VLOOKUP(tblProductos[[#This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3910</v>
      </c>
      <c r="D2497" s="9" t="s">
        <v>4034</v>
      </c>
      <c r="E2497" s="9" t="s">
        <v>3875</v>
      </c>
      <c r="F2497" s="9">
        <v>250</v>
      </c>
      <c r="G2497" s="9" t="s">
        <v>3886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3895</v>
      </c>
      <c r="N2497" s="4"/>
      <c r="O2497" s="5"/>
      <c r="P2497" s="10"/>
      <c r="Q2497" s="21" t="str">
        <f>VLOOKUP(tblProductos[[#This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3224</v>
      </c>
      <c r="D2498" s="9" t="s">
        <v>4017</v>
      </c>
      <c r="E2498" s="9"/>
      <c r="F2498" s="9">
        <v>150</v>
      </c>
      <c r="G2498" s="9" t="s">
        <v>3842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3843</v>
      </c>
      <c r="N2498" s="4"/>
      <c r="O2498" s="5"/>
      <c r="P2498" s="10"/>
      <c r="Q2498" s="21" t="str">
        <f>VLOOKUP(tblProductos[[#This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3224</v>
      </c>
      <c r="D2499" s="9" t="s">
        <v>4010</v>
      </c>
      <c r="E2499" s="9"/>
      <c r="F2499" s="9">
        <v>150</v>
      </c>
      <c r="G2499" s="9" t="s">
        <v>3842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3843</v>
      </c>
      <c r="N2499" s="4"/>
      <c r="O2499" s="5"/>
      <c r="P2499" s="10"/>
      <c r="Q2499" s="21" t="str">
        <f>VLOOKUP(tblProductos[[#This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3224</v>
      </c>
      <c r="D2500" s="9" t="s">
        <v>4125</v>
      </c>
      <c r="E2500" s="9"/>
      <c r="F2500" s="9">
        <v>150</v>
      </c>
      <c r="G2500" s="9" t="s">
        <v>3842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3843</v>
      </c>
      <c r="N2500" s="4"/>
      <c r="O2500" s="5"/>
      <c r="P2500" s="10"/>
      <c r="Q2500" s="21" t="str">
        <f>VLOOKUP(tblProductos[[#This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3224</v>
      </c>
      <c r="D2501" s="9" t="s">
        <v>4056</v>
      </c>
      <c r="E2501" s="9"/>
      <c r="F2501" s="9">
        <v>150</v>
      </c>
      <c r="G2501" s="9" t="s">
        <v>3842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3843</v>
      </c>
      <c r="N2501" s="4"/>
      <c r="O2501" s="5"/>
      <c r="P2501" s="10"/>
      <c r="Q2501" s="21" t="str">
        <f>VLOOKUP(tblProductos[[#This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3224</v>
      </c>
      <c r="D2502" s="9" t="s">
        <v>4006</v>
      </c>
      <c r="E2502" s="9"/>
      <c r="F2502" s="9">
        <v>150</v>
      </c>
      <c r="G2502" s="9" t="s">
        <v>3842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3843</v>
      </c>
      <c r="N2502" s="4"/>
      <c r="O2502" s="5"/>
      <c r="P2502" s="10"/>
      <c r="Q2502" s="21" t="str">
        <f>VLOOKUP(tblProductos[[#This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3224</v>
      </c>
      <c r="D2503" s="9" t="s">
        <v>4143</v>
      </c>
      <c r="E2503" s="9"/>
      <c r="F2503" s="9">
        <v>150</v>
      </c>
      <c r="G2503" s="9" t="s">
        <v>3842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3843</v>
      </c>
      <c r="N2503" s="4"/>
      <c r="O2503" s="5"/>
      <c r="P2503" s="10"/>
      <c r="Q2503" s="21" t="str">
        <f>VLOOKUP(tblProductos[[#This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3224</v>
      </c>
      <c r="D2504" s="9" t="s">
        <v>4031</v>
      </c>
      <c r="E2504" s="9"/>
      <c r="F2504" s="9">
        <v>150</v>
      </c>
      <c r="G2504" s="9" t="s">
        <v>3842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3843</v>
      </c>
      <c r="N2504" s="4"/>
      <c r="O2504" s="5"/>
      <c r="P2504" s="10"/>
      <c r="Q2504" s="21" t="str">
        <f>VLOOKUP(tblProductos[[#This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3224</v>
      </c>
      <c r="D2505" s="9" t="s">
        <v>4011</v>
      </c>
      <c r="E2505" s="9"/>
      <c r="F2505" s="9">
        <v>150</v>
      </c>
      <c r="G2505" s="9" t="s">
        <v>3842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3843</v>
      </c>
      <c r="N2505" s="4"/>
      <c r="O2505" s="5"/>
      <c r="P2505" s="10"/>
      <c r="Q2505" s="21" t="str">
        <f>VLOOKUP(tblProductos[[#This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3224</v>
      </c>
      <c r="D2506" s="9" t="s">
        <v>4030</v>
      </c>
      <c r="E2506" s="9"/>
      <c r="F2506" s="9">
        <v>150</v>
      </c>
      <c r="G2506" s="9" t="s">
        <v>3842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3843</v>
      </c>
      <c r="N2506" s="4"/>
      <c r="O2506" s="5"/>
      <c r="P2506" s="10"/>
      <c r="Q2506" s="21" t="str">
        <f>VLOOKUP(tblProductos[[#This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3224</v>
      </c>
      <c r="D2507" s="9" t="s">
        <v>4018</v>
      </c>
      <c r="E2507" s="9"/>
      <c r="F2507" s="9">
        <v>150</v>
      </c>
      <c r="G2507" s="9" t="s">
        <v>3842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3843</v>
      </c>
      <c r="N2507" s="4"/>
      <c r="O2507" s="5"/>
      <c r="P2507" s="10"/>
      <c r="Q2507" s="21" t="str">
        <f>VLOOKUP(tblProductos[[#This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3224</v>
      </c>
      <c r="D2508" s="9" t="s">
        <v>4009</v>
      </c>
      <c r="E2508" s="9"/>
      <c r="F2508" s="9">
        <v>150</v>
      </c>
      <c r="G2508" s="9" t="s">
        <v>3842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3843</v>
      </c>
      <c r="N2508" s="4"/>
      <c r="O2508" s="5"/>
      <c r="P2508" s="10"/>
      <c r="Q2508" s="21" t="str">
        <f>VLOOKUP(tblProductos[[#This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3224</v>
      </c>
      <c r="D2509" s="9" t="s">
        <v>4012</v>
      </c>
      <c r="E2509" s="9"/>
      <c r="F2509" s="9">
        <v>150</v>
      </c>
      <c r="G2509" s="9" t="s">
        <v>3842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3843</v>
      </c>
      <c r="N2509" s="4"/>
      <c r="O2509" s="5"/>
      <c r="P2509" s="10"/>
      <c r="Q2509" s="21" t="str">
        <f>VLOOKUP(tblProductos[[#This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3224</v>
      </c>
      <c r="D2510" s="9" t="s">
        <v>4013</v>
      </c>
      <c r="E2510" s="9"/>
      <c r="F2510" s="9">
        <v>150</v>
      </c>
      <c r="G2510" s="9" t="s">
        <v>3842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3843</v>
      </c>
      <c r="N2510" s="4"/>
      <c r="O2510" s="5"/>
      <c r="P2510" s="10"/>
      <c r="Q2510" s="21" t="str">
        <f>VLOOKUP(tblProductos[[#This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3224</v>
      </c>
      <c r="D2511" s="9" t="s">
        <v>3923</v>
      </c>
      <c r="E2511" s="9"/>
      <c r="F2511" s="9">
        <v>150</v>
      </c>
      <c r="G2511" s="9" t="s">
        <v>3842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3843</v>
      </c>
      <c r="N2511" s="4"/>
      <c r="O2511" s="5"/>
      <c r="P2511" s="10"/>
      <c r="Q2511" s="21" t="str">
        <f>VLOOKUP(tblProductos[[#This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3224</v>
      </c>
      <c r="D2512" s="9" t="s">
        <v>4019</v>
      </c>
      <c r="E2512" s="9"/>
      <c r="F2512" s="9">
        <v>150</v>
      </c>
      <c r="G2512" s="9" t="s">
        <v>3842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3843</v>
      </c>
      <c r="N2512" s="4"/>
      <c r="O2512" s="5"/>
      <c r="P2512" s="10"/>
      <c r="Q2512" s="21" t="str">
        <f>VLOOKUP(tblProductos[[#This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3224</v>
      </c>
      <c r="D2513" s="9" t="s">
        <v>4032</v>
      </c>
      <c r="E2513" s="9"/>
      <c r="F2513" s="9">
        <v>150</v>
      </c>
      <c r="G2513" s="9" t="s">
        <v>3842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3843</v>
      </c>
      <c r="N2513" s="4"/>
      <c r="O2513" s="5"/>
      <c r="P2513" s="10"/>
      <c r="Q2513" s="21" t="str">
        <f>VLOOKUP(tblProductos[[#This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3224</v>
      </c>
      <c r="D2514" s="9" t="s">
        <v>4007</v>
      </c>
      <c r="E2514" s="9"/>
      <c r="F2514" s="9">
        <v>150</v>
      </c>
      <c r="G2514" s="9" t="s">
        <v>3842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3843</v>
      </c>
      <c r="N2514" s="4"/>
      <c r="O2514" s="5"/>
      <c r="P2514" s="10"/>
      <c r="Q2514" s="21" t="str">
        <f>VLOOKUP(tblProductos[[#This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3224</v>
      </c>
      <c r="D2515" s="9" t="s">
        <v>4033</v>
      </c>
      <c r="E2515" s="9"/>
      <c r="F2515" s="9">
        <v>150</v>
      </c>
      <c r="G2515" s="9" t="s">
        <v>3842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3843</v>
      </c>
      <c r="N2515" s="4"/>
      <c r="O2515" s="5"/>
      <c r="P2515" s="10"/>
      <c r="Q2515" s="21" t="str">
        <f>VLOOKUP(tblProductos[[#This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3224</v>
      </c>
      <c r="D2516" s="9" t="s">
        <v>4144</v>
      </c>
      <c r="E2516" s="9"/>
      <c r="F2516" s="9">
        <v>150</v>
      </c>
      <c r="G2516" s="9" t="s">
        <v>3842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3843</v>
      </c>
      <c r="N2516" s="4"/>
      <c r="O2516" s="5"/>
      <c r="P2516" s="10"/>
      <c r="Q2516" s="21" t="str">
        <f>VLOOKUP(tblProductos[[#This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3224</v>
      </c>
      <c r="D2517" s="9" t="s">
        <v>4014</v>
      </c>
      <c r="E2517" s="9"/>
      <c r="F2517" s="9">
        <v>150</v>
      </c>
      <c r="G2517" s="9" t="s">
        <v>3842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3843</v>
      </c>
      <c r="N2517" s="4"/>
      <c r="O2517" s="5"/>
      <c r="P2517" s="10"/>
      <c r="Q2517" s="21" t="str">
        <f>VLOOKUP(tblProductos[[#This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3224</v>
      </c>
      <c r="D2518" s="9" t="s">
        <v>4008</v>
      </c>
      <c r="E2518" s="9"/>
      <c r="F2518" s="9">
        <v>150</v>
      </c>
      <c r="G2518" s="9" t="s">
        <v>3842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3843</v>
      </c>
      <c r="N2518" s="4"/>
      <c r="O2518" s="5"/>
      <c r="P2518" s="10"/>
      <c r="Q2518" s="21" t="str">
        <f>VLOOKUP(tblProductos[[#This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3224</v>
      </c>
      <c r="D2519" s="9" t="s">
        <v>4020</v>
      </c>
      <c r="E2519" s="9"/>
      <c r="F2519" s="9">
        <v>150</v>
      </c>
      <c r="G2519" s="9" t="s">
        <v>3842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3843</v>
      </c>
      <c r="N2519" s="4"/>
      <c r="O2519" s="5"/>
      <c r="P2519" s="10"/>
      <c r="Q2519" s="21" t="str">
        <f>VLOOKUP(tblProductos[[#This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3224</v>
      </c>
      <c r="D2520" s="9" t="s">
        <v>4016</v>
      </c>
      <c r="E2520" s="9"/>
      <c r="F2520" s="9">
        <v>150</v>
      </c>
      <c r="G2520" s="9" t="s">
        <v>3842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3843</v>
      </c>
      <c r="N2520" s="4"/>
      <c r="O2520" s="5"/>
      <c r="P2520" s="10"/>
      <c r="Q2520" s="21" t="str">
        <f>VLOOKUP(tblProductos[[#This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3224</v>
      </c>
      <c r="D2521" s="9" t="s">
        <v>4145</v>
      </c>
      <c r="E2521" s="9"/>
      <c r="F2521" s="9">
        <v>150</v>
      </c>
      <c r="G2521" s="9" t="s">
        <v>3842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3843</v>
      </c>
      <c r="N2521" s="4"/>
      <c r="O2521" s="5"/>
      <c r="P2521" s="10"/>
      <c r="Q2521" s="21" t="str">
        <f>VLOOKUP(tblProductos[[#This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3224</v>
      </c>
      <c r="D2522" s="9" t="s">
        <v>4021</v>
      </c>
      <c r="E2522" s="9"/>
      <c r="F2522" s="9">
        <v>150</v>
      </c>
      <c r="G2522" s="9" t="s">
        <v>3842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3843</v>
      </c>
      <c r="N2522" s="4"/>
      <c r="O2522" s="5"/>
      <c r="P2522" s="10"/>
      <c r="Q2522" s="21" t="str">
        <f>VLOOKUP(tblProductos[[#This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3224</v>
      </c>
      <c r="D2523" s="9" t="s">
        <v>4015</v>
      </c>
      <c r="E2523" s="9"/>
      <c r="F2523" s="9">
        <v>150</v>
      </c>
      <c r="G2523" s="9" t="s">
        <v>3842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3843</v>
      </c>
      <c r="N2523" s="4"/>
      <c r="O2523" s="5"/>
      <c r="P2523" s="10"/>
      <c r="Q2523" s="21" t="str">
        <f>VLOOKUP(tblProductos[[#This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3224</v>
      </c>
      <c r="D2524" s="9" t="s">
        <v>4054</v>
      </c>
      <c r="E2524" s="9"/>
      <c r="F2524" s="9">
        <v>150</v>
      </c>
      <c r="G2524" s="9" t="s">
        <v>3842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3843</v>
      </c>
      <c r="N2524" s="4"/>
      <c r="O2524" s="5"/>
      <c r="P2524" s="10"/>
      <c r="Q2524" s="21" t="str">
        <f>VLOOKUP(tblProductos[[#This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3224</v>
      </c>
      <c r="D2525" s="9" t="s">
        <v>4118</v>
      </c>
      <c r="E2525" s="9"/>
      <c r="F2525" s="9">
        <v>150</v>
      </c>
      <c r="G2525" s="9" t="s">
        <v>3842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3843</v>
      </c>
      <c r="N2525" s="4"/>
      <c r="O2525" s="5"/>
      <c r="P2525" s="10"/>
      <c r="Q2525" s="21" t="str">
        <f>VLOOKUP(tblProductos[[#This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3224</v>
      </c>
      <c r="D2526" s="9" t="s">
        <v>4022</v>
      </c>
      <c r="E2526" s="9"/>
      <c r="F2526" s="9">
        <v>150</v>
      </c>
      <c r="G2526" s="9" t="s">
        <v>3842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3843</v>
      </c>
      <c r="N2526" s="4"/>
      <c r="O2526" s="5"/>
      <c r="P2526" s="10"/>
      <c r="Q2526" s="21" t="str">
        <f>VLOOKUP(tblProductos[[#This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3224</v>
      </c>
      <c r="D2527" s="9" t="s">
        <v>3919</v>
      </c>
      <c r="E2527" s="9"/>
      <c r="F2527" s="9">
        <v>150</v>
      </c>
      <c r="G2527" s="9" t="s">
        <v>3842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3843</v>
      </c>
      <c r="N2527" s="4"/>
      <c r="O2527" s="5"/>
      <c r="P2527" s="10"/>
      <c r="Q2527" s="21" t="str">
        <f>VLOOKUP(tblProductos[[#This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3224</v>
      </c>
      <c r="D2528" s="9" t="s">
        <v>4023</v>
      </c>
      <c r="E2528" s="9"/>
      <c r="F2528" s="9">
        <v>150</v>
      </c>
      <c r="G2528" s="9" t="s">
        <v>3842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3843</v>
      </c>
      <c r="N2528" s="4"/>
      <c r="O2528" s="5"/>
      <c r="P2528" s="10"/>
      <c r="Q2528" s="21" t="str">
        <f>VLOOKUP(tblProductos[[#This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3224</v>
      </c>
      <c r="D2529" s="9" t="s">
        <v>4029</v>
      </c>
      <c r="E2529" s="9"/>
      <c r="F2529" s="9">
        <v>150</v>
      </c>
      <c r="G2529" s="9" t="s">
        <v>3842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3843</v>
      </c>
      <c r="N2529" s="4"/>
      <c r="O2529" s="5"/>
      <c r="P2529" s="10"/>
      <c r="Q2529" s="21" t="str">
        <f>VLOOKUP(tblProductos[[#This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3224</v>
      </c>
      <c r="D2530" s="9" t="s">
        <v>4024</v>
      </c>
      <c r="E2530" s="9"/>
      <c r="F2530" s="9">
        <v>150</v>
      </c>
      <c r="G2530" s="9" t="s">
        <v>3842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3843</v>
      </c>
      <c r="N2530" s="4"/>
      <c r="O2530" s="5"/>
      <c r="P2530" s="10"/>
      <c r="Q2530" s="21" t="str">
        <f>VLOOKUP(tblProductos[[#This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3224</v>
      </c>
      <c r="D2531" s="9" t="s">
        <v>4034</v>
      </c>
      <c r="E2531" s="9"/>
      <c r="F2531" s="9">
        <v>150</v>
      </c>
      <c r="G2531" s="9" t="s">
        <v>3842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3843</v>
      </c>
      <c r="N2531" s="4"/>
      <c r="O2531" s="5"/>
      <c r="P2531" s="10"/>
      <c r="Q2531" s="21" t="str">
        <f>VLOOKUP(tblProductos[[#This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3224</v>
      </c>
      <c r="D2532" s="9" t="s">
        <v>4035</v>
      </c>
      <c r="E2532" s="9"/>
      <c r="F2532" s="9">
        <v>150</v>
      </c>
      <c r="G2532" s="9" t="s">
        <v>3842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3843</v>
      </c>
      <c r="N2532" s="4"/>
      <c r="O2532" s="5"/>
      <c r="P2532" s="10"/>
      <c r="Q2532" s="21" t="str">
        <f>VLOOKUP(tblProductos[[#This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3920</v>
      </c>
      <c r="D2533" s="9" t="s">
        <v>4017</v>
      </c>
      <c r="E2533" s="9"/>
      <c r="F2533" s="9">
        <v>50</v>
      </c>
      <c r="G2533" s="9" t="s">
        <v>3842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3843</v>
      </c>
      <c r="N2533" s="4"/>
      <c r="O2533" s="5"/>
      <c r="P2533" s="10"/>
      <c r="Q2533" s="21" t="str">
        <f>VLOOKUP(tblProductos[[#This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3920</v>
      </c>
      <c r="D2534" s="9" t="s">
        <v>4125</v>
      </c>
      <c r="E2534" s="9"/>
      <c r="F2534" s="9">
        <v>50</v>
      </c>
      <c r="G2534" s="9" t="s">
        <v>3842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3843</v>
      </c>
      <c r="N2534" s="4"/>
      <c r="O2534" s="5"/>
      <c r="P2534" s="10"/>
      <c r="Q2534" s="21" t="str">
        <f>VLOOKUP(tblProductos[[#This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3920</v>
      </c>
      <c r="D2535" s="9" t="s">
        <v>4056</v>
      </c>
      <c r="E2535" s="9"/>
      <c r="F2535" s="9">
        <v>50</v>
      </c>
      <c r="G2535" s="9" t="s">
        <v>3842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3843</v>
      </c>
      <c r="N2535" s="4"/>
      <c r="O2535" s="5"/>
      <c r="P2535" s="10"/>
      <c r="Q2535" s="21" t="str">
        <f>VLOOKUP(tblProductos[[#This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3920</v>
      </c>
      <c r="D2536" s="9" t="s">
        <v>4006</v>
      </c>
      <c r="E2536" s="9"/>
      <c r="F2536" s="9">
        <v>50</v>
      </c>
      <c r="G2536" s="9" t="s">
        <v>3842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3843</v>
      </c>
      <c r="N2536" s="4"/>
      <c r="O2536" s="5"/>
      <c r="P2536" s="10"/>
      <c r="Q2536" s="21" t="str">
        <f>VLOOKUP(tblProductos[[#This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3920</v>
      </c>
      <c r="D2537" s="9" t="s">
        <v>4143</v>
      </c>
      <c r="E2537" s="9"/>
      <c r="F2537" s="9">
        <v>50</v>
      </c>
      <c r="G2537" s="9" t="s">
        <v>3842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3843</v>
      </c>
      <c r="N2537" s="4"/>
      <c r="O2537" s="5"/>
      <c r="P2537" s="10"/>
      <c r="Q2537" s="21" t="str">
        <f>VLOOKUP(tblProductos[[#This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3920</v>
      </c>
      <c r="D2538" s="9" t="s">
        <v>4030</v>
      </c>
      <c r="E2538" s="9"/>
      <c r="F2538" s="9">
        <v>50</v>
      </c>
      <c r="G2538" s="9" t="s">
        <v>3842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3843</v>
      </c>
      <c r="N2538" s="4"/>
      <c r="O2538" s="5"/>
      <c r="P2538" s="10"/>
      <c r="Q2538" s="21" t="str">
        <f>VLOOKUP(tblProductos[[#This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3920</v>
      </c>
      <c r="D2539" s="9" t="s">
        <v>4018</v>
      </c>
      <c r="E2539" s="9"/>
      <c r="F2539" s="9">
        <v>50</v>
      </c>
      <c r="G2539" s="9" t="s">
        <v>3842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3843</v>
      </c>
      <c r="N2539" s="4"/>
      <c r="O2539" s="5"/>
      <c r="P2539" s="10"/>
      <c r="Q2539" s="21" t="str">
        <f>VLOOKUP(tblProductos[[#This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3920</v>
      </c>
      <c r="D2540" s="9" t="s">
        <v>4009</v>
      </c>
      <c r="E2540" s="9"/>
      <c r="F2540" s="9">
        <v>50</v>
      </c>
      <c r="G2540" s="9" t="s">
        <v>3842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3843</v>
      </c>
      <c r="N2540" s="4"/>
      <c r="O2540" s="5">
        <v>3</v>
      </c>
      <c r="P2540" s="10"/>
      <c r="Q2540" s="21" t="str">
        <f>VLOOKUP(tblProductos[[#This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3920</v>
      </c>
      <c r="D2541" s="9" t="s">
        <v>4019</v>
      </c>
      <c r="E2541" s="9"/>
      <c r="F2541" s="9">
        <v>50</v>
      </c>
      <c r="G2541" s="9" t="s">
        <v>3842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3843</v>
      </c>
      <c r="N2541" s="4"/>
      <c r="O2541" s="5"/>
      <c r="P2541" s="10"/>
      <c r="Q2541" s="21" t="str">
        <f>VLOOKUP(tblProductos[[#This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3920</v>
      </c>
      <c r="D2542" s="9" t="s">
        <v>4032</v>
      </c>
      <c r="E2542" s="9"/>
      <c r="F2542" s="9">
        <v>50</v>
      </c>
      <c r="G2542" s="9" t="s">
        <v>3842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3843</v>
      </c>
      <c r="N2542" s="4"/>
      <c r="O2542" s="5"/>
      <c r="P2542" s="10"/>
      <c r="Q2542" s="21" t="str">
        <f>VLOOKUP(tblProductos[[#This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3920</v>
      </c>
      <c r="D2543" s="9" t="s">
        <v>4007</v>
      </c>
      <c r="E2543" s="9"/>
      <c r="F2543" s="9">
        <v>50</v>
      </c>
      <c r="G2543" s="9" t="s">
        <v>3842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3843</v>
      </c>
      <c r="N2543" s="4"/>
      <c r="O2543" s="5"/>
      <c r="P2543" s="10"/>
      <c r="Q2543" s="21" t="str">
        <f>VLOOKUP(tblProductos[[#This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3920</v>
      </c>
      <c r="D2544" s="9" t="s">
        <v>4033</v>
      </c>
      <c r="E2544" s="9"/>
      <c r="F2544" s="9">
        <v>50</v>
      </c>
      <c r="G2544" s="9" t="s">
        <v>3842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3843</v>
      </c>
      <c r="N2544" s="4"/>
      <c r="O2544" s="5"/>
      <c r="P2544" s="10"/>
      <c r="Q2544" s="21" t="str">
        <f>VLOOKUP(tblProductos[[#This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3920</v>
      </c>
      <c r="D2545" s="9" t="s">
        <v>4144</v>
      </c>
      <c r="E2545" s="9"/>
      <c r="F2545" s="9">
        <v>50</v>
      </c>
      <c r="G2545" s="9" t="s">
        <v>3842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3843</v>
      </c>
      <c r="N2545" s="4"/>
      <c r="O2545" s="5"/>
      <c r="P2545" s="10"/>
      <c r="Q2545" s="21" t="str">
        <f>VLOOKUP(tblProductos[[#This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3920</v>
      </c>
      <c r="D2546" s="9" t="s">
        <v>4020</v>
      </c>
      <c r="E2546" s="9"/>
      <c r="F2546" s="9">
        <v>50</v>
      </c>
      <c r="G2546" s="9" t="s">
        <v>3842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3843</v>
      </c>
      <c r="N2546" s="4"/>
      <c r="O2546" s="5"/>
      <c r="P2546" s="10"/>
      <c r="Q2546" s="21" t="str">
        <f>VLOOKUP(tblProductos[[#This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3920</v>
      </c>
      <c r="D2547" s="9" t="s">
        <v>4145</v>
      </c>
      <c r="E2547" s="9"/>
      <c r="F2547" s="9">
        <v>50</v>
      </c>
      <c r="G2547" s="9" t="s">
        <v>3842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3843</v>
      </c>
      <c r="N2547" s="4"/>
      <c r="O2547" s="5"/>
      <c r="P2547" s="10"/>
      <c r="Q2547" s="21" t="str">
        <f>VLOOKUP(tblProductos[[#This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3920</v>
      </c>
      <c r="D2548" s="9" t="s">
        <v>4021</v>
      </c>
      <c r="E2548" s="9"/>
      <c r="F2548" s="9">
        <v>50</v>
      </c>
      <c r="G2548" s="9" t="s">
        <v>3842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3843</v>
      </c>
      <c r="N2548" s="4"/>
      <c r="O2548" s="5">
        <v>3</v>
      </c>
      <c r="P2548" s="10"/>
      <c r="Q2548" s="21" t="str">
        <f>VLOOKUP(tblProductos[[#This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3920</v>
      </c>
      <c r="D2549" s="9" t="s">
        <v>4054</v>
      </c>
      <c r="E2549" s="9"/>
      <c r="F2549" s="9">
        <v>50</v>
      </c>
      <c r="G2549" s="9" t="s">
        <v>3842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3843</v>
      </c>
      <c r="N2549" s="4"/>
      <c r="O2549" s="5"/>
      <c r="P2549" s="10"/>
      <c r="Q2549" s="21" t="str">
        <f>VLOOKUP(tblProductos[[#This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3920</v>
      </c>
      <c r="D2550" s="9" t="s">
        <v>4118</v>
      </c>
      <c r="E2550" s="9"/>
      <c r="F2550" s="9">
        <v>50</v>
      </c>
      <c r="G2550" s="9" t="s">
        <v>3842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3843</v>
      </c>
      <c r="N2550" s="4"/>
      <c r="O2550" s="5"/>
      <c r="P2550" s="10"/>
      <c r="Q2550" s="21" t="str">
        <f>VLOOKUP(tblProductos[[#This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3920</v>
      </c>
      <c r="D2551" s="9" t="s">
        <v>4024</v>
      </c>
      <c r="E2551" s="9"/>
      <c r="F2551" s="9">
        <v>50</v>
      </c>
      <c r="G2551" s="9" t="s">
        <v>3842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3843</v>
      </c>
      <c r="N2551" s="4"/>
      <c r="O2551" s="5"/>
      <c r="P2551" s="10"/>
      <c r="Q2551" s="21" t="str">
        <f>VLOOKUP(tblProductos[[#This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3920</v>
      </c>
      <c r="D2552" s="9" t="s">
        <v>4034</v>
      </c>
      <c r="E2552" s="9"/>
      <c r="F2552" s="9">
        <v>50</v>
      </c>
      <c r="G2552" s="9" t="s">
        <v>3842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3843</v>
      </c>
      <c r="N2552" s="4"/>
      <c r="O2552" s="5"/>
      <c r="P2552" s="10"/>
      <c r="Q2552" s="21" t="str">
        <f>VLOOKUP(tblProductos[[#This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3920</v>
      </c>
      <c r="D2553" s="9" t="s">
        <v>4035</v>
      </c>
      <c r="E2553" s="9"/>
      <c r="F2553" s="9">
        <v>50</v>
      </c>
      <c r="G2553" s="9" t="s">
        <v>3842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3843</v>
      </c>
      <c r="N2553" s="4"/>
      <c r="O2553" s="5"/>
      <c r="P2553" s="10"/>
      <c r="Q2553" s="21" t="str">
        <f>VLOOKUP(tblProductos[[#This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4130</v>
      </c>
      <c r="D2554" s="9" t="s">
        <v>4017</v>
      </c>
      <c r="E2554" s="9"/>
      <c r="F2554" s="9">
        <v>50</v>
      </c>
      <c r="G2554" s="9" t="s">
        <v>3842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3843</v>
      </c>
      <c r="N2554" s="4"/>
      <c r="O2554" s="5"/>
      <c r="P2554" s="10"/>
      <c r="Q2554" s="21" t="str">
        <f>VLOOKUP(tblProductos[[#This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4130</v>
      </c>
      <c r="D2555" s="9" t="s">
        <v>4010</v>
      </c>
      <c r="E2555" s="9"/>
      <c r="F2555" s="9">
        <v>50</v>
      </c>
      <c r="G2555" s="9" t="s">
        <v>3842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3843</v>
      </c>
      <c r="N2555" s="4"/>
      <c r="O2555" s="5"/>
      <c r="P2555" s="10"/>
      <c r="Q2555" s="21" t="str">
        <f>VLOOKUP(tblProductos[[#This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4130</v>
      </c>
      <c r="D2556" s="9" t="s">
        <v>4125</v>
      </c>
      <c r="E2556" s="9"/>
      <c r="F2556" s="9">
        <v>50</v>
      </c>
      <c r="G2556" s="9" t="s">
        <v>3842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3843</v>
      </c>
      <c r="N2556" s="4"/>
      <c r="O2556" s="5"/>
      <c r="P2556" s="10"/>
      <c r="Q2556" s="21" t="str">
        <f>VLOOKUP(tblProductos[[#This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4130</v>
      </c>
      <c r="D2557" s="9" t="s">
        <v>4056</v>
      </c>
      <c r="E2557" s="9"/>
      <c r="F2557" s="9">
        <v>50</v>
      </c>
      <c r="G2557" s="9" t="s">
        <v>3842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3843</v>
      </c>
      <c r="N2557" s="4"/>
      <c r="O2557" s="5"/>
      <c r="P2557" s="10"/>
      <c r="Q2557" s="21" t="str">
        <f>VLOOKUP(tblProductos[[#This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4130</v>
      </c>
      <c r="D2558" s="9" t="s">
        <v>4006</v>
      </c>
      <c r="E2558" s="9"/>
      <c r="F2558" s="9">
        <v>50</v>
      </c>
      <c r="G2558" s="9" t="s">
        <v>3842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3843</v>
      </c>
      <c r="N2558" s="4"/>
      <c r="O2558" s="5"/>
      <c r="P2558" s="10"/>
      <c r="Q2558" s="21" t="str">
        <f>VLOOKUP(tblProductos[[#This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4130</v>
      </c>
      <c r="D2559" s="9" t="s">
        <v>4143</v>
      </c>
      <c r="E2559" s="9"/>
      <c r="F2559" s="9">
        <v>50</v>
      </c>
      <c r="G2559" s="9" t="s">
        <v>3842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3843</v>
      </c>
      <c r="N2559" s="4"/>
      <c r="O2559" s="5"/>
      <c r="P2559" s="10"/>
      <c r="Q2559" s="21" t="str">
        <f>VLOOKUP(tblProductos[[#This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4130</v>
      </c>
      <c r="D2560" s="9" t="s">
        <v>4031</v>
      </c>
      <c r="E2560" s="9"/>
      <c r="F2560" s="9">
        <v>50</v>
      </c>
      <c r="G2560" s="9" t="s">
        <v>3842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3843</v>
      </c>
      <c r="N2560" s="4"/>
      <c r="O2560" s="5"/>
      <c r="P2560" s="10"/>
      <c r="Q2560" s="21" t="str">
        <f>VLOOKUP(tblProductos[[#This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4130</v>
      </c>
      <c r="D2561" s="9" t="s">
        <v>4011</v>
      </c>
      <c r="E2561" s="9"/>
      <c r="F2561" s="9">
        <v>50</v>
      </c>
      <c r="G2561" s="9" t="s">
        <v>3842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3843</v>
      </c>
      <c r="N2561" s="4"/>
      <c r="O2561" s="5"/>
      <c r="P2561" s="10"/>
      <c r="Q2561" s="21" t="str">
        <f>VLOOKUP(tblProductos[[#This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4130</v>
      </c>
      <c r="D2562" s="9" t="s">
        <v>4030</v>
      </c>
      <c r="E2562" s="9"/>
      <c r="F2562" s="9">
        <v>50</v>
      </c>
      <c r="G2562" s="9" t="s">
        <v>3842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3843</v>
      </c>
      <c r="N2562" s="4"/>
      <c r="O2562" s="5"/>
      <c r="P2562" s="10"/>
      <c r="Q2562" s="21" t="str">
        <f>VLOOKUP(tblProductos[[#This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4130</v>
      </c>
      <c r="D2563" s="9" t="s">
        <v>4018</v>
      </c>
      <c r="E2563" s="9"/>
      <c r="F2563" s="9">
        <v>50</v>
      </c>
      <c r="G2563" s="9" t="s">
        <v>3842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3843</v>
      </c>
      <c r="N2563" s="4"/>
      <c r="O2563" s="5"/>
      <c r="P2563" s="10"/>
      <c r="Q2563" s="21" t="str">
        <f>VLOOKUP(tblProductos[[#This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4130</v>
      </c>
      <c r="D2564" s="9" t="s">
        <v>4009</v>
      </c>
      <c r="E2564" s="9"/>
      <c r="F2564" s="9">
        <v>50</v>
      </c>
      <c r="G2564" s="9" t="s">
        <v>3842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3843</v>
      </c>
      <c r="N2564" s="4"/>
      <c r="O2564" s="5"/>
      <c r="P2564" s="10"/>
      <c r="Q2564" s="21" t="str">
        <f>VLOOKUP(tblProductos[[#This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4130</v>
      </c>
      <c r="D2565" s="9" t="s">
        <v>4012</v>
      </c>
      <c r="E2565" s="9"/>
      <c r="F2565" s="9">
        <v>50</v>
      </c>
      <c r="G2565" s="9" t="s">
        <v>3842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3843</v>
      </c>
      <c r="N2565" s="4"/>
      <c r="O2565" s="5"/>
      <c r="P2565" s="10"/>
      <c r="Q2565" s="21" t="str">
        <f>VLOOKUP(tblProductos[[#This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4130</v>
      </c>
      <c r="D2566" s="9" t="s">
        <v>4013</v>
      </c>
      <c r="E2566" s="9"/>
      <c r="F2566" s="9">
        <v>50</v>
      </c>
      <c r="G2566" s="9" t="s">
        <v>3842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3843</v>
      </c>
      <c r="N2566" s="4"/>
      <c r="O2566" s="5"/>
      <c r="P2566" s="10"/>
      <c r="Q2566" s="21" t="str">
        <f>VLOOKUP(tblProductos[[#This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4130</v>
      </c>
      <c r="D2567" s="9" t="s">
        <v>3923</v>
      </c>
      <c r="E2567" s="9"/>
      <c r="F2567" s="9">
        <v>50</v>
      </c>
      <c r="G2567" s="9" t="s">
        <v>3842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3843</v>
      </c>
      <c r="N2567" s="4"/>
      <c r="O2567" s="5"/>
      <c r="P2567" s="10"/>
      <c r="Q2567" s="21" t="str">
        <f>VLOOKUP(tblProductos[[#This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4130</v>
      </c>
      <c r="D2568" s="9" t="s">
        <v>4019</v>
      </c>
      <c r="E2568" s="9"/>
      <c r="F2568" s="9">
        <v>50</v>
      </c>
      <c r="G2568" s="9" t="s">
        <v>3842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3843</v>
      </c>
      <c r="N2568" s="4"/>
      <c r="O2568" s="5"/>
      <c r="P2568" s="10"/>
      <c r="Q2568" s="21" t="str">
        <f>VLOOKUP(tblProductos[[#This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4130</v>
      </c>
      <c r="D2569" s="9" t="s">
        <v>4032</v>
      </c>
      <c r="E2569" s="9"/>
      <c r="F2569" s="9">
        <v>50</v>
      </c>
      <c r="G2569" s="9" t="s">
        <v>3842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3843</v>
      </c>
      <c r="N2569" s="4"/>
      <c r="O2569" s="5"/>
      <c r="P2569" s="10"/>
      <c r="Q2569" s="21" t="str">
        <f>VLOOKUP(tblProductos[[#This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4130</v>
      </c>
      <c r="D2570" s="9" t="s">
        <v>4007</v>
      </c>
      <c r="E2570" s="9"/>
      <c r="F2570" s="9">
        <v>50</v>
      </c>
      <c r="G2570" s="9" t="s">
        <v>3842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3843</v>
      </c>
      <c r="N2570" s="4"/>
      <c r="O2570" s="5"/>
      <c r="P2570" s="10"/>
      <c r="Q2570" s="21" t="str">
        <f>VLOOKUP(tblProductos[[#This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4130</v>
      </c>
      <c r="D2571" s="9" t="s">
        <v>3888</v>
      </c>
      <c r="E2571" s="9"/>
      <c r="F2571" s="9">
        <v>50</v>
      </c>
      <c r="G2571" s="9" t="s">
        <v>3842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3843</v>
      </c>
      <c r="N2571" s="4"/>
      <c r="O2571" s="5"/>
      <c r="P2571" s="10"/>
      <c r="Q2571" s="21" t="str">
        <f>VLOOKUP(tblProductos[[#This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4130</v>
      </c>
      <c r="D2572" s="9" t="s">
        <v>4033</v>
      </c>
      <c r="E2572" s="9"/>
      <c r="F2572" s="9">
        <v>50</v>
      </c>
      <c r="G2572" s="9" t="s">
        <v>3842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3843</v>
      </c>
      <c r="N2572" s="4"/>
      <c r="O2572" s="5"/>
      <c r="P2572" s="10"/>
      <c r="Q2572" s="21" t="str">
        <f>VLOOKUP(tblProductos[[#This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4130</v>
      </c>
      <c r="D2573" s="9" t="s">
        <v>4144</v>
      </c>
      <c r="E2573" s="9"/>
      <c r="F2573" s="9">
        <v>50</v>
      </c>
      <c r="G2573" s="9" t="s">
        <v>3842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3843</v>
      </c>
      <c r="N2573" s="4"/>
      <c r="O2573" s="5"/>
      <c r="P2573" s="10"/>
      <c r="Q2573" s="21" t="str">
        <f>VLOOKUP(tblProductos[[#This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4130</v>
      </c>
      <c r="D2574" s="9" t="s">
        <v>4014</v>
      </c>
      <c r="E2574" s="9"/>
      <c r="F2574" s="9">
        <v>50</v>
      </c>
      <c r="G2574" s="9" t="s">
        <v>3842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3843</v>
      </c>
      <c r="N2574" s="4"/>
      <c r="O2574" s="5"/>
      <c r="P2574" s="10"/>
      <c r="Q2574" s="21" t="str">
        <f>VLOOKUP(tblProductos[[#This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4130</v>
      </c>
      <c r="D2575" s="9" t="s">
        <v>4008</v>
      </c>
      <c r="E2575" s="9"/>
      <c r="F2575" s="9">
        <v>50</v>
      </c>
      <c r="G2575" s="9" t="s">
        <v>3842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3843</v>
      </c>
      <c r="N2575" s="4"/>
      <c r="O2575" s="5"/>
      <c r="P2575" s="10"/>
      <c r="Q2575" s="21" t="str">
        <f>VLOOKUP(tblProductos[[#This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4130</v>
      </c>
      <c r="D2576" s="9" t="s">
        <v>4020</v>
      </c>
      <c r="E2576" s="9"/>
      <c r="F2576" s="9">
        <v>50</v>
      </c>
      <c r="G2576" s="9" t="s">
        <v>3842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3843</v>
      </c>
      <c r="N2576" s="4"/>
      <c r="O2576" s="5"/>
      <c r="P2576" s="10"/>
      <c r="Q2576" s="21" t="str">
        <f>VLOOKUP(tblProductos[[#This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4130</v>
      </c>
      <c r="D2577" s="9" t="s">
        <v>4016</v>
      </c>
      <c r="E2577" s="9"/>
      <c r="F2577" s="9">
        <v>50</v>
      </c>
      <c r="G2577" s="9" t="s">
        <v>3842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3843</v>
      </c>
      <c r="N2577" s="4"/>
      <c r="O2577" s="5"/>
      <c r="P2577" s="10"/>
      <c r="Q2577" s="21" t="str">
        <f>VLOOKUP(tblProductos[[#This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4130</v>
      </c>
      <c r="D2578" s="9" t="s">
        <v>4145</v>
      </c>
      <c r="E2578" s="9"/>
      <c r="F2578" s="9">
        <v>50</v>
      </c>
      <c r="G2578" s="9" t="s">
        <v>3842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3843</v>
      </c>
      <c r="N2578" s="4"/>
      <c r="O2578" s="5"/>
      <c r="P2578" s="10"/>
      <c r="Q2578" s="21" t="str">
        <f>VLOOKUP(tblProductos[[#This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4130</v>
      </c>
      <c r="D2579" s="9" t="s">
        <v>4021</v>
      </c>
      <c r="E2579" s="9"/>
      <c r="F2579" s="9">
        <v>50</v>
      </c>
      <c r="G2579" s="9" t="s">
        <v>3842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3843</v>
      </c>
      <c r="N2579" s="4"/>
      <c r="O2579" s="5"/>
      <c r="P2579" s="10"/>
      <c r="Q2579" s="21" t="str">
        <f>VLOOKUP(tblProductos[[#This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4130</v>
      </c>
      <c r="D2580" s="9" t="s">
        <v>4015</v>
      </c>
      <c r="E2580" s="9"/>
      <c r="F2580" s="9">
        <v>50</v>
      </c>
      <c r="G2580" s="9" t="s">
        <v>3842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3843</v>
      </c>
      <c r="N2580" s="4"/>
      <c r="O2580" s="5"/>
      <c r="P2580" s="10"/>
      <c r="Q2580" s="21" t="str">
        <f>VLOOKUP(tblProductos[[#This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4130</v>
      </c>
      <c r="D2581" s="9" t="s">
        <v>4054</v>
      </c>
      <c r="E2581" s="9"/>
      <c r="F2581" s="9">
        <v>50</v>
      </c>
      <c r="G2581" s="9" t="s">
        <v>3842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3843</v>
      </c>
      <c r="N2581" s="4"/>
      <c r="O2581" s="5"/>
      <c r="P2581" s="10"/>
      <c r="Q2581" s="21" t="str">
        <f>VLOOKUP(tblProductos[[#This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4130</v>
      </c>
      <c r="D2582" s="9" t="s">
        <v>4118</v>
      </c>
      <c r="E2582" s="9"/>
      <c r="F2582" s="9">
        <v>50</v>
      </c>
      <c r="G2582" s="9" t="s">
        <v>3842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3843</v>
      </c>
      <c r="N2582" s="4"/>
      <c r="O2582" s="5"/>
      <c r="P2582" s="10"/>
      <c r="Q2582" s="21" t="str">
        <f>VLOOKUP(tblProductos[[#This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4130</v>
      </c>
      <c r="D2583" s="9" t="s">
        <v>4022</v>
      </c>
      <c r="E2583" s="9"/>
      <c r="F2583" s="9">
        <v>50</v>
      </c>
      <c r="G2583" s="9" t="s">
        <v>3842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3843</v>
      </c>
      <c r="N2583" s="4"/>
      <c r="O2583" s="5"/>
      <c r="P2583" s="10"/>
      <c r="Q2583" s="21" t="str">
        <f>VLOOKUP(tblProductos[[#This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4130</v>
      </c>
      <c r="D2584" s="9" t="s">
        <v>3919</v>
      </c>
      <c r="E2584" s="9"/>
      <c r="F2584" s="9">
        <v>50</v>
      </c>
      <c r="G2584" s="9" t="s">
        <v>3842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3843</v>
      </c>
      <c r="N2584" s="4"/>
      <c r="O2584" s="5"/>
      <c r="P2584" s="10"/>
      <c r="Q2584" s="21" t="str">
        <f>VLOOKUP(tblProductos[[#This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4130</v>
      </c>
      <c r="D2585" s="9" t="s">
        <v>4023</v>
      </c>
      <c r="E2585" s="9"/>
      <c r="F2585" s="9">
        <v>50</v>
      </c>
      <c r="G2585" s="9" t="s">
        <v>3842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3843</v>
      </c>
      <c r="N2585" s="4"/>
      <c r="O2585" s="5"/>
      <c r="P2585" s="10"/>
      <c r="Q2585" s="21" t="str">
        <f>VLOOKUP(tblProductos[[#This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4130</v>
      </c>
      <c r="D2586" s="9" t="s">
        <v>4029</v>
      </c>
      <c r="E2586" s="9"/>
      <c r="F2586" s="9">
        <v>50</v>
      </c>
      <c r="G2586" s="9" t="s">
        <v>3842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3843</v>
      </c>
      <c r="N2586" s="4"/>
      <c r="O2586" s="5"/>
      <c r="P2586" s="10"/>
      <c r="Q2586" s="21" t="str">
        <f>VLOOKUP(tblProductos[[#This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4130</v>
      </c>
      <c r="D2587" s="9" t="s">
        <v>4024</v>
      </c>
      <c r="E2587" s="9"/>
      <c r="F2587" s="9">
        <v>50</v>
      </c>
      <c r="G2587" s="9" t="s">
        <v>3842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3843</v>
      </c>
      <c r="N2587" s="4"/>
      <c r="O2587" s="5"/>
      <c r="P2587" s="10"/>
      <c r="Q2587" s="21" t="str">
        <f>VLOOKUP(tblProductos[[#This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4130</v>
      </c>
      <c r="D2588" s="9" t="s">
        <v>4034</v>
      </c>
      <c r="E2588" s="9"/>
      <c r="F2588" s="9">
        <v>50</v>
      </c>
      <c r="G2588" s="9" t="s">
        <v>3842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3843</v>
      </c>
      <c r="N2588" s="4"/>
      <c r="O2588" s="5"/>
      <c r="P2588" s="10"/>
      <c r="Q2588" s="21" t="str">
        <f>VLOOKUP(tblProductos[[#This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4130</v>
      </c>
      <c r="D2589" s="9" t="s">
        <v>4035</v>
      </c>
      <c r="E2589" s="9"/>
      <c r="F2589" s="9">
        <v>50</v>
      </c>
      <c r="G2589" s="9" t="s">
        <v>3842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3843</v>
      </c>
      <c r="N2589" s="4"/>
      <c r="O2589" s="5"/>
      <c r="P2589" s="10"/>
      <c r="Q2589" s="21" t="str">
        <f>VLOOKUP(tblProductos[[#This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3921</v>
      </c>
      <c r="D2590" s="9" t="s">
        <v>4017</v>
      </c>
      <c r="E2590" s="9"/>
      <c r="F2590" s="9">
        <v>50</v>
      </c>
      <c r="G2590" s="9" t="s">
        <v>3842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3843</v>
      </c>
      <c r="N2590" s="4"/>
      <c r="O2590" s="5"/>
      <c r="P2590" s="10"/>
      <c r="Q2590" s="21" t="str">
        <f>VLOOKUP(tblProductos[[#This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3921</v>
      </c>
      <c r="D2591" s="9" t="s">
        <v>4125</v>
      </c>
      <c r="E2591" s="9"/>
      <c r="F2591" s="9">
        <v>50</v>
      </c>
      <c r="G2591" s="9" t="s">
        <v>3842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3843</v>
      </c>
      <c r="N2591" s="4"/>
      <c r="O2591" s="5"/>
      <c r="P2591" s="10"/>
      <c r="Q2591" s="21" t="str">
        <f>VLOOKUP(tblProductos[[#This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3921</v>
      </c>
      <c r="D2592" s="9" t="s">
        <v>4056</v>
      </c>
      <c r="E2592" s="9"/>
      <c r="F2592" s="9">
        <v>50</v>
      </c>
      <c r="G2592" s="9" t="s">
        <v>3842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3843</v>
      </c>
      <c r="N2592" s="4"/>
      <c r="O2592" s="5"/>
      <c r="P2592" s="10"/>
      <c r="Q2592" s="21" t="str">
        <f>VLOOKUP(tblProductos[[#This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3921</v>
      </c>
      <c r="D2593" s="9" t="s">
        <v>4006</v>
      </c>
      <c r="E2593" s="9"/>
      <c r="F2593" s="9">
        <v>50</v>
      </c>
      <c r="G2593" s="9" t="s">
        <v>3842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3843</v>
      </c>
      <c r="N2593" s="4"/>
      <c r="O2593" s="5"/>
      <c r="P2593" s="10"/>
      <c r="Q2593" s="21" t="str">
        <f>VLOOKUP(tblProductos[[#This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3921</v>
      </c>
      <c r="D2594" s="9" t="s">
        <v>4143</v>
      </c>
      <c r="E2594" s="9"/>
      <c r="F2594" s="9">
        <v>50</v>
      </c>
      <c r="G2594" s="9" t="s">
        <v>3842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3843</v>
      </c>
      <c r="N2594" s="4"/>
      <c r="O2594" s="5"/>
      <c r="P2594" s="10"/>
      <c r="Q2594" s="21" t="str">
        <f>VLOOKUP(tblProductos[[#This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3921</v>
      </c>
      <c r="D2595" s="9" t="s">
        <v>4031</v>
      </c>
      <c r="E2595" s="9"/>
      <c r="F2595" s="9">
        <v>50</v>
      </c>
      <c r="G2595" s="9" t="s">
        <v>3842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3843</v>
      </c>
      <c r="N2595" s="4"/>
      <c r="O2595" s="5"/>
      <c r="P2595" s="10"/>
      <c r="Q2595" s="21" t="str">
        <f>VLOOKUP(tblProductos[[#This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3921</v>
      </c>
      <c r="D2596" s="9" t="s">
        <v>4030</v>
      </c>
      <c r="E2596" s="9"/>
      <c r="F2596" s="9">
        <v>50</v>
      </c>
      <c r="G2596" s="9" t="s">
        <v>3842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3843</v>
      </c>
      <c r="N2596" s="4"/>
      <c r="O2596" s="5"/>
      <c r="P2596" s="10"/>
      <c r="Q2596" s="21" t="str">
        <f>VLOOKUP(tblProductos[[#This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3921</v>
      </c>
      <c r="D2597" s="9" t="s">
        <v>4018</v>
      </c>
      <c r="E2597" s="9"/>
      <c r="F2597" s="9">
        <v>50</v>
      </c>
      <c r="G2597" s="9" t="s">
        <v>3842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3843</v>
      </c>
      <c r="N2597" s="4"/>
      <c r="O2597" s="5"/>
      <c r="P2597" s="10"/>
      <c r="Q2597" s="21" t="str">
        <f>VLOOKUP(tblProductos[[#This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3921</v>
      </c>
      <c r="D2598" s="9" t="s">
        <v>4009</v>
      </c>
      <c r="E2598" s="9"/>
      <c r="F2598" s="9">
        <v>50</v>
      </c>
      <c r="G2598" s="9" t="s">
        <v>3842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3843</v>
      </c>
      <c r="N2598" s="4"/>
      <c r="O2598" s="5"/>
      <c r="P2598" s="10"/>
      <c r="Q2598" s="21" t="str">
        <f>VLOOKUP(tblProductos[[#This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3921</v>
      </c>
      <c r="D2599" s="9" t="s">
        <v>3923</v>
      </c>
      <c r="E2599" s="9"/>
      <c r="F2599" s="9">
        <v>50</v>
      </c>
      <c r="G2599" s="9" t="s">
        <v>3842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3843</v>
      </c>
      <c r="N2599" s="4"/>
      <c r="O2599" s="5"/>
      <c r="P2599" s="10"/>
      <c r="Q2599" s="21" t="str">
        <f>VLOOKUP(tblProductos[[#This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3921</v>
      </c>
      <c r="D2600" s="9" t="s">
        <v>4019</v>
      </c>
      <c r="E2600" s="9"/>
      <c r="F2600" s="9">
        <v>50</v>
      </c>
      <c r="G2600" s="9" t="s">
        <v>3842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3843</v>
      </c>
      <c r="N2600" s="4"/>
      <c r="O2600" s="5"/>
      <c r="P2600" s="10"/>
      <c r="Q2600" s="21" t="str">
        <f>VLOOKUP(tblProductos[[#This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3921</v>
      </c>
      <c r="D2601" s="9" t="s">
        <v>4032</v>
      </c>
      <c r="E2601" s="9"/>
      <c r="F2601" s="9">
        <v>50</v>
      </c>
      <c r="G2601" s="9" t="s">
        <v>3842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3843</v>
      </c>
      <c r="N2601" s="4"/>
      <c r="O2601" s="5"/>
      <c r="P2601" s="10"/>
      <c r="Q2601" s="21" t="str">
        <f>VLOOKUP(tblProductos[[#This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3921</v>
      </c>
      <c r="D2602" s="9" t="s">
        <v>4007</v>
      </c>
      <c r="E2602" s="9"/>
      <c r="F2602" s="9">
        <v>50</v>
      </c>
      <c r="G2602" s="9" t="s">
        <v>3842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3843</v>
      </c>
      <c r="N2602" s="4"/>
      <c r="O2602" s="5"/>
      <c r="P2602" s="10"/>
      <c r="Q2602" s="21" t="str">
        <f>VLOOKUP(tblProductos[[#This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3921</v>
      </c>
      <c r="D2603" s="9" t="s">
        <v>4033</v>
      </c>
      <c r="E2603" s="9"/>
      <c r="F2603" s="9">
        <v>50</v>
      </c>
      <c r="G2603" s="9" t="s">
        <v>3842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3843</v>
      </c>
      <c r="N2603" s="4"/>
      <c r="O2603" s="5"/>
      <c r="P2603" s="10"/>
      <c r="Q2603" s="21" t="str">
        <f>VLOOKUP(tblProductos[[#This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3921</v>
      </c>
      <c r="D2604" s="9" t="s">
        <v>4144</v>
      </c>
      <c r="E2604" s="9"/>
      <c r="F2604" s="9">
        <v>50</v>
      </c>
      <c r="G2604" s="9" t="s">
        <v>3842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3843</v>
      </c>
      <c r="N2604" s="4"/>
      <c r="O2604" s="5"/>
      <c r="P2604" s="10"/>
      <c r="Q2604" s="21" t="str">
        <f>VLOOKUP(tblProductos[[#This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3921</v>
      </c>
      <c r="D2605" s="9" t="s">
        <v>4020</v>
      </c>
      <c r="E2605" s="9"/>
      <c r="F2605" s="9">
        <v>50</v>
      </c>
      <c r="G2605" s="9" t="s">
        <v>3842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3843</v>
      </c>
      <c r="N2605" s="4"/>
      <c r="O2605" s="5"/>
      <c r="P2605" s="10"/>
      <c r="Q2605" s="21" t="str">
        <f>VLOOKUP(tblProductos[[#This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3921</v>
      </c>
      <c r="D2606" s="9" t="s">
        <v>4145</v>
      </c>
      <c r="E2606" s="9"/>
      <c r="F2606" s="9">
        <v>50</v>
      </c>
      <c r="G2606" s="9" t="s">
        <v>3842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3843</v>
      </c>
      <c r="N2606" s="4"/>
      <c r="O2606" s="5"/>
      <c r="P2606" s="10"/>
      <c r="Q2606" s="21" t="str">
        <f>VLOOKUP(tblProductos[[#This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3921</v>
      </c>
      <c r="D2607" s="9" t="s">
        <v>4021</v>
      </c>
      <c r="E2607" s="9"/>
      <c r="F2607" s="9">
        <v>50</v>
      </c>
      <c r="G2607" s="9" t="s">
        <v>3842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3843</v>
      </c>
      <c r="N2607" s="4"/>
      <c r="O2607" s="5"/>
      <c r="P2607" s="10"/>
      <c r="Q2607" s="21" t="str">
        <f>VLOOKUP(tblProductos[[#This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3921</v>
      </c>
      <c r="D2608" s="9" t="s">
        <v>4015</v>
      </c>
      <c r="E2608" s="9"/>
      <c r="F2608" s="9">
        <v>50</v>
      </c>
      <c r="G2608" s="9" t="s">
        <v>3842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3843</v>
      </c>
      <c r="N2608" s="4"/>
      <c r="O2608" s="5"/>
      <c r="P2608" s="10"/>
      <c r="Q2608" s="21" t="str">
        <f>VLOOKUP(tblProductos[[#This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3921</v>
      </c>
      <c r="D2609" s="9" t="s">
        <v>4054</v>
      </c>
      <c r="E2609" s="9"/>
      <c r="F2609" s="9">
        <v>50</v>
      </c>
      <c r="G2609" s="9" t="s">
        <v>3842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3843</v>
      </c>
      <c r="N2609" s="4"/>
      <c r="O2609" s="5"/>
      <c r="P2609" s="10"/>
      <c r="Q2609" s="21" t="str">
        <f>VLOOKUP(tblProductos[[#This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3921</v>
      </c>
      <c r="D2610" s="9" t="s">
        <v>4118</v>
      </c>
      <c r="E2610" s="9"/>
      <c r="F2610" s="9">
        <v>50</v>
      </c>
      <c r="G2610" s="9" t="s">
        <v>3842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3843</v>
      </c>
      <c r="N2610" s="4"/>
      <c r="O2610" s="5"/>
      <c r="P2610" s="10"/>
      <c r="Q2610" s="21" t="str">
        <f>VLOOKUP(tblProductos[[#This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3921</v>
      </c>
      <c r="D2611" s="9" t="s">
        <v>4022</v>
      </c>
      <c r="E2611" s="9"/>
      <c r="F2611" s="9">
        <v>50</v>
      </c>
      <c r="G2611" s="9" t="s">
        <v>3842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3843</v>
      </c>
      <c r="N2611" s="4"/>
      <c r="O2611" s="5"/>
      <c r="P2611" s="10"/>
      <c r="Q2611" s="21" t="str">
        <f>VLOOKUP(tblProductos[[#This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3921</v>
      </c>
      <c r="D2612" s="9" t="s">
        <v>4023</v>
      </c>
      <c r="E2612" s="9"/>
      <c r="F2612" s="9">
        <v>50</v>
      </c>
      <c r="G2612" s="9" t="s">
        <v>3842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3843</v>
      </c>
      <c r="N2612" s="4"/>
      <c r="O2612" s="5"/>
      <c r="P2612" s="10"/>
      <c r="Q2612" s="21" t="str">
        <f>VLOOKUP(tblProductos[[#This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3921</v>
      </c>
      <c r="D2613" s="9" t="s">
        <v>4029</v>
      </c>
      <c r="E2613" s="9"/>
      <c r="F2613" s="9">
        <v>50</v>
      </c>
      <c r="G2613" s="9" t="s">
        <v>3842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3843</v>
      </c>
      <c r="N2613" s="4"/>
      <c r="O2613" s="5"/>
      <c r="P2613" s="10"/>
      <c r="Q2613" s="21" t="str">
        <f>VLOOKUP(tblProductos[[#This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3921</v>
      </c>
      <c r="D2614" s="9" t="s">
        <v>4024</v>
      </c>
      <c r="E2614" s="9"/>
      <c r="F2614" s="9">
        <v>50</v>
      </c>
      <c r="G2614" s="9" t="s">
        <v>3842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3843</v>
      </c>
      <c r="N2614" s="4"/>
      <c r="O2614" s="5"/>
      <c r="P2614" s="10"/>
      <c r="Q2614" s="21" t="str">
        <f>VLOOKUP(tblProductos[[#This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3921</v>
      </c>
      <c r="D2615" s="9" t="s">
        <v>4034</v>
      </c>
      <c r="E2615" s="9"/>
      <c r="F2615" s="9">
        <v>50</v>
      </c>
      <c r="G2615" s="9" t="s">
        <v>3842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3843</v>
      </c>
      <c r="N2615" s="4"/>
      <c r="O2615" s="5"/>
      <c r="P2615" s="10"/>
      <c r="Q2615" s="21" t="str">
        <f>VLOOKUP(tblProductos[[#This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3921</v>
      </c>
      <c r="D2616" s="9" t="s">
        <v>4035</v>
      </c>
      <c r="E2616" s="9"/>
      <c r="F2616" s="9">
        <v>50</v>
      </c>
      <c r="G2616" s="9" t="s">
        <v>3842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3843</v>
      </c>
      <c r="N2616" s="4"/>
      <c r="O2616" s="5"/>
      <c r="P2616" s="10"/>
      <c r="Q2616" s="21" t="str">
        <f>VLOOKUP(tblProductos[[#This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4042</v>
      </c>
      <c r="D2617" s="9" t="s">
        <v>4017</v>
      </c>
      <c r="E2617" s="9"/>
      <c r="F2617" s="9">
        <v>50</v>
      </c>
      <c r="G2617" s="9" t="s">
        <v>3842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3843</v>
      </c>
      <c r="N2617" s="4"/>
      <c r="O2617" s="5"/>
      <c r="P2617" s="10"/>
      <c r="Q2617" s="21" t="str">
        <f>VLOOKUP(tblProductos[[#This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4042</v>
      </c>
      <c r="D2618" s="9" t="s">
        <v>4010</v>
      </c>
      <c r="E2618" s="9"/>
      <c r="F2618" s="9">
        <v>50</v>
      </c>
      <c r="G2618" s="9" t="s">
        <v>3842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3843</v>
      </c>
      <c r="N2618" s="4"/>
      <c r="O2618" s="5"/>
      <c r="P2618" s="10"/>
      <c r="Q2618" s="21" t="str">
        <f>VLOOKUP(tblProductos[[#This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4042</v>
      </c>
      <c r="D2619" s="9" t="s">
        <v>4125</v>
      </c>
      <c r="E2619" s="9"/>
      <c r="F2619" s="9">
        <v>50</v>
      </c>
      <c r="G2619" s="9" t="s">
        <v>3842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3843</v>
      </c>
      <c r="N2619" s="4"/>
      <c r="O2619" s="5"/>
      <c r="P2619" s="10"/>
      <c r="Q2619" s="21" t="str">
        <f>VLOOKUP(tblProductos[[#This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4042</v>
      </c>
      <c r="D2620" s="9" t="s">
        <v>4056</v>
      </c>
      <c r="E2620" s="9"/>
      <c r="F2620" s="9">
        <v>50</v>
      </c>
      <c r="G2620" s="9" t="s">
        <v>3842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3843</v>
      </c>
      <c r="N2620" s="4"/>
      <c r="O2620" s="5"/>
      <c r="P2620" s="10"/>
      <c r="Q2620" s="21" t="str">
        <f>VLOOKUP(tblProductos[[#This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4042</v>
      </c>
      <c r="D2621" s="9" t="s">
        <v>4006</v>
      </c>
      <c r="E2621" s="9"/>
      <c r="F2621" s="9">
        <v>50</v>
      </c>
      <c r="G2621" s="9" t="s">
        <v>3842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3843</v>
      </c>
      <c r="N2621" s="4"/>
      <c r="O2621" s="5"/>
      <c r="P2621" s="10"/>
      <c r="Q2621" s="21" t="str">
        <f>VLOOKUP(tblProductos[[#This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4042</v>
      </c>
      <c r="D2622" s="9" t="s">
        <v>4143</v>
      </c>
      <c r="E2622" s="9"/>
      <c r="F2622" s="9">
        <v>50</v>
      </c>
      <c r="G2622" s="9" t="s">
        <v>3842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3843</v>
      </c>
      <c r="N2622" s="4"/>
      <c r="O2622" s="5"/>
      <c r="P2622" s="10"/>
      <c r="Q2622" s="21" t="str">
        <f>VLOOKUP(tblProductos[[#This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4042</v>
      </c>
      <c r="D2623" s="9" t="s">
        <v>4031</v>
      </c>
      <c r="E2623" s="9"/>
      <c r="F2623" s="9">
        <v>50</v>
      </c>
      <c r="G2623" s="9" t="s">
        <v>3842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3843</v>
      </c>
      <c r="N2623" s="4"/>
      <c r="O2623" s="5"/>
      <c r="P2623" s="10"/>
      <c r="Q2623" s="21" t="str">
        <f>VLOOKUP(tblProductos[[#This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4042</v>
      </c>
      <c r="D2624" s="9" t="s">
        <v>4030</v>
      </c>
      <c r="E2624" s="9"/>
      <c r="F2624" s="9">
        <v>50</v>
      </c>
      <c r="G2624" s="9" t="s">
        <v>3842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3843</v>
      </c>
      <c r="N2624" s="4"/>
      <c r="O2624" s="5"/>
      <c r="P2624" s="10"/>
      <c r="Q2624" s="21" t="str">
        <f>VLOOKUP(tblProductos[[#This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4042</v>
      </c>
      <c r="D2625" s="9" t="s">
        <v>4018</v>
      </c>
      <c r="E2625" s="9"/>
      <c r="F2625" s="9">
        <v>50</v>
      </c>
      <c r="G2625" s="9" t="s">
        <v>3842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3843</v>
      </c>
      <c r="N2625" s="4"/>
      <c r="O2625" s="5"/>
      <c r="P2625" s="10"/>
      <c r="Q2625" s="21" t="str">
        <f>VLOOKUP(tblProductos[[#This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4042</v>
      </c>
      <c r="D2626" s="9" t="s">
        <v>4009</v>
      </c>
      <c r="E2626" s="9"/>
      <c r="F2626" s="9">
        <v>50</v>
      </c>
      <c r="G2626" s="9" t="s">
        <v>3842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3843</v>
      </c>
      <c r="N2626" s="4"/>
      <c r="O2626" s="5"/>
      <c r="P2626" s="10"/>
      <c r="Q2626" s="21" t="str">
        <f>VLOOKUP(tblProductos[[#This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4042</v>
      </c>
      <c r="D2627" s="9" t="s">
        <v>4012</v>
      </c>
      <c r="E2627" s="9"/>
      <c r="F2627" s="9">
        <v>50</v>
      </c>
      <c r="G2627" s="9" t="s">
        <v>3842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3843</v>
      </c>
      <c r="N2627" s="4"/>
      <c r="O2627" s="5"/>
      <c r="P2627" s="10"/>
      <c r="Q2627" s="21" t="str">
        <f>VLOOKUP(tblProductos[[#This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4042</v>
      </c>
      <c r="D2628" s="9" t="s">
        <v>4013</v>
      </c>
      <c r="E2628" s="9"/>
      <c r="F2628" s="9">
        <v>50</v>
      </c>
      <c r="G2628" s="9" t="s">
        <v>3842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3843</v>
      </c>
      <c r="N2628" s="4"/>
      <c r="O2628" s="5"/>
      <c r="P2628" s="10"/>
      <c r="Q2628" s="21" t="str">
        <f>VLOOKUP(tblProductos[[#This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4042</v>
      </c>
      <c r="D2629" s="9" t="s">
        <v>4019</v>
      </c>
      <c r="E2629" s="9"/>
      <c r="F2629" s="9">
        <v>50</v>
      </c>
      <c r="G2629" s="9" t="s">
        <v>3842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3843</v>
      </c>
      <c r="N2629" s="4"/>
      <c r="O2629" s="5"/>
      <c r="P2629" s="10"/>
      <c r="Q2629" s="21" t="str">
        <f>VLOOKUP(tblProductos[[#This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4042</v>
      </c>
      <c r="D2630" s="9" t="s">
        <v>4032</v>
      </c>
      <c r="E2630" s="9"/>
      <c r="F2630" s="9">
        <v>50</v>
      </c>
      <c r="G2630" s="9" t="s">
        <v>3842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3843</v>
      </c>
      <c r="N2630" s="4"/>
      <c r="O2630" s="5"/>
      <c r="P2630" s="10"/>
      <c r="Q2630" s="21" t="str">
        <f>VLOOKUP(tblProductos[[#This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4042</v>
      </c>
      <c r="D2631" s="9" t="s">
        <v>4007</v>
      </c>
      <c r="E2631" s="9"/>
      <c r="F2631" s="9">
        <v>50</v>
      </c>
      <c r="G2631" s="9" t="s">
        <v>3842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3843</v>
      </c>
      <c r="N2631" s="4"/>
      <c r="O2631" s="5"/>
      <c r="P2631" s="10"/>
      <c r="Q2631" s="21" t="str">
        <f>VLOOKUP(tblProductos[[#This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4042</v>
      </c>
      <c r="D2632" s="9" t="s">
        <v>4033</v>
      </c>
      <c r="E2632" s="9"/>
      <c r="F2632" s="9">
        <v>50</v>
      </c>
      <c r="G2632" s="9" t="s">
        <v>3842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3843</v>
      </c>
      <c r="N2632" s="4"/>
      <c r="O2632" s="5"/>
      <c r="P2632" s="10"/>
      <c r="Q2632" s="21" t="str">
        <f>VLOOKUP(tblProductos[[#This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4042</v>
      </c>
      <c r="D2633" s="9" t="s">
        <v>4144</v>
      </c>
      <c r="E2633" s="9"/>
      <c r="F2633" s="9">
        <v>50</v>
      </c>
      <c r="G2633" s="9" t="s">
        <v>3842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3843</v>
      </c>
      <c r="N2633" s="4"/>
      <c r="O2633" s="5"/>
      <c r="P2633" s="10"/>
      <c r="Q2633" s="21" t="str">
        <f>VLOOKUP(tblProductos[[#This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4042</v>
      </c>
      <c r="D2634" s="9" t="s">
        <v>4014</v>
      </c>
      <c r="E2634" s="9"/>
      <c r="F2634" s="9">
        <v>50</v>
      </c>
      <c r="G2634" s="9" t="s">
        <v>3842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3843</v>
      </c>
      <c r="N2634" s="4"/>
      <c r="O2634" s="5"/>
      <c r="P2634" s="10"/>
      <c r="Q2634" s="21" t="str">
        <f>VLOOKUP(tblProductos[[#This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4042</v>
      </c>
      <c r="D2635" s="9" t="s">
        <v>4008</v>
      </c>
      <c r="E2635" s="9"/>
      <c r="F2635" s="9">
        <v>50</v>
      </c>
      <c r="G2635" s="9" t="s">
        <v>3842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3843</v>
      </c>
      <c r="N2635" s="4"/>
      <c r="O2635" s="5"/>
      <c r="P2635" s="10"/>
      <c r="Q2635" s="21" t="str">
        <f>VLOOKUP(tblProductos[[#This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4042</v>
      </c>
      <c r="D2636" s="9" t="s">
        <v>4020</v>
      </c>
      <c r="E2636" s="9"/>
      <c r="F2636" s="9">
        <v>50</v>
      </c>
      <c r="G2636" s="9" t="s">
        <v>3842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3843</v>
      </c>
      <c r="N2636" s="4"/>
      <c r="O2636" s="5"/>
      <c r="P2636" s="10"/>
      <c r="Q2636" s="21" t="str">
        <f>VLOOKUP(tblProductos[[#This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4042</v>
      </c>
      <c r="D2637" s="9" t="s">
        <v>4016</v>
      </c>
      <c r="E2637" s="9"/>
      <c r="F2637" s="9">
        <v>50</v>
      </c>
      <c r="G2637" s="9" t="s">
        <v>3842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3843</v>
      </c>
      <c r="N2637" s="4"/>
      <c r="O2637" s="5"/>
      <c r="P2637" s="10"/>
      <c r="Q2637" s="21" t="str">
        <f>VLOOKUP(tblProductos[[#This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4042</v>
      </c>
      <c r="D2638" s="9" t="s">
        <v>4145</v>
      </c>
      <c r="E2638" s="9"/>
      <c r="F2638" s="9">
        <v>50</v>
      </c>
      <c r="G2638" s="9" t="s">
        <v>3842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3843</v>
      </c>
      <c r="N2638" s="4"/>
      <c r="O2638" s="5"/>
      <c r="P2638" s="10"/>
      <c r="Q2638" s="21" t="str">
        <f>VLOOKUP(tblProductos[[#This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4042</v>
      </c>
      <c r="D2639" s="9" t="s">
        <v>3841</v>
      </c>
      <c r="E2639" s="9"/>
      <c r="F2639" s="9">
        <v>50</v>
      </c>
      <c r="G2639" s="9" t="s">
        <v>3842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3843</v>
      </c>
      <c r="N2639" s="4"/>
      <c r="O2639" s="5"/>
      <c r="P2639" s="10"/>
      <c r="Q2639" s="21" t="str">
        <f>VLOOKUP(tblProductos[[#This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4042</v>
      </c>
      <c r="D2640" s="9" t="s">
        <v>4015</v>
      </c>
      <c r="E2640" s="9"/>
      <c r="F2640" s="9">
        <v>50</v>
      </c>
      <c r="G2640" s="9" t="s">
        <v>3842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3843</v>
      </c>
      <c r="N2640" s="4"/>
      <c r="O2640" s="5"/>
      <c r="P2640" s="10"/>
      <c r="Q2640" s="21" t="str">
        <f>VLOOKUP(tblProductos[[#This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4042</v>
      </c>
      <c r="D2641" s="9" t="s">
        <v>4054</v>
      </c>
      <c r="E2641" s="9"/>
      <c r="F2641" s="9">
        <v>50</v>
      </c>
      <c r="G2641" s="9" t="s">
        <v>3842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3843</v>
      </c>
      <c r="N2641" s="4"/>
      <c r="O2641" s="5"/>
      <c r="P2641" s="10"/>
      <c r="Q2641" s="21" t="str">
        <f>VLOOKUP(tblProductos[[#This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4042</v>
      </c>
      <c r="D2642" s="9" t="s">
        <v>4118</v>
      </c>
      <c r="E2642" s="9"/>
      <c r="F2642" s="9">
        <v>50</v>
      </c>
      <c r="G2642" s="9" t="s">
        <v>3842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3843</v>
      </c>
      <c r="N2642" s="4"/>
      <c r="O2642" s="5"/>
      <c r="P2642" s="10"/>
      <c r="Q2642" s="21" t="str">
        <f>VLOOKUP(tblProductos[[#This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4042</v>
      </c>
      <c r="D2643" s="9" t="s">
        <v>4022</v>
      </c>
      <c r="E2643" s="9"/>
      <c r="F2643" s="9">
        <v>50</v>
      </c>
      <c r="G2643" s="9" t="s">
        <v>3842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3843</v>
      </c>
      <c r="N2643" s="4"/>
      <c r="O2643" s="5"/>
      <c r="P2643" s="10"/>
      <c r="Q2643" s="21" t="str">
        <f>VLOOKUP(tblProductos[[#This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4042</v>
      </c>
      <c r="D2644" s="9" t="s">
        <v>3919</v>
      </c>
      <c r="E2644" s="9"/>
      <c r="F2644" s="9">
        <v>50</v>
      </c>
      <c r="G2644" s="9" t="s">
        <v>3842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3843</v>
      </c>
      <c r="N2644" s="4"/>
      <c r="O2644" s="5"/>
      <c r="P2644" s="10"/>
      <c r="Q2644" s="21" t="str">
        <f>VLOOKUP(tblProductos[[#This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4042</v>
      </c>
      <c r="D2645" s="9" t="s">
        <v>4023</v>
      </c>
      <c r="E2645" s="9"/>
      <c r="F2645" s="9">
        <v>50</v>
      </c>
      <c r="G2645" s="9" t="s">
        <v>3842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3843</v>
      </c>
      <c r="N2645" s="4"/>
      <c r="O2645" s="5"/>
      <c r="P2645" s="10"/>
      <c r="Q2645" s="21" t="str">
        <f>VLOOKUP(tblProductos[[#This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4042</v>
      </c>
      <c r="D2646" s="9" t="s">
        <v>4024</v>
      </c>
      <c r="E2646" s="9"/>
      <c r="F2646" s="9">
        <v>50</v>
      </c>
      <c r="G2646" s="9" t="s">
        <v>3842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3843</v>
      </c>
      <c r="N2646" s="4"/>
      <c r="O2646" s="5"/>
      <c r="P2646" s="10"/>
      <c r="Q2646" s="21" t="str">
        <f>VLOOKUP(tblProductos[[#This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4042</v>
      </c>
      <c r="D2647" s="9" t="s">
        <v>4034</v>
      </c>
      <c r="E2647" s="9"/>
      <c r="F2647" s="9">
        <v>50</v>
      </c>
      <c r="G2647" s="9" t="s">
        <v>3842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3843</v>
      </c>
      <c r="N2647" s="4"/>
      <c r="O2647" s="5"/>
      <c r="P2647" s="10"/>
      <c r="Q2647" s="21" t="str">
        <f>VLOOKUP(tblProductos[[#This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4042</v>
      </c>
      <c r="D2648" s="9" t="s">
        <v>4035</v>
      </c>
      <c r="E2648" s="9"/>
      <c r="F2648" s="9">
        <v>50</v>
      </c>
      <c r="G2648" s="9" t="s">
        <v>3842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3843</v>
      </c>
      <c r="N2648" s="4"/>
      <c r="O2648" s="5"/>
      <c r="P2648" s="10"/>
      <c r="Q2648" s="21" t="str">
        <f>VLOOKUP(tblProductos[[#This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4042</v>
      </c>
      <c r="D2649" s="9" t="s">
        <v>4017</v>
      </c>
      <c r="E2649" s="9"/>
      <c r="F2649" s="9">
        <v>50</v>
      </c>
      <c r="G2649" s="9" t="s">
        <v>3842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3843</v>
      </c>
      <c r="N2649" s="4"/>
      <c r="O2649" s="5"/>
      <c r="P2649" s="10"/>
      <c r="Q2649" s="21" t="str">
        <f>VLOOKUP(tblProductos[[#This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4042</v>
      </c>
      <c r="D2650" s="9" t="s">
        <v>4010</v>
      </c>
      <c r="E2650" s="9"/>
      <c r="F2650" s="9">
        <v>50</v>
      </c>
      <c r="G2650" s="9" t="s">
        <v>3842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3843</v>
      </c>
      <c r="N2650" s="4"/>
      <c r="O2650" s="5"/>
      <c r="P2650" s="10"/>
      <c r="Q2650" s="21" t="str">
        <f>VLOOKUP(tblProductos[[#This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4042</v>
      </c>
      <c r="D2651" s="9" t="s">
        <v>4125</v>
      </c>
      <c r="E2651" s="9"/>
      <c r="F2651" s="9">
        <v>50</v>
      </c>
      <c r="G2651" s="9" t="s">
        <v>3842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3843</v>
      </c>
      <c r="N2651" s="4"/>
      <c r="O2651" s="5"/>
      <c r="P2651" s="10"/>
      <c r="Q2651" s="21" t="str">
        <f>VLOOKUP(tblProductos[[#This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4042</v>
      </c>
      <c r="D2652" s="9" t="s">
        <v>4056</v>
      </c>
      <c r="E2652" s="9"/>
      <c r="F2652" s="9">
        <v>50</v>
      </c>
      <c r="G2652" s="9" t="s">
        <v>3842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3843</v>
      </c>
      <c r="N2652" s="4"/>
      <c r="O2652" s="5"/>
      <c r="P2652" s="10"/>
      <c r="Q2652" s="21" t="str">
        <f>VLOOKUP(tblProductos[[#This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4042</v>
      </c>
      <c r="D2653" s="9" t="s">
        <v>4006</v>
      </c>
      <c r="E2653" s="9"/>
      <c r="F2653" s="9">
        <v>50</v>
      </c>
      <c r="G2653" s="9" t="s">
        <v>3842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3843</v>
      </c>
      <c r="N2653" s="4"/>
      <c r="O2653" s="5"/>
      <c r="P2653" s="10"/>
      <c r="Q2653" s="21" t="str">
        <f>VLOOKUP(tblProductos[[#This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4042</v>
      </c>
      <c r="D2654" s="9" t="s">
        <v>4143</v>
      </c>
      <c r="E2654" s="9"/>
      <c r="F2654" s="9">
        <v>50</v>
      </c>
      <c r="G2654" s="9" t="s">
        <v>3842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3843</v>
      </c>
      <c r="N2654" s="4"/>
      <c r="O2654" s="5"/>
      <c r="P2654" s="10"/>
      <c r="Q2654" s="21" t="str">
        <f>VLOOKUP(tblProductos[[#This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4042</v>
      </c>
      <c r="D2655" s="9" t="s">
        <v>4031</v>
      </c>
      <c r="E2655" s="9"/>
      <c r="F2655" s="9">
        <v>50</v>
      </c>
      <c r="G2655" s="9" t="s">
        <v>3842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3843</v>
      </c>
      <c r="N2655" s="4"/>
      <c r="O2655" s="5"/>
      <c r="P2655" s="10"/>
      <c r="Q2655" s="21" t="str">
        <f>VLOOKUP(tblProductos[[#This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4042</v>
      </c>
      <c r="D2656" s="9" t="s">
        <v>4011</v>
      </c>
      <c r="E2656" s="9"/>
      <c r="F2656" s="9">
        <v>50</v>
      </c>
      <c r="G2656" s="9" t="s">
        <v>3842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3843</v>
      </c>
      <c r="N2656" s="4"/>
      <c r="O2656" s="5"/>
      <c r="P2656" s="10"/>
      <c r="Q2656" s="21" t="str">
        <f>VLOOKUP(tblProductos[[#This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4042</v>
      </c>
      <c r="D2657" s="9" t="s">
        <v>4030</v>
      </c>
      <c r="E2657" s="9"/>
      <c r="F2657" s="9">
        <v>50</v>
      </c>
      <c r="G2657" s="9" t="s">
        <v>3842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3843</v>
      </c>
      <c r="N2657" s="4"/>
      <c r="O2657" s="5"/>
      <c r="P2657" s="10"/>
      <c r="Q2657" s="21" t="str">
        <f>VLOOKUP(tblProductos[[#This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4042</v>
      </c>
      <c r="D2658" s="9" t="s">
        <v>4018</v>
      </c>
      <c r="E2658" s="9"/>
      <c r="F2658" s="9">
        <v>50</v>
      </c>
      <c r="G2658" s="9" t="s">
        <v>3842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3843</v>
      </c>
      <c r="N2658" s="4"/>
      <c r="O2658" s="5"/>
      <c r="P2658" s="10"/>
      <c r="Q2658" s="21" t="str">
        <f>VLOOKUP(tblProductos[[#This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4042</v>
      </c>
      <c r="D2659" s="9" t="s">
        <v>4009</v>
      </c>
      <c r="E2659" s="9"/>
      <c r="F2659" s="9">
        <v>50</v>
      </c>
      <c r="G2659" s="9" t="s">
        <v>3842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3843</v>
      </c>
      <c r="N2659" s="4"/>
      <c r="O2659" s="5"/>
      <c r="P2659" s="10"/>
      <c r="Q2659" s="21" t="str">
        <f>VLOOKUP(tblProductos[[#This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4042</v>
      </c>
      <c r="D2660" s="9" t="s">
        <v>4012</v>
      </c>
      <c r="E2660" s="9"/>
      <c r="F2660" s="9">
        <v>50</v>
      </c>
      <c r="G2660" s="9" t="s">
        <v>3842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3843</v>
      </c>
      <c r="N2660" s="4"/>
      <c r="O2660" s="5"/>
      <c r="P2660" s="10"/>
      <c r="Q2660" s="21" t="str">
        <f>VLOOKUP(tblProductos[[#This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4042</v>
      </c>
      <c r="D2661" s="9" t="s">
        <v>4013</v>
      </c>
      <c r="E2661" s="9"/>
      <c r="F2661" s="9">
        <v>50</v>
      </c>
      <c r="G2661" s="9" t="s">
        <v>3842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3843</v>
      </c>
      <c r="N2661" s="4"/>
      <c r="O2661" s="5"/>
      <c r="P2661" s="10"/>
      <c r="Q2661" s="21" t="str">
        <f>VLOOKUP(tblProductos[[#This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4042</v>
      </c>
      <c r="D2662" s="9" t="s">
        <v>3923</v>
      </c>
      <c r="E2662" s="9"/>
      <c r="F2662" s="9">
        <v>50</v>
      </c>
      <c r="G2662" s="9" t="s">
        <v>3842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3843</v>
      </c>
      <c r="N2662" s="4"/>
      <c r="O2662" s="5"/>
      <c r="P2662" s="10"/>
      <c r="Q2662" s="21" t="str">
        <f>VLOOKUP(tblProductos[[#This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4042</v>
      </c>
      <c r="D2663" s="9" t="s">
        <v>4019</v>
      </c>
      <c r="E2663" s="9"/>
      <c r="F2663" s="9">
        <v>50</v>
      </c>
      <c r="G2663" s="9" t="s">
        <v>3842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3843</v>
      </c>
      <c r="N2663" s="4"/>
      <c r="O2663" s="5"/>
      <c r="P2663" s="10"/>
      <c r="Q2663" s="21" t="str">
        <f>VLOOKUP(tblProductos[[#This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4042</v>
      </c>
      <c r="D2664" s="9" t="s">
        <v>4032</v>
      </c>
      <c r="E2664" s="9"/>
      <c r="F2664" s="9">
        <v>50</v>
      </c>
      <c r="G2664" s="9" t="s">
        <v>3842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3843</v>
      </c>
      <c r="N2664" s="4"/>
      <c r="O2664" s="5"/>
      <c r="P2664" s="10"/>
      <c r="Q2664" s="21" t="str">
        <f>VLOOKUP(tblProductos[[#This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4042</v>
      </c>
      <c r="D2665" s="9" t="s">
        <v>4007</v>
      </c>
      <c r="E2665" s="9"/>
      <c r="F2665" s="9">
        <v>50</v>
      </c>
      <c r="G2665" s="9" t="s">
        <v>3842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3843</v>
      </c>
      <c r="N2665" s="4"/>
      <c r="O2665" s="5"/>
      <c r="P2665" s="10"/>
      <c r="Q2665" s="21" t="str">
        <f>VLOOKUP(tblProductos[[#This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4042</v>
      </c>
      <c r="D2666" s="9" t="s">
        <v>3888</v>
      </c>
      <c r="E2666" s="9"/>
      <c r="F2666" s="9">
        <v>50</v>
      </c>
      <c r="G2666" s="9" t="s">
        <v>3842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3843</v>
      </c>
      <c r="N2666" s="4"/>
      <c r="O2666" s="5"/>
      <c r="P2666" s="10"/>
      <c r="Q2666" s="21" t="str">
        <f>VLOOKUP(tblProductos[[#This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4042</v>
      </c>
      <c r="D2667" s="9" t="s">
        <v>4033</v>
      </c>
      <c r="E2667" s="9"/>
      <c r="F2667" s="9">
        <v>50</v>
      </c>
      <c r="G2667" s="9" t="s">
        <v>3842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3843</v>
      </c>
      <c r="N2667" s="4"/>
      <c r="O2667" s="5"/>
      <c r="P2667" s="10"/>
      <c r="Q2667" s="21" t="str">
        <f>VLOOKUP(tblProductos[[#This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4042</v>
      </c>
      <c r="D2668" s="9" t="s">
        <v>4144</v>
      </c>
      <c r="E2668" s="9"/>
      <c r="F2668" s="9">
        <v>50</v>
      </c>
      <c r="G2668" s="9" t="s">
        <v>3842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3843</v>
      </c>
      <c r="N2668" s="4"/>
      <c r="O2668" s="5"/>
      <c r="P2668" s="10"/>
      <c r="Q2668" s="21" t="str">
        <f>VLOOKUP(tblProductos[[#This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4042</v>
      </c>
      <c r="D2669" s="9" t="s">
        <v>4014</v>
      </c>
      <c r="E2669" s="9"/>
      <c r="F2669" s="9">
        <v>50</v>
      </c>
      <c r="G2669" s="9" t="s">
        <v>3842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3843</v>
      </c>
      <c r="N2669" s="4"/>
      <c r="O2669" s="5"/>
      <c r="P2669" s="10"/>
      <c r="Q2669" s="21" t="str">
        <f>VLOOKUP(tblProductos[[#This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4042</v>
      </c>
      <c r="D2670" s="9" t="s">
        <v>4008</v>
      </c>
      <c r="E2670" s="9"/>
      <c r="F2670" s="9">
        <v>50</v>
      </c>
      <c r="G2670" s="9" t="s">
        <v>3842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3843</v>
      </c>
      <c r="N2670" s="4"/>
      <c r="O2670" s="5"/>
      <c r="P2670" s="10"/>
      <c r="Q2670" s="21" t="str">
        <f>VLOOKUP(tblProductos[[#This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4042</v>
      </c>
      <c r="D2671" s="9" t="s">
        <v>4020</v>
      </c>
      <c r="E2671" s="9"/>
      <c r="F2671" s="9">
        <v>50</v>
      </c>
      <c r="G2671" s="9" t="s">
        <v>3842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3843</v>
      </c>
      <c r="N2671" s="4"/>
      <c r="O2671" s="5"/>
      <c r="P2671" s="10"/>
      <c r="Q2671" s="21" t="str">
        <f>VLOOKUP(tblProductos[[#This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4042</v>
      </c>
      <c r="D2672" s="9" t="s">
        <v>4016</v>
      </c>
      <c r="E2672" s="9"/>
      <c r="F2672" s="9">
        <v>50</v>
      </c>
      <c r="G2672" s="9" t="s">
        <v>3842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3843</v>
      </c>
      <c r="N2672" s="4"/>
      <c r="O2672" s="5"/>
      <c r="P2672" s="10"/>
      <c r="Q2672" s="21" t="str">
        <f>VLOOKUP(tblProductos[[#This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4042</v>
      </c>
      <c r="D2673" s="9" t="s">
        <v>4145</v>
      </c>
      <c r="E2673" s="9"/>
      <c r="F2673" s="9">
        <v>50</v>
      </c>
      <c r="G2673" s="9" t="s">
        <v>3842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3843</v>
      </c>
      <c r="N2673" s="4"/>
      <c r="O2673" s="5"/>
      <c r="P2673" s="10"/>
      <c r="Q2673" s="21" t="str">
        <f>VLOOKUP(tblProductos[[#This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4042</v>
      </c>
      <c r="D2674" s="9" t="s">
        <v>4021</v>
      </c>
      <c r="E2674" s="9"/>
      <c r="F2674" s="9">
        <v>50</v>
      </c>
      <c r="G2674" s="9" t="s">
        <v>3842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3843</v>
      </c>
      <c r="N2674" s="4"/>
      <c r="O2674" s="5"/>
      <c r="P2674" s="10"/>
      <c r="Q2674" s="21" t="str">
        <f>VLOOKUP(tblProductos[[#This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4042</v>
      </c>
      <c r="D2675" s="9" t="s">
        <v>4015</v>
      </c>
      <c r="E2675" s="9"/>
      <c r="F2675" s="9">
        <v>50</v>
      </c>
      <c r="G2675" s="9" t="s">
        <v>3842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3843</v>
      </c>
      <c r="N2675" s="4"/>
      <c r="O2675" s="5"/>
      <c r="P2675" s="10"/>
      <c r="Q2675" s="21" t="str">
        <f>VLOOKUP(tblProductos[[#This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4042</v>
      </c>
      <c r="D2676" s="9" t="s">
        <v>4054</v>
      </c>
      <c r="E2676" s="9"/>
      <c r="F2676" s="9">
        <v>50</v>
      </c>
      <c r="G2676" s="9" t="s">
        <v>3842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3843</v>
      </c>
      <c r="N2676" s="4"/>
      <c r="O2676" s="5"/>
      <c r="P2676" s="10"/>
      <c r="Q2676" s="21" t="str">
        <f>VLOOKUP(tblProductos[[#This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4042</v>
      </c>
      <c r="D2677" s="9" t="s">
        <v>4118</v>
      </c>
      <c r="E2677" s="9"/>
      <c r="F2677" s="9">
        <v>50</v>
      </c>
      <c r="G2677" s="9" t="s">
        <v>3842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3843</v>
      </c>
      <c r="N2677" s="4"/>
      <c r="O2677" s="5"/>
      <c r="P2677" s="10"/>
      <c r="Q2677" s="21" t="str">
        <f>VLOOKUP(tblProductos[[#This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4042</v>
      </c>
      <c r="D2678" s="9" t="s">
        <v>4022</v>
      </c>
      <c r="E2678" s="9"/>
      <c r="F2678" s="9">
        <v>50</v>
      </c>
      <c r="G2678" s="9" t="s">
        <v>3842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3843</v>
      </c>
      <c r="N2678" s="4"/>
      <c r="O2678" s="5"/>
      <c r="P2678" s="10"/>
      <c r="Q2678" s="21" t="str">
        <f>VLOOKUP(tblProductos[[#This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4042</v>
      </c>
      <c r="D2679" s="9" t="s">
        <v>3919</v>
      </c>
      <c r="E2679" s="9"/>
      <c r="F2679" s="9">
        <v>50</v>
      </c>
      <c r="G2679" s="9" t="s">
        <v>3842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3843</v>
      </c>
      <c r="N2679" s="4"/>
      <c r="O2679" s="5"/>
      <c r="P2679" s="10"/>
      <c r="Q2679" s="21" t="str">
        <f>VLOOKUP(tblProductos[[#This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4042</v>
      </c>
      <c r="D2680" s="9" t="s">
        <v>4023</v>
      </c>
      <c r="E2680" s="9"/>
      <c r="F2680" s="9">
        <v>50</v>
      </c>
      <c r="G2680" s="9" t="s">
        <v>3842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3843</v>
      </c>
      <c r="N2680" s="4"/>
      <c r="O2680" s="5"/>
      <c r="P2680" s="10"/>
      <c r="Q2680" s="21" t="str">
        <f>VLOOKUP(tblProductos[[#This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4042</v>
      </c>
      <c r="D2681" s="9" t="s">
        <v>4029</v>
      </c>
      <c r="E2681" s="9"/>
      <c r="F2681" s="9">
        <v>50</v>
      </c>
      <c r="G2681" s="9" t="s">
        <v>3842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3843</v>
      </c>
      <c r="N2681" s="4"/>
      <c r="O2681" s="5"/>
      <c r="P2681" s="10"/>
      <c r="Q2681" s="21" t="str">
        <f>VLOOKUP(tblProductos[[#This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4042</v>
      </c>
      <c r="D2682" s="9" t="s">
        <v>4024</v>
      </c>
      <c r="E2682" s="9"/>
      <c r="F2682" s="9">
        <v>50</v>
      </c>
      <c r="G2682" s="9" t="s">
        <v>3842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3843</v>
      </c>
      <c r="N2682" s="4"/>
      <c r="O2682" s="5"/>
      <c r="P2682" s="10"/>
      <c r="Q2682" s="21" t="str">
        <f>VLOOKUP(tblProductos[[#This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4042</v>
      </c>
      <c r="D2683" s="9" t="s">
        <v>4034</v>
      </c>
      <c r="E2683" s="9"/>
      <c r="F2683" s="9">
        <v>50</v>
      </c>
      <c r="G2683" s="9" t="s">
        <v>3842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3843</v>
      </c>
      <c r="N2683" s="4"/>
      <c r="O2683" s="5"/>
      <c r="P2683" s="10"/>
      <c r="Q2683" s="21" t="str">
        <f>VLOOKUP(tblProductos[[#This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4042</v>
      </c>
      <c r="D2684" s="9" t="s">
        <v>4035</v>
      </c>
      <c r="E2684" s="9"/>
      <c r="F2684" s="9">
        <v>50</v>
      </c>
      <c r="G2684" s="9" t="s">
        <v>3842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3843</v>
      </c>
      <c r="N2684" s="4"/>
      <c r="O2684" s="5"/>
      <c r="P2684" s="10"/>
      <c r="Q2684" s="21" t="str">
        <f>VLOOKUP(tblProductos[[#This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3942</v>
      </c>
      <c r="D2685" s="9" t="s">
        <v>4017</v>
      </c>
      <c r="E2685" s="9"/>
      <c r="F2685" s="9">
        <v>50</v>
      </c>
      <c r="G2685" s="9" t="s">
        <v>3842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3943</v>
      </c>
      <c r="N2685" s="4"/>
      <c r="O2685" s="5"/>
      <c r="P2685" s="10"/>
      <c r="Q2685" s="21" t="str">
        <f>VLOOKUP(tblProductos[[#This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3942</v>
      </c>
      <c r="D2686" s="9" t="s">
        <v>4010</v>
      </c>
      <c r="E2686" s="9"/>
      <c r="F2686" s="9">
        <v>50</v>
      </c>
      <c r="G2686" s="9" t="s">
        <v>3842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3943</v>
      </c>
      <c r="N2686" s="4"/>
      <c r="O2686" s="5"/>
      <c r="P2686" s="10"/>
      <c r="Q2686" s="21" t="str">
        <f>VLOOKUP(tblProductos[[#This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3942</v>
      </c>
      <c r="D2687" s="9" t="s">
        <v>4125</v>
      </c>
      <c r="E2687" s="9"/>
      <c r="F2687" s="9">
        <v>50</v>
      </c>
      <c r="G2687" s="9" t="s">
        <v>3842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3943</v>
      </c>
      <c r="N2687" s="4"/>
      <c r="O2687" s="5"/>
      <c r="P2687" s="10"/>
      <c r="Q2687" s="21" t="str">
        <f>VLOOKUP(tblProductos[[#This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3942</v>
      </c>
      <c r="D2688" s="9" t="s">
        <v>4056</v>
      </c>
      <c r="E2688" s="9"/>
      <c r="F2688" s="9">
        <v>50</v>
      </c>
      <c r="G2688" s="9" t="s">
        <v>3842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3943</v>
      </c>
      <c r="N2688" s="4"/>
      <c r="O2688" s="5"/>
      <c r="P2688" s="10"/>
      <c r="Q2688" s="21" t="str">
        <f>VLOOKUP(tblProductos[[#This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3942</v>
      </c>
      <c r="D2689" s="9" t="s">
        <v>4006</v>
      </c>
      <c r="E2689" s="9"/>
      <c r="F2689" s="9">
        <v>50</v>
      </c>
      <c r="G2689" s="9" t="s">
        <v>3842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3943</v>
      </c>
      <c r="N2689" s="4"/>
      <c r="O2689" s="5"/>
      <c r="P2689" s="10"/>
      <c r="Q2689" s="21" t="str">
        <f>VLOOKUP(tblProductos[[#This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3942</v>
      </c>
      <c r="D2690" s="9" t="s">
        <v>4143</v>
      </c>
      <c r="E2690" s="9"/>
      <c r="F2690" s="9">
        <v>50</v>
      </c>
      <c r="G2690" s="9" t="s">
        <v>3842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3943</v>
      </c>
      <c r="N2690" s="4"/>
      <c r="O2690" s="5"/>
      <c r="P2690" s="10"/>
      <c r="Q2690" s="21" t="str">
        <f>VLOOKUP(tblProductos[[#This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3942</v>
      </c>
      <c r="D2691" s="9" t="s">
        <v>4031</v>
      </c>
      <c r="E2691" s="9"/>
      <c r="F2691" s="9">
        <v>50</v>
      </c>
      <c r="G2691" s="9" t="s">
        <v>3842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3943</v>
      </c>
      <c r="N2691" s="4"/>
      <c r="O2691" s="5"/>
      <c r="P2691" s="10"/>
      <c r="Q2691" s="21" t="str">
        <f>VLOOKUP(tblProductos[[#This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3942</v>
      </c>
      <c r="D2692" s="9" t="s">
        <v>4011</v>
      </c>
      <c r="E2692" s="9"/>
      <c r="F2692" s="9">
        <v>50</v>
      </c>
      <c r="G2692" s="9" t="s">
        <v>3842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3943</v>
      </c>
      <c r="N2692" s="4"/>
      <c r="O2692" s="5"/>
      <c r="P2692" s="10"/>
      <c r="Q2692" s="21" t="str">
        <f>VLOOKUP(tblProductos[[#This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3942</v>
      </c>
      <c r="D2693" s="9" t="s">
        <v>4030</v>
      </c>
      <c r="E2693" s="9"/>
      <c r="F2693" s="9">
        <v>50</v>
      </c>
      <c r="G2693" s="9" t="s">
        <v>3842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3943</v>
      </c>
      <c r="N2693" s="4"/>
      <c r="O2693" s="5"/>
      <c r="P2693" s="10"/>
      <c r="Q2693" s="21" t="str">
        <f>VLOOKUP(tblProductos[[#This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3942</v>
      </c>
      <c r="D2694" s="9" t="s">
        <v>4018</v>
      </c>
      <c r="E2694" s="9"/>
      <c r="F2694" s="9">
        <v>50</v>
      </c>
      <c r="G2694" s="9" t="s">
        <v>3842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3943</v>
      </c>
      <c r="N2694" s="4"/>
      <c r="O2694" s="5"/>
      <c r="P2694" s="10"/>
      <c r="Q2694" s="21" t="str">
        <f>VLOOKUP(tblProductos[[#This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3942</v>
      </c>
      <c r="D2695" s="9" t="s">
        <v>4009</v>
      </c>
      <c r="E2695" s="9"/>
      <c r="F2695" s="9">
        <v>50</v>
      </c>
      <c r="G2695" s="9" t="s">
        <v>3842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3943</v>
      </c>
      <c r="N2695" s="4"/>
      <c r="O2695" s="5"/>
      <c r="P2695" s="10"/>
      <c r="Q2695" s="21" t="str">
        <f>VLOOKUP(tblProductos[[#This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3942</v>
      </c>
      <c r="D2696" s="9" t="s">
        <v>4012</v>
      </c>
      <c r="E2696" s="9"/>
      <c r="F2696" s="9">
        <v>50</v>
      </c>
      <c r="G2696" s="9" t="s">
        <v>3842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3943</v>
      </c>
      <c r="N2696" s="4"/>
      <c r="O2696" s="5"/>
      <c r="P2696" s="10"/>
      <c r="Q2696" s="21" t="str">
        <f>VLOOKUP(tblProductos[[#This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3942</v>
      </c>
      <c r="D2697" s="9" t="s">
        <v>4013</v>
      </c>
      <c r="E2697" s="9"/>
      <c r="F2697" s="9">
        <v>50</v>
      </c>
      <c r="G2697" s="9" t="s">
        <v>3842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3943</v>
      </c>
      <c r="N2697" s="4"/>
      <c r="O2697" s="5"/>
      <c r="P2697" s="10"/>
      <c r="Q2697" s="21" t="str">
        <f>VLOOKUP(tblProductos[[#This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3942</v>
      </c>
      <c r="D2698" s="9" t="s">
        <v>3923</v>
      </c>
      <c r="E2698" s="9"/>
      <c r="F2698" s="9">
        <v>50</v>
      </c>
      <c r="G2698" s="9" t="s">
        <v>3842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3943</v>
      </c>
      <c r="N2698" s="4"/>
      <c r="O2698" s="5"/>
      <c r="P2698" s="10"/>
      <c r="Q2698" s="21" t="str">
        <f>VLOOKUP(tblProductos[[#This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3942</v>
      </c>
      <c r="D2699" s="9" t="s">
        <v>4019</v>
      </c>
      <c r="E2699" s="9"/>
      <c r="F2699" s="9">
        <v>50</v>
      </c>
      <c r="G2699" s="9" t="s">
        <v>3842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3943</v>
      </c>
      <c r="N2699" s="4"/>
      <c r="O2699" s="5"/>
      <c r="P2699" s="10"/>
      <c r="Q2699" s="21" t="str">
        <f>VLOOKUP(tblProductos[[#This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3942</v>
      </c>
      <c r="D2700" s="9" t="s">
        <v>4032</v>
      </c>
      <c r="E2700" s="9"/>
      <c r="F2700" s="9">
        <v>50</v>
      </c>
      <c r="G2700" s="9" t="s">
        <v>3842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3943</v>
      </c>
      <c r="N2700" s="4"/>
      <c r="O2700" s="5"/>
      <c r="P2700" s="10"/>
      <c r="Q2700" s="21" t="str">
        <f>VLOOKUP(tblProductos[[#This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3942</v>
      </c>
      <c r="D2701" s="9" t="s">
        <v>4007</v>
      </c>
      <c r="E2701" s="9"/>
      <c r="F2701" s="9">
        <v>50</v>
      </c>
      <c r="G2701" s="9" t="s">
        <v>3842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3943</v>
      </c>
      <c r="N2701" s="4"/>
      <c r="O2701" s="5"/>
      <c r="P2701" s="10"/>
      <c r="Q2701" s="21" t="str">
        <f>VLOOKUP(tblProductos[[#This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3942</v>
      </c>
      <c r="D2702" s="9" t="s">
        <v>4033</v>
      </c>
      <c r="E2702" s="9"/>
      <c r="F2702" s="9">
        <v>50</v>
      </c>
      <c r="G2702" s="9" t="s">
        <v>3842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3943</v>
      </c>
      <c r="N2702" s="4"/>
      <c r="O2702" s="5"/>
      <c r="P2702" s="10"/>
      <c r="Q2702" s="21" t="str">
        <f>VLOOKUP(tblProductos[[#This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3942</v>
      </c>
      <c r="D2703" s="9" t="s">
        <v>4144</v>
      </c>
      <c r="E2703" s="9"/>
      <c r="F2703" s="9">
        <v>50</v>
      </c>
      <c r="G2703" s="9" t="s">
        <v>3842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3943</v>
      </c>
      <c r="N2703" s="4"/>
      <c r="O2703" s="5"/>
      <c r="P2703" s="10"/>
      <c r="Q2703" s="21" t="str">
        <f>VLOOKUP(tblProductos[[#This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3942</v>
      </c>
      <c r="D2704" s="9" t="s">
        <v>4014</v>
      </c>
      <c r="E2704" s="9"/>
      <c r="F2704" s="9">
        <v>50</v>
      </c>
      <c r="G2704" s="9" t="s">
        <v>3842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3943</v>
      </c>
      <c r="N2704" s="4"/>
      <c r="O2704" s="5"/>
      <c r="P2704" s="10"/>
      <c r="Q2704" s="21" t="str">
        <f>VLOOKUP(tblProductos[[#This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3942</v>
      </c>
      <c r="D2705" s="9" t="s">
        <v>4008</v>
      </c>
      <c r="E2705" s="9"/>
      <c r="F2705" s="9">
        <v>50</v>
      </c>
      <c r="G2705" s="9" t="s">
        <v>3842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3943</v>
      </c>
      <c r="N2705" s="4"/>
      <c r="O2705" s="5"/>
      <c r="P2705" s="10"/>
      <c r="Q2705" s="21" t="str">
        <f>VLOOKUP(tblProductos[[#This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3942</v>
      </c>
      <c r="D2706" s="9" t="s">
        <v>4020</v>
      </c>
      <c r="E2706" s="9"/>
      <c r="F2706" s="9">
        <v>50</v>
      </c>
      <c r="G2706" s="9" t="s">
        <v>3842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3943</v>
      </c>
      <c r="N2706" s="4"/>
      <c r="O2706" s="5"/>
      <c r="P2706" s="10"/>
      <c r="Q2706" s="21" t="str">
        <f>VLOOKUP(tblProductos[[#This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3942</v>
      </c>
      <c r="D2707" s="9" t="s">
        <v>4016</v>
      </c>
      <c r="E2707" s="9"/>
      <c r="F2707" s="9">
        <v>50</v>
      </c>
      <c r="G2707" s="9" t="s">
        <v>3842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3943</v>
      </c>
      <c r="N2707" s="4"/>
      <c r="O2707" s="5"/>
      <c r="P2707" s="10"/>
      <c r="Q2707" s="21" t="str">
        <f>VLOOKUP(tblProductos[[#This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3942</v>
      </c>
      <c r="D2708" s="9" t="s">
        <v>4145</v>
      </c>
      <c r="E2708" s="9"/>
      <c r="F2708" s="9">
        <v>50</v>
      </c>
      <c r="G2708" s="9" t="s">
        <v>3842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3943</v>
      </c>
      <c r="N2708" s="4"/>
      <c r="O2708" s="5"/>
      <c r="P2708" s="10"/>
      <c r="Q2708" s="21" t="str">
        <f>VLOOKUP(tblProductos[[#This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3942</v>
      </c>
      <c r="D2709" s="9" t="s">
        <v>3841</v>
      </c>
      <c r="E2709" s="9"/>
      <c r="F2709" s="9">
        <v>50</v>
      </c>
      <c r="G2709" s="9" t="s">
        <v>3842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3943</v>
      </c>
      <c r="N2709" s="4"/>
      <c r="O2709" s="5">
        <v>100</v>
      </c>
      <c r="P2709" s="10"/>
      <c r="Q2709" s="21" t="str">
        <f>VLOOKUP(tblProductos[[#This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3942</v>
      </c>
      <c r="D2710" s="9" t="s">
        <v>4021</v>
      </c>
      <c r="E2710" s="9"/>
      <c r="F2710" s="9">
        <v>50</v>
      </c>
      <c r="G2710" s="9" t="s">
        <v>3842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3943</v>
      </c>
      <c r="N2710" s="4"/>
      <c r="O2710" s="5"/>
      <c r="P2710" s="10"/>
      <c r="Q2710" s="21" t="str">
        <f>VLOOKUP(tblProductos[[#This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3942</v>
      </c>
      <c r="D2711" s="9" t="s">
        <v>4015</v>
      </c>
      <c r="E2711" s="9"/>
      <c r="F2711" s="9">
        <v>50</v>
      </c>
      <c r="G2711" s="9" t="s">
        <v>3842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3943</v>
      </c>
      <c r="N2711" s="4"/>
      <c r="O2711" s="5"/>
      <c r="P2711" s="10"/>
      <c r="Q2711" s="21" t="str">
        <f>VLOOKUP(tblProductos[[#This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3942</v>
      </c>
      <c r="D2712" s="9" t="s">
        <v>4054</v>
      </c>
      <c r="E2712" s="9"/>
      <c r="F2712" s="9">
        <v>50</v>
      </c>
      <c r="G2712" s="9" t="s">
        <v>3842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3943</v>
      </c>
      <c r="N2712" s="4"/>
      <c r="O2712" s="5"/>
      <c r="P2712" s="10"/>
      <c r="Q2712" s="21" t="str">
        <f>VLOOKUP(tblProductos[[#This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3942</v>
      </c>
      <c r="D2713" s="9" t="s">
        <v>4118</v>
      </c>
      <c r="E2713" s="9"/>
      <c r="F2713" s="9">
        <v>50</v>
      </c>
      <c r="G2713" s="9" t="s">
        <v>3842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3943</v>
      </c>
      <c r="N2713" s="4"/>
      <c r="O2713" s="5"/>
      <c r="P2713" s="10"/>
      <c r="Q2713" s="21" t="str">
        <f>VLOOKUP(tblProductos[[#This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3942</v>
      </c>
      <c r="D2714" s="9" t="s">
        <v>4022</v>
      </c>
      <c r="E2714" s="9"/>
      <c r="F2714" s="9">
        <v>50</v>
      </c>
      <c r="G2714" s="9" t="s">
        <v>3842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3943</v>
      </c>
      <c r="N2714" s="4"/>
      <c r="O2714" s="5"/>
      <c r="P2714" s="10"/>
      <c r="Q2714" s="21" t="str">
        <f>VLOOKUP(tblProductos[[#This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3942</v>
      </c>
      <c r="D2715" s="9" t="s">
        <v>3919</v>
      </c>
      <c r="E2715" s="9"/>
      <c r="F2715" s="9">
        <v>50</v>
      </c>
      <c r="G2715" s="9" t="s">
        <v>3842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3943</v>
      </c>
      <c r="N2715" s="4"/>
      <c r="O2715" s="5"/>
      <c r="P2715" s="10"/>
      <c r="Q2715" s="21" t="str">
        <f>VLOOKUP(tblProductos[[#This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3942</v>
      </c>
      <c r="D2716" s="9" t="s">
        <v>4023</v>
      </c>
      <c r="E2716" s="9"/>
      <c r="F2716" s="9">
        <v>50</v>
      </c>
      <c r="G2716" s="9" t="s">
        <v>3842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3943</v>
      </c>
      <c r="N2716" s="4"/>
      <c r="O2716" s="5"/>
      <c r="P2716" s="10"/>
      <c r="Q2716" s="21" t="str">
        <f>VLOOKUP(tblProductos[[#This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3942</v>
      </c>
      <c r="D2717" s="9" t="s">
        <v>4029</v>
      </c>
      <c r="E2717" s="9"/>
      <c r="F2717" s="9">
        <v>50</v>
      </c>
      <c r="G2717" s="9" t="s">
        <v>3842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3943</v>
      </c>
      <c r="N2717" s="4"/>
      <c r="O2717" s="5"/>
      <c r="P2717" s="10"/>
      <c r="Q2717" s="21" t="str">
        <f>VLOOKUP(tblProductos[[#This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3942</v>
      </c>
      <c r="D2718" s="9" t="s">
        <v>4024</v>
      </c>
      <c r="E2718" s="9"/>
      <c r="F2718" s="9">
        <v>50</v>
      </c>
      <c r="G2718" s="9" t="s">
        <v>3842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3943</v>
      </c>
      <c r="N2718" s="4"/>
      <c r="O2718" s="5"/>
      <c r="P2718" s="10"/>
      <c r="Q2718" s="21" t="str">
        <f>VLOOKUP(tblProductos[[#This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3942</v>
      </c>
      <c r="D2719" s="9" t="s">
        <v>4034</v>
      </c>
      <c r="E2719" s="9"/>
      <c r="F2719" s="9">
        <v>50</v>
      </c>
      <c r="G2719" s="9" t="s">
        <v>3842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3943</v>
      </c>
      <c r="N2719" s="4"/>
      <c r="O2719" s="5"/>
      <c r="P2719" s="10"/>
      <c r="Q2719" s="21" t="str">
        <f>VLOOKUP(tblProductos[[#This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3942</v>
      </c>
      <c r="D2720" s="9" t="s">
        <v>4035</v>
      </c>
      <c r="E2720" s="9"/>
      <c r="F2720" s="9">
        <v>50</v>
      </c>
      <c r="G2720" s="9" t="s">
        <v>3842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3943</v>
      </c>
      <c r="N2720" s="4"/>
      <c r="O2720" s="5"/>
      <c r="P2720" s="10"/>
      <c r="Q2720" s="21" t="str">
        <f>VLOOKUP(tblProductos[[#This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3942</v>
      </c>
      <c r="D2721" s="9" t="s">
        <v>4017</v>
      </c>
      <c r="E2721" s="9"/>
      <c r="F2721" s="9">
        <v>50</v>
      </c>
      <c r="G2721" s="9" t="s">
        <v>3842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3943</v>
      </c>
      <c r="N2721" s="4"/>
      <c r="O2721" s="5"/>
      <c r="P2721" s="10"/>
      <c r="Q2721" s="21" t="str">
        <f>VLOOKUP(tblProductos[[#This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3942</v>
      </c>
      <c r="D2722" s="9" t="s">
        <v>4125</v>
      </c>
      <c r="E2722" s="9"/>
      <c r="F2722" s="9">
        <v>50</v>
      </c>
      <c r="G2722" s="9" t="s">
        <v>3842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3943</v>
      </c>
      <c r="N2722" s="4"/>
      <c r="O2722" s="5"/>
      <c r="P2722" s="10"/>
      <c r="Q2722" s="21" t="str">
        <f>VLOOKUP(tblProductos[[#This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3942</v>
      </c>
      <c r="D2723" s="9" t="s">
        <v>4056</v>
      </c>
      <c r="E2723" s="9"/>
      <c r="F2723" s="9">
        <v>50</v>
      </c>
      <c r="G2723" s="9" t="s">
        <v>3842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3943</v>
      </c>
      <c r="N2723" s="4"/>
      <c r="O2723" s="5"/>
      <c r="P2723" s="10"/>
      <c r="Q2723" s="21" t="str">
        <f>VLOOKUP(tblProductos[[#This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3942</v>
      </c>
      <c r="D2724" s="9" t="s">
        <v>4143</v>
      </c>
      <c r="E2724" s="9"/>
      <c r="F2724" s="9">
        <v>50</v>
      </c>
      <c r="G2724" s="9" t="s">
        <v>3842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3943</v>
      </c>
      <c r="N2724" s="4"/>
      <c r="O2724" s="5"/>
      <c r="P2724" s="10"/>
      <c r="Q2724" s="21" t="str">
        <f>VLOOKUP(tblProductos[[#This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3942</v>
      </c>
      <c r="D2725" s="9" t="s">
        <v>4031</v>
      </c>
      <c r="E2725" s="9"/>
      <c r="F2725" s="9">
        <v>50</v>
      </c>
      <c r="G2725" s="9" t="s">
        <v>3842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3943</v>
      </c>
      <c r="N2725" s="4"/>
      <c r="O2725" s="5"/>
      <c r="P2725" s="10"/>
      <c r="Q2725" s="21" t="str">
        <f>VLOOKUP(tblProductos[[#This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3942</v>
      </c>
      <c r="D2726" s="9" t="s">
        <v>4030</v>
      </c>
      <c r="E2726" s="9"/>
      <c r="F2726" s="9">
        <v>50</v>
      </c>
      <c r="G2726" s="9" t="s">
        <v>3842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3943</v>
      </c>
      <c r="N2726" s="4"/>
      <c r="O2726" s="5"/>
      <c r="P2726" s="10"/>
      <c r="Q2726" s="21" t="str">
        <f>VLOOKUP(tblProductos[[#This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3942</v>
      </c>
      <c r="D2727" s="9" t="s">
        <v>4018</v>
      </c>
      <c r="E2727" s="9"/>
      <c r="F2727" s="9">
        <v>50</v>
      </c>
      <c r="G2727" s="9" t="s">
        <v>3842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3943</v>
      </c>
      <c r="N2727" s="4"/>
      <c r="O2727" s="5"/>
      <c r="P2727" s="10"/>
      <c r="Q2727" s="21" t="str">
        <f>VLOOKUP(tblProductos[[#This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3942</v>
      </c>
      <c r="D2728" s="9" t="s">
        <v>4012</v>
      </c>
      <c r="E2728" s="9"/>
      <c r="F2728" s="9">
        <v>50</v>
      </c>
      <c r="G2728" s="9" t="s">
        <v>3842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3943</v>
      </c>
      <c r="N2728" s="4"/>
      <c r="O2728" s="5"/>
      <c r="P2728" s="10"/>
      <c r="Q2728" s="21" t="str">
        <f>VLOOKUP(tblProductos[[#This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3942</v>
      </c>
      <c r="D2729" s="9" t="s">
        <v>4013</v>
      </c>
      <c r="E2729" s="9"/>
      <c r="F2729" s="9">
        <v>50</v>
      </c>
      <c r="G2729" s="9" t="s">
        <v>3842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3943</v>
      </c>
      <c r="N2729" s="4"/>
      <c r="O2729" s="5"/>
      <c r="P2729" s="10"/>
      <c r="Q2729" s="21" t="str">
        <f>VLOOKUP(tblProductos[[#This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3942</v>
      </c>
      <c r="D2730" s="9" t="s">
        <v>3923</v>
      </c>
      <c r="E2730" s="9"/>
      <c r="F2730" s="9">
        <v>50</v>
      </c>
      <c r="G2730" s="9" t="s">
        <v>3842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3943</v>
      </c>
      <c r="N2730" s="4"/>
      <c r="O2730" s="5"/>
      <c r="P2730" s="10"/>
      <c r="Q2730" s="21" t="str">
        <f>VLOOKUP(tblProductos[[#This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3942</v>
      </c>
      <c r="D2731" s="9" t="s">
        <v>4019</v>
      </c>
      <c r="E2731" s="9"/>
      <c r="F2731" s="9">
        <v>50</v>
      </c>
      <c r="G2731" s="9" t="s">
        <v>3842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3943</v>
      </c>
      <c r="N2731" s="4"/>
      <c r="O2731" s="5"/>
      <c r="P2731" s="10"/>
      <c r="Q2731" s="21" t="str">
        <f>VLOOKUP(tblProductos[[#This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3942</v>
      </c>
      <c r="D2732" s="9" t="s">
        <v>4032</v>
      </c>
      <c r="E2732" s="9"/>
      <c r="F2732" s="9">
        <v>50</v>
      </c>
      <c r="G2732" s="9" t="s">
        <v>3842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3943</v>
      </c>
      <c r="N2732" s="4"/>
      <c r="O2732" s="5"/>
      <c r="P2732" s="10"/>
      <c r="Q2732" s="21" t="str">
        <f>VLOOKUP(tblProductos[[#This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3942</v>
      </c>
      <c r="D2733" s="9" t="s">
        <v>4033</v>
      </c>
      <c r="E2733" s="9"/>
      <c r="F2733" s="9">
        <v>50</v>
      </c>
      <c r="G2733" s="9" t="s">
        <v>3842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3943</v>
      </c>
      <c r="N2733" s="4"/>
      <c r="O2733" s="5"/>
      <c r="P2733" s="10"/>
      <c r="Q2733" s="21" t="str">
        <f>VLOOKUP(tblProductos[[#This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3942</v>
      </c>
      <c r="D2734" s="9" t="s">
        <v>4144</v>
      </c>
      <c r="E2734" s="9"/>
      <c r="F2734" s="9">
        <v>50</v>
      </c>
      <c r="G2734" s="9" t="s">
        <v>3842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3943</v>
      </c>
      <c r="N2734" s="4"/>
      <c r="O2734" s="5"/>
      <c r="P2734" s="10"/>
      <c r="Q2734" s="21" t="str">
        <f>VLOOKUP(tblProductos[[#This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3942</v>
      </c>
      <c r="D2735" s="9" t="s">
        <v>4014</v>
      </c>
      <c r="E2735" s="9"/>
      <c r="F2735" s="9">
        <v>50</v>
      </c>
      <c r="G2735" s="9" t="s">
        <v>3842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3943</v>
      </c>
      <c r="N2735" s="4"/>
      <c r="O2735" s="5"/>
      <c r="P2735" s="10"/>
      <c r="Q2735" s="21" t="str">
        <f>VLOOKUP(tblProductos[[#This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3942</v>
      </c>
      <c r="D2736" s="9" t="s">
        <v>4020</v>
      </c>
      <c r="E2736" s="9"/>
      <c r="F2736" s="9">
        <v>50</v>
      </c>
      <c r="G2736" s="9" t="s">
        <v>3842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3943</v>
      </c>
      <c r="N2736" s="4"/>
      <c r="O2736" s="5"/>
      <c r="P2736" s="10"/>
      <c r="Q2736" s="21" t="str">
        <f>VLOOKUP(tblProductos[[#This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3942</v>
      </c>
      <c r="D2737" s="9" t="s">
        <v>4145</v>
      </c>
      <c r="E2737" s="9"/>
      <c r="F2737" s="9">
        <v>50</v>
      </c>
      <c r="G2737" s="9" t="s">
        <v>3842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3943</v>
      </c>
      <c r="N2737" s="4"/>
      <c r="O2737" s="5"/>
      <c r="P2737" s="10"/>
      <c r="Q2737" s="21" t="str">
        <f>VLOOKUP(tblProductos[[#This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3942</v>
      </c>
      <c r="D2738" s="9" t="s">
        <v>4021</v>
      </c>
      <c r="E2738" s="9"/>
      <c r="F2738" s="9">
        <v>50</v>
      </c>
      <c r="G2738" s="9" t="s">
        <v>3842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3943</v>
      </c>
      <c r="N2738" s="4"/>
      <c r="O2738" s="5"/>
      <c r="P2738" s="10"/>
      <c r="Q2738" s="21" t="str">
        <f>VLOOKUP(tblProductos[[#This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3942</v>
      </c>
      <c r="D2739" s="9" t="s">
        <v>4015</v>
      </c>
      <c r="E2739" s="9"/>
      <c r="F2739" s="9">
        <v>50</v>
      </c>
      <c r="G2739" s="9" t="s">
        <v>3842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3943</v>
      </c>
      <c r="N2739" s="4"/>
      <c r="O2739" s="5"/>
      <c r="P2739" s="10"/>
      <c r="Q2739" s="21" t="str">
        <f>VLOOKUP(tblProductos[[#This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3942</v>
      </c>
      <c r="D2740" s="9" t="s">
        <v>4054</v>
      </c>
      <c r="E2740" s="9"/>
      <c r="F2740" s="9">
        <v>50</v>
      </c>
      <c r="G2740" s="9" t="s">
        <v>3842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3943</v>
      </c>
      <c r="N2740" s="4"/>
      <c r="O2740" s="5"/>
      <c r="P2740" s="10"/>
      <c r="Q2740" s="21" t="str">
        <f>VLOOKUP(tblProductos[[#This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3942</v>
      </c>
      <c r="D2741" s="9" t="s">
        <v>4118</v>
      </c>
      <c r="E2741" s="9"/>
      <c r="F2741" s="9">
        <v>50</v>
      </c>
      <c r="G2741" s="9" t="s">
        <v>3842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3943</v>
      </c>
      <c r="N2741" s="4"/>
      <c r="O2741" s="5"/>
      <c r="P2741" s="10"/>
      <c r="Q2741" s="21" t="str">
        <f>VLOOKUP(tblProductos[[#This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3942</v>
      </c>
      <c r="D2742" s="9" t="s">
        <v>4022</v>
      </c>
      <c r="E2742" s="9"/>
      <c r="F2742" s="9">
        <v>50</v>
      </c>
      <c r="G2742" s="9" t="s">
        <v>3842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3943</v>
      </c>
      <c r="N2742" s="4"/>
      <c r="O2742" s="5"/>
      <c r="P2742" s="10"/>
      <c r="Q2742" s="21" t="str">
        <f>VLOOKUP(tblProductos[[#This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3942</v>
      </c>
      <c r="D2743" s="9" t="s">
        <v>4023</v>
      </c>
      <c r="E2743" s="9"/>
      <c r="F2743" s="9">
        <v>50</v>
      </c>
      <c r="G2743" s="9" t="s">
        <v>3842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3943</v>
      </c>
      <c r="N2743" s="4"/>
      <c r="O2743" s="5"/>
      <c r="P2743" s="10"/>
      <c r="Q2743" s="21" t="str">
        <f>VLOOKUP(tblProductos[[#This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3942</v>
      </c>
      <c r="D2744" s="9" t="s">
        <v>4029</v>
      </c>
      <c r="E2744" s="9"/>
      <c r="F2744" s="9">
        <v>50</v>
      </c>
      <c r="G2744" s="9" t="s">
        <v>3842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3943</v>
      </c>
      <c r="N2744" s="4"/>
      <c r="O2744" s="5"/>
      <c r="P2744" s="10"/>
      <c r="Q2744" s="21" t="str">
        <f>VLOOKUP(tblProductos[[#This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3942</v>
      </c>
      <c r="D2745" s="9" t="s">
        <v>4024</v>
      </c>
      <c r="E2745" s="9"/>
      <c r="F2745" s="9">
        <v>50</v>
      </c>
      <c r="G2745" s="9" t="s">
        <v>3842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3943</v>
      </c>
      <c r="N2745" s="4"/>
      <c r="O2745" s="5"/>
      <c r="P2745" s="10"/>
      <c r="Q2745" s="21" t="str">
        <f>VLOOKUP(tblProductos[[#This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3942</v>
      </c>
      <c r="D2746" s="9" t="s">
        <v>4034</v>
      </c>
      <c r="E2746" s="9"/>
      <c r="F2746" s="9">
        <v>50</v>
      </c>
      <c r="G2746" s="9" t="s">
        <v>3842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3943</v>
      </c>
      <c r="N2746" s="4"/>
      <c r="O2746" s="5"/>
      <c r="P2746" s="10"/>
      <c r="Q2746" s="21" t="str">
        <f>VLOOKUP(tblProductos[[#This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3942</v>
      </c>
      <c r="D2747" s="9" t="s">
        <v>4035</v>
      </c>
      <c r="E2747" s="9"/>
      <c r="F2747" s="9">
        <v>50</v>
      </c>
      <c r="G2747" s="9" t="s">
        <v>3842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3943</v>
      </c>
      <c r="N2747" s="4"/>
      <c r="O2747" s="5"/>
      <c r="P2747" s="10"/>
      <c r="Q2747" s="21" t="str">
        <f>VLOOKUP(tblProductos[[#This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3945</v>
      </c>
      <c r="D2748" s="9" t="s">
        <v>4017</v>
      </c>
      <c r="E2748" s="9"/>
      <c r="F2748" s="9">
        <v>30</v>
      </c>
      <c r="G2748" s="9" t="s">
        <v>3842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3943</v>
      </c>
      <c r="N2748" s="4"/>
      <c r="O2748" s="5"/>
      <c r="P2748" s="10"/>
      <c r="Q2748" s="21" t="str">
        <f>VLOOKUP(tblProductos[[#This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3945</v>
      </c>
      <c r="D2749" s="9" t="s">
        <v>4010</v>
      </c>
      <c r="E2749" s="9"/>
      <c r="F2749" s="9">
        <v>30</v>
      </c>
      <c r="G2749" s="9" t="s">
        <v>3842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3943</v>
      </c>
      <c r="N2749" s="4"/>
      <c r="O2749" s="5"/>
      <c r="P2749" s="10"/>
      <c r="Q2749" s="21" t="str">
        <f>VLOOKUP(tblProductos[[#This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3945</v>
      </c>
      <c r="D2750" s="9" t="s">
        <v>4125</v>
      </c>
      <c r="E2750" s="9"/>
      <c r="F2750" s="9">
        <v>30</v>
      </c>
      <c r="G2750" s="9" t="s">
        <v>3842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3943</v>
      </c>
      <c r="N2750" s="4"/>
      <c r="O2750" s="5"/>
      <c r="P2750" s="10"/>
      <c r="Q2750" s="21" t="str">
        <f>VLOOKUP(tblProductos[[#This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3945</v>
      </c>
      <c r="D2751" s="9" t="s">
        <v>4056</v>
      </c>
      <c r="E2751" s="9"/>
      <c r="F2751" s="9">
        <v>30</v>
      </c>
      <c r="G2751" s="9" t="s">
        <v>3842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3943</v>
      </c>
      <c r="N2751" s="4"/>
      <c r="O2751" s="5"/>
      <c r="P2751" s="10"/>
      <c r="Q2751" s="21" t="str">
        <f>VLOOKUP(tblProductos[[#This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3945</v>
      </c>
      <c r="D2752" s="9" t="s">
        <v>4006</v>
      </c>
      <c r="E2752" s="9"/>
      <c r="F2752" s="9">
        <v>30</v>
      </c>
      <c r="G2752" s="9" t="s">
        <v>3842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3943</v>
      </c>
      <c r="N2752" s="4"/>
      <c r="O2752" s="5"/>
      <c r="P2752" s="10"/>
      <c r="Q2752" s="21" t="str">
        <f>VLOOKUP(tblProductos[[#This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3945</v>
      </c>
      <c r="D2753" s="9" t="s">
        <v>4143</v>
      </c>
      <c r="E2753" s="9"/>
      <c r="F2753" s="9">
        <v>30</v>
      </c>
      <c r="G2753" s="9" t="s">
        <v>3842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3943</v>
      </c>
      <c r="N2753" s="4"/>
      <c r="O2753" s="5"/>
      <c r="P2753" s="10"/>
      <c r="Q2753" s="21" t="str">
        <f>VLOOKUP(tblProductos[[#This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3945</v>
      </c>
      <c r="D2754" s="9" t="s">
        <v>4031</v>
      </c>
      <c r="E2754" s="9"/>
      <c r="F2754" s="9">
        <v>30</v>
      </c>
      <c r="G2754" s="9" t="s">
        <v>3842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3943</v>
      </c>
      <c r="N2754" s="4"/>
      <c r="O2754" s="5"/>
      <c r="P2754" s="10"/>
      <c r="Q2754" s="21" t="str">
        <f>VLOOKUP(tblProductos[[#This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3945</v>
      </c>
      <c r="D2755" s="9" t="s">
        <v>4011</v>
      </c>
      <c r="E2755" s="9"/>
      <c r="F2755" s="9">
        <v>30</v>
      </c>
      <c r="G2755" s="9" t="s">
        <v>3842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3943</v>
      </c>
      <c r="N2755" s="4"/>
      <c r="O2755" s="5"/>
      <c r="P2755" s="10"/>
      <c r="Q2755" s="21" t="str">
        <f>VLOOKUP(tblProductos[[#This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3945</v>
      </c>
      <c r="D2756" s="9" t="s">
        <v>4030</v>
      </c>
      <c r="E2756" s="9"/>
      <c r="F2756" s="9">
        <v>30</v>
      </c>
      <c r="G2756" s="9" t="s">
        <v>3842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3943</v>
      </c>
      <c r="N2756" s="4"/>
      <c r="O2756" s="5"/>
      <c r="P2756" s="10"/>
      <c r="Q2756" s="21" t="str">
        <f>VLOOKUP(tblProductos[[#This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3945</v>
      </c>
      <c r="D2757" s="9" t="s">
        <v>4018</v>
      </c>
      <c r="E2757" s="9"/>
      <c r="F2757" s="9">
        <v>30</v>
      </c>
      <c r="G2757" s="9" t="s">
        <v>3842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3943</v>
      </c>
      <c r="N2757" s="4"/>
      <c r="O2757" s="5"/>
      <c r="P2757" s="10"/>
      <c r="Q2757" s="21" t="str">
        <f>VLOOKUP(tblProductos[[#This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3945</v>
      </c>
      <c r="D2758" s="9" t="s">
        <v>4009</v>
      </c>
      <c r="E2758" s="9"/>
      <c r="F2758" s="9">
        <v>30</v>
      </c>
      <c r="G2758" s="9" t="s">
        <v>3842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3943</v>
      </c>
      <c r="N2758" s="4"/>
      <c r="O2758" s="5"/>
      <c r="P2758" s="10"/>
      <c r="Q2758" s="21" t="str">
        <f>VLOOKUP(tblProductos[[#This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3945</v>
      </c>
      <c r="D2759" s="9" t="s">
        <v>4012</v>
      </c>
      <c r="E2759" s="9"/>
      <c r="F2759" s="9">
        <v>30</v>
      </c>
      <c r="G2759" s="9" t="s">
        <v>3842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3943</v>
      </c>
      <c r="N2759" s="4"/>
      <c r="O2759" s="5"/>
      <c r="P2759" s="10"/>
      <c r="Q2759" s="21" t="str">
        <f>VLOOKUP(tblProductos[[#This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3945</v>
      </c>
      <c r="D2760" s="9" t="s">
        <v>4013</v>
      </c>
      <c r="E2760" s="9"/>
      <c r="F2760" s="9">
        <v>30</v>
      </c>
      <c r="G2760" s="9" t="s">
        <v>3842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3943</v>
      </c>
      <c r="N2760" s="4"/>
      <c r="O2760" s="5"/>
      <c r="P2760" s="10"/>
      <c r="Q2760" s="21" t="str">
        <f>VLOOKUP(tblProductos[[#This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3945</v>
      </c>
      <c r="D2761" s="9" t="s">
        <v>3923</v>
      </c>
      <c r="E2761" s="9"/>
      <c r="F2761" s="9">
        <v>30</v>
      </c>
      <c r="G2761" s="9" t="s">
        <v>3842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3943</v>
      </c>
      <c r="N2761" s="4"/>
      <c r="O2761" s="5"/>
      <c r="P2761" s="10"/>
      <c r="Q2761" s="21" t="str">
        <f>VLOOKUP(tblProductos[[#This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3945</v>
      </c>
      <c r="D2762" s="9" t="s">
        <v>4019</v>
      </c>
      <c r="E2762" s="9"/>
      <c r="F2762" s="9">
        <v>30</v>
      </c>
      <c r="G2762" s="9" t="s">
        <v>3842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3943</v>
      </c>
      <c r="N2762" s="4"/>
      <c r="O2762" s="5"/>
      <c r="P2762" s="10"/>
      <c r="Q2762" s="21" t="str">
        <f>VLOOKUP(tblProductos[[#This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3945</v>
      </c>
      <c r="D2763" s="9" t="s">
        <v>4032</v>
      </c>
      <c r="E2763" s="9"/>
      <c r="F2763" s="9">
        <v>30</v>
      </c>
      <c r="G2763" s="9" t="s">
        <v>3842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3943</v>
      </c>
      <c r="N2763" s="4"/>
      <c r="O2763" s="5"/>
      <c r="P2763" s="10"/>
      <c r="Q2763" s="21" t="str">
        <f>VLOOKUP(tblProductos[[#This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3945</v>
      </c>
      <c r="D2764" s="9" t="s">
        <v>4007</v>
      </c>
      <c r="E2764" s="9"/>
      <c r="F2764" s="9">
        <v>30</v>
      </c>
      <c r="G2764" s="9" t="s">
        <v>3842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3943</v>
      </c>
      <c r="N2764" s="4"/>
      <c r="O2764" s="5"/>
      <c r="P2764" s="10"/>
      <c r="Q2764" s="21" t="str">
        <f>VLOOKUP(tblProductos[[#This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3945</v>
      </c>
      <c r="D2765" s="9" t="s">
        <v>3888</v>
      </c>
      <c r="E2765" s="9"/>
      <c r="F2765" s="9">
        <v>30</v>
      </c>
      <c r="G2765" s="9" t="s">
        <v>3842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3943</v>
      </c>
      <c r="N2765" s="4"/>
      <c r="O2765" s="5">
        <v>100</v>
      </c>
      <c r="P2765" s="10"/>
      <c r="Q2765" s="21" t="str">
        <f>VLOOKUP(tblProductos[[#This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3945</v>
      </c>
      <c r="D2766" s="9" t="s">
        <v>4033</v>
      </c>
      <c r="E2766" s="9"/>
      <c r="F2766" s="9">
        <v>30</v>
      </c>
      <c r="G2766" s="9" t="s">
        <v>3842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3943</v>
      </c>
      <c r="N2766" s="4"/>
      <c r="O2766" s="5"/>
      <c r="P2766" s="10"/>
      <c r="Q2766" s="21" t="str">
        <f>VLOOKUP(tblProductos[[#This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3945</v>
      </c>
      <c r="D2767" s="9" t="s">
        <v>4144</v>
      </c>
      <c r="E2767" s="9"/>
      <c r="F2767" s="9">
        <v>30</v>
      </c>
      <c r="G2767" s="9" t="s">
        <v>3842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3943</v>
      </c>
      <c r="N2767" s="4"/>
      <c r="O2767" s="5"/>
      <c r="P2767" s="10"/>
      <c r="Q2767" s="21" t="str">
        <f>VLOOKUP(tblProductos[[#This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3945</v>
      </c>
      <c r="D2768" s="9" t="s">
        <v>4014</v>
      </c>
      <c r="E2768" s="9"/>
      <c r="F2768" s="9">
        <v>30</v>
      </c>
      <c r="G2768" s="9" t="s">
        <v>3842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3943</v>
      </c>
      <c r="N2768" s="4"/>
      <c r="O2768" s="5"/>
      <c r="P2768" s="10"/>
      <c r="Q2768" s="21" t="str">
        <f>VLOOKUP(tblProductos[[#This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3945</v>
      </c>
      <c r="D2769" s="9" t="s">
        <v>4008</v>
      </c>
      <c r="E2769" s="9"/>
      <c r="F2769" s="9">
        <v>30</v>
      </c>
      <c r="G2769" s="9" t="s">
        <v>3842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3943</v>
      </c>
      <c r="N2769" s="4"/>
      <c r="O2769" s="5"/>
      <c r="P2769" s="10"/>
      <c r="Q2769" s="21" t="str">
        <f>VLOOKUP(tblProductos[[#This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3945</v>
      </c>
      <c r="D2770" s="9" t="s">
        <v>4020</v>
      </c>
      <c r="E2770" s="9"/>
      <c r="F2770" s="9">
        <v>30</v>
      </c>
      <c r="G2770" s="9" t="s">
        <v>3842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3943</v>
      </c>
      <c r="N2770" s="4"/>
      <c r="O2770" s="5"/>
      <c r="P2770" s="10"/>
      <c r="Q2770" s="21" t="str">
        <f>VLOOKUP(tblProductos[[#This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3945</v>
      </c>
      <c r="D2771" s="9" t="s">
        <v>4016</v>
      </c>
      <c r="E2771" s="9"/>
      <c r="F2771" s="9">
        <v>30</v>
      </c>
      <c r="G2771" s="9" t="s">
        <v>3842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3943</v>
      </c>
      <c r="N2771" s="4"/>
      <c r="O2771" s="5"/>
      <c r="P2771" s="10"/>
      <c r="Q2771" s="21" t="str">
        <f>VLOOKUP(tblProductos[[#This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3945</v>
      </c>
      <c r="D2772" s="9" t="s">
        <v>4145</v>
      </c>
      <c r="E2772" s="9"/>
      <c r="F2772" s="9">
        <v>30</v>
      </c>
      <c r="G2772" s="9" t="s">
        <v>3842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3943</v>
      </c>
      <c r="N2772" s="4"/>
      <c r="O2772" s="5"/>
      <c r="P2772" s="10"/>
      <c r="Q2772" s="21" t="str">
        <f>VLOOKUP(tblProductos[[#This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3945</v>
      </c>
      <c r="D2773" s="9" t="s">
        <v>4021</v>
      </c>
      <c r="E2773" s="9"/>
      <c r="F2773" s="9">
        <v>30</v>
      </c>
      <c r="G2773" s="9" t="s">
        <v>3842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3943</v>
      </c>
      <c r="N2773" s="4"/>
      <c r="O2773" s="5"/>
      <c r="P2773" s="10"/>
      <c r="Q2773" s="21" t="str">
        <f>VLOOKUP(tblProductos[[#This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3945</v>
      </c>
      <c r="D2774" s="9" t="s">
        <v>4015</v>
      </c>
      <c r="E2774" s="9"/>
      <c r="F2774" s="9">
        <v>30</v>
      </c>
      <c r="G2774" s="9" t="s">
        <v>3842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3943</v>
      </c>
      <c r="N2774" s="4"/>
      <c r="O2774" s="5"/>
      <c r="P2774" s="10"/>
      <c r="Q2774" s="21" t="str">
        <f>VLOOKUP(tblProductos[[#This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3945</v>
      </c>
      <c r="D2775" s="9" t="s">
        <v>4054</v>
      </c>
      <c r="E2775" s="9"/>
      <c r="F2775" s="9">
        <v>30</v>
      </c>
      <c r="G2775" s="9" t="s">
        <v>3842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3943</v>
      </c>
      <c r="N2775" s="4"/>
      <c r="O2775" s="5"/>
      <c r="P2775" s="10"/>
      <c r="Q2775" s="21" t="str">
        <f>VLOOKUP(tblProductos[[#This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3945</v>
      </c>
      <c r="D2776" s="9" t="s">
        <v>4118</v>
      </c>
      <c r="E2776" s="9"/>
      <c r="F2776" s="9">
        <v>30</v>
      </c>
      <c r="G2776" s="9" t="s">
        <v>3842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3943</v>
      </c>
      <c r="N2776" s="4"/>
      <c r="O2776" s="5"/>
      <c r="P2776" s="10"/>
      <c r="Q2776" s="21" t="str">
        <f>VLOOKUP(tblProductos[[#This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3945</v>
      </c>
      <c r="D2777" s="9" t="s">
        <v>4022</v>
      </c>
      <c r="E2777" s="9"/>
      <c r="F2777" s="9">
        <v>30</v>
      </c>
      <c r="G2777" s="9" t="s">
        <v>3842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3943</v>
      </c>
      <c r="N2777" s="4"/>
      <c r="O2777" s="5"/>
      <c r="P2777" s="10"/>
      <c r="Q2777" s="21" t="str">
        <f>VLOOKUP(tblProductos[[#This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3945</v>
      </c>
      <c r="D2778" s="9" t="s">
        <v>3919</v>
      </c>
      <c r="E2778" s="9"/>
      <c r="F2778" s="9">
        <v>30</v>
      </c>
      <c r="G2778" s="9" t="s">
        <v>3842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3943</v>
      </c>
      <c r="N2778" s="4"/>
      <c r="O2778" s="5"/>
      <c r="P2778" s="10"/>
      <c r="Q2778" s="21" t="str">
        <f>VLOOKUP(tblProductos[[#This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3945</v>
      </c>
      <c r="D2779" s="9" t="s">
        <v>4023</v>
      </c>
      <c r="E2779" s="9"/>
      <c r="F2779" s="9">
        <v>30</v>
      </c>
      <c r="G2779" s="9" t="s">
        <v>3842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3943</v>
      </c>
      <c r="N2779" s="4"/>
      <c r="O2779" s="5"/>
      <c r="P2779" s="10"/>
      <c r="Q2779" s="21" t="str">
        <f>VLOOKUP(tblProductos[[#This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3945</v>
      </c>
      <c r="D2780" s="9" t="s">
        <v>4029</v>
      </c>
      <c r="E2780" s="9"/>
      <c r="F2780" s="9">
        <v>30</v>
      </c>
      <c r="G2780" s="9" t="s">
        <v>3842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3943</v>
      </c>
      <c r="N2780" s="4"/>
      <c r="O2780" s="5"/>
      <c r="P2780" s="10"/>
      <c r="Q2780" s="21" t="str">
        <f>VLOOKUP(tblProductos[[#This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3945</v>
      </c>
      <c r="D2781" s="9" t="s">
        <v>4024</v>
      </c>
      <c r="E2781" s="9"/>
      <c r="F2781" s="9">
        <v>30</v>
      </c>
      <c r="G2781" s="9" t="s">
        <v>3842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3943</v>
      </c>
      <c r="N2781" s="4"/>
      <c r="O2781" s="5"/>
      <c r="P2781" s="10"/>
      <c r="Q2781" s="21" t="str">
        <f>VLOOKUP(tblProductos[[#This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3945</v>
      </c>
      <c r="D2782" s="9" t="s">
        <v>4034</v>
      </c>
      <c r="E2782" s="9"/>
      <c r="F2782" s="9">
        <v>30</v>
      </c>
      <c r="G2782" s="9" t="s">
        <v>3842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3943</v>
      </c>
      <c r="N2782" s="4"/>
      <c r="O2782" s="5"/>
      <c r="P2782" s="10"/>
      <c r="Q2782" s="21" t="str">
        <f>VLOOKUP(tblProductos[[#This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3945</v>
      </c>
      <c r="D2783" s="9" t="s">
        <v>4035</v>
      </c>
      <c r="E2783" s="9"/>
      <c r="F2783" s="9">
        <v>30</v>
      </c>
      <c r="G2783" s="9" t="s">
        <v>3842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3943</v>
      </c>
      <c r="N2783" s="4"/>
      <c r="O2783" s="5"/>
      <c r="P2783" s="10"/>
      <c r="Q2783" s="21" t="str">
        <f>VLOOKUP(tblProductos[[#This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3945</v>
      </c>
      <c r="D2784" s="9" t="s">
        <v>4017</v>
      </c>
      <c r="E2784" s="9"/>
      <c r="F2784" s="9">
        <v>50</v>
      </c>
      <c r="G2784" s="9" t="s">
        <v>3842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3943</v>
      </c>
      <c r="N2784" s="4"/>
      <c r="O2784" s="5"/>
      <c r="P2784" s="10"/>
      <c r="Q2784" s="21" t="str">
        <f>VLOOKUP(tblProductos[[#This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3945</v>
      </c>
      <c r="D2785" s="9" t="s">
        <v>4010</v>
      </c>
      <c r="E2785" s="9"/>
      <c r="F2785" s="9">
        <v>50</v>
      </c>
      <c r="G2785" s="9" t="s">
        <v>3842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3943</v>
      </c>
      <c r="N2785" s="4"/>
      <c r="O2785" s="5"/>
      <c r="P2785" s="10"/>
      <c r="Q2785" s="21" t="str">
        <f>VLOOKUP(tblProductos[[#This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3945</v>
      </c>
      <c r="D2786" s="9" t="s">
        <v>4125</v>
      </c>
      <c r="E2786" s="9"/>
      <c r="F2786" s="9">
        <v>50</v>
      </c>
      <c r="G2786" s="9" t="s">
        <v>3842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3943</v>
      </c>
      <c r="N2786" s="4"/>
      <c r="O2786" s="5"/>
      <c r="P2786" s="10"/>
      <c r="Q2786" s="21" t="str">
        <f>VLOOKUP(tblProductos[[#This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3945</v>
      </c>
      <c r="D2787" s="9" t="s">
        <v>4056</v>
      </c>
      <c r="E2787" s="9"/>
      <c r="F2787" s="9">
        <v>50</v>
      </c>
      <c r="G2787" s="9" t="s">
        <v>3842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3943</v>
      </c>
      <c r="N2787" s="4"/>
      <c r="O2787" s="5"/>
      <c r="P2787" s="10"/>
      <c r="Q2787" s="21" t="str">
        <f>VLOOKUP(tblProductos[[#This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3945</v>
      </c>
      <c r="D2788" s="9" t="s">
        <v>4143</v>
      </c>
      <c r="E2788" s="9"/>
      <c r="F2788" s="9">
        <v>50</v>
      </c>
      <c r="G2788" s="9" t="s">
        <v>3842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3943</v>
      </c>
      <c r="N2788" s="4"/>
      <c r="O2788" s="5"/>
      <c r="P2788" s="10"/>
      <c r="Q2788" s="21" t="str">
        <f>VLOOKUP(tblProductos[[#This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3945</v>
      </c>
      <c r="D2789" s="9" t="s">
        <v>4031</v>
      </c>
      <c r="E2789" s="9"/>
      <c r="F2789" s="9">
        <v>50</v>
      </c>
      <c r="G2789" s="9" t="s">
        <v>3842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3943</v>
      </c>
      <c r="N2789" s="4"/>
      <c r="O2789" s="5"/>
      <c r="P2789" s="10"/>
      <c r="Q2789" s="21" t="str">
        <f>VLOOKUP(tblProductos[[#This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3945</v>
      </c>
      <c r="D2790" s="9" t="s">
        <v>4030</v>
      </c>
      <c r="E2790" s="9"/>
      <c r="F2790" s="9">
        <v>50</v>
      </c>
      <c r="G2790" s="9" t="s">
        <v>3842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3943</v>
      </c>
      <c r="N2790" s="4"/>
      <c r="O2790" s="5"/>
      <c r="P2790" s="10"/>
      <c r="Q2790" s="21" t="str">
        <f>VLOOKUP(tblProductos[[#This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3945</v>
      </c>
      <c r="D2791" s="9" t="s">
        <v>4018</v>
      </c>
      <c r="E2791" s="9"/>
      <c r="F2791" s="9">
        <v>50</v>
      </c>
      <c r="G2791" s="9" t="s">
        <v>3842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3943</v>
      </c>
      <c r="N2791" s="4"/>
      <c r="O2791" s="5"/>
      <c r="P2791" s="10"/>
      <c r="Q2791" s="21" t="str">
        <f>VLOOKUP(tblProductos[[#This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3945</v>
      </c>
      <c r="D2792" s="9" t="s">
        <v>4009</v>
      </c>
      <c r="E2792" s="9"/>
      <c r="F2792" s="9">
        <v>50</v>
      </c>
      <c r="G2792" s="9" t="s">
        <v>3842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3943</v>
      </c>
      <c r="N2792" s="4"/>
      <c r="O2792" s="5"/>
      <c r="P2792" s="10"/>
      <c r="Q2792" s="21" t="str">
        <f>VLOOKUP(tblProductos[[#This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3945</v>
      </c>
      <c r="D2793" s="9" t="s">
        <v>4012</v>
      </c>
      <c r="E2793" s="9"/>
      <c r="F2793" s="9">
        <v>50</v>
      </c>
      <c r="G2793" s="9" t="s">
        <v>3842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3943</v>
      </c>
      <c r="N2793" s="4"/>
      <c r="O2793" s="5"/>
      <c r="P2793" s="10"/>
      <c r="Q2793" s="21" t="str">
        <f>VLOOKUP(tblProductos[[#This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3945</v>
      </c>
      <c r="D2794" s="9" t="s">
        <v>4013</v>
      </c>
      <c r="E2794" s="9"/>
      <c r="F2794" s="9">
        <v>50</v>
      </c>
      <c r="G2794" s="9" t="s">
        <v>3842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3943</v>
      </c>
      <c r="N2794" s="4"/>
      <c r="O2794" s="5"/>
      <c r="P2794" s="10"/>
      <c r="Q2794" s="21" t="str">
        <f>VLOOKUP(tblProductos[[#This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3945</v>
      </c>
      <c r="D2795" s="9" t="s">
        <v>4019</v>
      </c>
      <c r="E2795" s="9"/>
      <c r="F2795" s="9">
        <v>50</v>
      </c>
      <c r="G2795" s="9" t="s">
        <v>3842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3943</v>
      </c>
      <c r="N2795" s="4"/>
      <c r="O2795" s="5"/>
      <c r="P2795" s="10"/>
      <c r="Q2795" s="21" t="str">
        <f>VLOOKUP(tblProductos[[#This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3945</v>
      </c>
      <c r="D2796" s="9" t="s">
        <v>4032</v>
      </c>
      <c r="E2796" s="9"/>
      <c r="F2796" s="9">
        <v>50</v>
      </c>
      <c r="G2796" s="9" t="s">
        <v>3842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3943</v>
      </c>
      <c r="N2796" s="4"/>
      <c r="O2796" s="5"/>
      <c r="P2796" s="10"/>
      <c r="Q2796" s="21" t="str">
        <f>VLOOKUP(tblProductos[[#This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3945</v>
      </c>
      <c r="D2797" s="9" t="s">
        <v>4033</v>
      </c>
      <c r="E2797" s="9"/>
      <c r="F2797" s="9">
        <v>50</v>
      </c>
      <c r="G2797" s="9" t="s">
        <v>3842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3943</v>
      </c>
      <c r="N2797" s="4"/>
      <c r="O2797" s="5"/>
      <c r="P2797" s="10"/>
      <c r="Q2797" s="21" t="str">
        <f>VLOOKUP(tblProductos[[#This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3945</v>
      </c>
      <c r="D2798" s="9" t="s">
        <v>4144</v>
      </c>
      <c r="E2798" s="9"/>
      <c r="F2798" s="9">
        <v>50</v>
      </c>
      <c r="G2798" s="9" t="s">
        <v>3842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3943</v>
      </c>
      <c r="N2798" s="4"/>
      <c r="O2798" s="5"/>
      <c r="P2798" s="10"/>
      <c r="Q2798" s="21" t="str">
        <f>VLOOKUP(tblProductos[[#This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3945</v>
      </c>
      <c r="D2799" s="9" t="s">
        <v>4014</v>
      </c>
      <c r="E2799" s="9"/>
      <c r="F2799" s="9">
        <v>50</v>
      </c>
      <c r="G2799" s="9" t="s">
        <v>3842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3943</v>
      </c>
      <c r="N2799" s="4"/>
      <c r="O2799" s="5"/>
      <c r="P2799" s="10"/>
      <c r="Q2799" s="21" t="str">
        <f>VLOOKUP(tblProductos[[#This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3945</v>
      </c>
      <c r="D2800" s="9" t="s">
        <v>4008</v>
      </c>
      <c r="E2800" s="9"/>
      <c r="F2800" s="9">
        <v>50</v>
      </c>
      <c r="G2800" s="9" t="s">
        <v>3842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3943</v>
      </c>
      <c r="N2800" s="4"/>
      <c r="O2800" s="5"/>
      <c r="P2800" s="10"/>
      <c r="Q2800" s="21" t="str">
        <f>VLOOKUP(tblProductos[[#This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3945</v>
      </c>
      <c r="D2801" s="9" t="s">
        <v>4020</v>
      </c>
      <c r="E2801" s="9"/>
      <c r="F2801" s="9">
        <v>50</v>
      </c>
      <c r="G2801" s="9" t="s">
        <v>3842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3943</v>
      </c>
      <c r="N2801" s="4"/>
      <c r="O2801" s="5"/>
      <c r="P2801" s="10"/>
      <c r="Q2801" s="21" t="str">
        <f>VLOOKUP(tblProductos[[#This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3945</v>
      </c>
      <c r="D2802" s="9" t="s">
        <v>4016</v>
      </c>
      <c r="E2802" s="9"/>
      <c r="F2802" s="9">
        <v>50</v>
      </c>
      <c r="G2802" s="9" t="s">
        <v>3842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3943</v>
      </c>
      <c r="N2802" s="4"/>
      <c r="O2802" s="5"/>
      <c r="P2802" s="10"/>
      <c r="Q2802" s="21" t="str">
        <f>VLOOKUP(tblProductos[[#This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3945</v>
      </c>
      <c r="D2803" s="9" t="s">
        <v>4145</v>
      </c>
      <c r="E2803" s="9"/>
      <c r="F2803" s="9">
        <v>50</v>
      </c>
      <c r="G2803" s="9" t="s">
        <v>3842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3943</v>
      </c>
      <c r="N2803" s="4"/>
      <c r="O2803" s="5"/>
      <c r="P2803" s="10"/>
      <c r="Q2803" s="21" t="str">
        <f>VLOOKUP(tblProductos[[#This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3945</v>
      </c>
      <c r="D2804" s="9" t="s">
        <v>4021</v>
      </c>
      <c r="E2804" s="9"/>
      <c r="F2804" s="9">
        <v>50</v>
      </c>
      <c r="G2804" s="9" t="s">
        <v>3842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3943</v>
      </c>
      <c r="N2804" s="4"/>
      <c r="O2804" s="5"/>
      <c r="P2804" s="10"/>
      <c r="Q2804" s="21" t="str">
        <f>VLOOKUP(tblProductos[[#This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3945</v>
      </c>
      <c r="D2805" s="9" t="s">
        <v>4015</v>
      </c>
      <c r="E2805" s="9"/>
      <c r="F2805" s="9">
        <v>50</v>
      </c>
      <c r="G2805" s="9" t="s">
        <v>3842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3943</v>
      </c>
      <c r="N2805" s="4"/>
      <c r="O2805" s="5"/>
      <c r="P2805" s="10"/>
      <c r="Q2805" s="21" t="str">
        <f>VLOOKUP(tblProductos[[#This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3945</v>
      </c>
      <c r="D2806" s="9" t="s">
        <v>4054</v>
      </c>
      <c r="E2806" s="9"/>
      <c r="F2806" s="9">
        <v>50</v>
      </c>
      <c r="G2806" s="9" t="s">
        <v>3842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3943</v>
      </c>
      <c r="N2806" s="4"/>
      <c r="O2806" s="5"/>
      <c r="P2806" s="10"/>
      <c r="Q2806" s="21" t="str">
        <f>VLOOKUP(tblProductos[[#This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3945</v>
      </c>
      <c r="D2807" s="9" t="s">
        <v>4118</v>
      </c>
      <c r="E2807" s="9"/>
      <c r="F2807" s="9">
        <v>50</v>
      </c>
      <c r="G2807" s="9" t="s">
        <v>3842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3943</v>
      </c>
      <c r="N2807" s="4"/>
      <c r="O2807" s="5"/>
      <c r="P2807" s="10"/>
      <c r="Q2807" s="21" t="str">
        <f>VLOOKUP(tblProductos[[#This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3945</v>
      </c>
      <c r="D2808" s="9" t="s">
        <v>4022</v>
      </c>
      <c r="E2808" s="9"/>
      <c r="F2808" s="9">
        <v>50</v>
      </c>
      <c r="G2808" s="9" t="s">
        <v>3842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3943</v>
      </c>
      <c r="N2808" s="4"/>
      <c r="O2808" s="5"/>
      <c r="P2808" s="10"/>
      <c r="Q2808" s="21" t="str">
        <f>VLOOKUP(tblProductos[[#This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3945</v>
      </c>
      <c r="D2809" s="9" t="s">
        <v>3919</v>
      </c>
      <c r="E2809" s="9"/>
      <c r="F2809" s="9">
        <v>50</v>
      </c>
      <c r="G2809" s="9" t="s">
        <v>3842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3943</v>
      </c>
      <c r="N2809" s="4"/>
      <c r="O2809" s="5"/>
      <c r="P2809" s="10"/>
      <c r="Q2809" s="21" t="str">
        <f>VLOOKUP(tblProductos[[#This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3945</v>
      </c>
      <c r="D2810" s="9" t="s">
        <v>4023</v>
      </c>
      <c r="E2810" s="9"/>
      <c r="F2810" s="9">
        <v>50</v>
      </c>
      <c r="G2810" s="9" t="s">
        <v>3842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3943</v>
      </c>
      <c r="N2810" s="4"/>
      <c r="O2810" s="5"/>
      <c r="P2810" s="10"/>
      <c r="Q2810" s="21" t="str">
        <f>VLOOKUP(tblProductos[[#This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3945</v>
      </c>
      <c r="D2811" s="9" t="s">
        <v>4024</v>
      </c>
      <c r="E2811" s="9"/>
      <c r="F2811" s="9">
        <v>50</v>
      </c>
      <c r="G2811" s="9" t="s">
        <v>3842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3943</v>
      </c>
      <c r="N2811" s="4"/>
      <c r="O2811" s="5"/>
      <c r="P2811" s="10"/>
      <c r="Q2811" s="21" t="str">
        <f>VLOOKUP(tblProductos[[#This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3945</v>
      </c>
      <c r="D2812" s="9" t="s">
        <v>4034</v>
      </c>
      <c r="E2812" s="9"/>
      <c r="F2812" s="9">
        <v>50</v>
      </c>
      <c r="G2812" s="9" t="s">
        <v>3842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3943</v>
      </c>
      <c r="N2812" s="4"/>
      <c r="O2812" s="5"/>
      <c r="P2812" s="10"/>
      <c r="Q2812" s="21" t="str">
        <f>VLOOKUP(tblProductos[[#This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3945</v>
      </c>
      <c r="D2813" s="9" t="s">
        <v>4035</v>
      </c>
      <c r="E2813" s="9"/>
      <c r="F2813" s="9">
        <v>50</v>
      </c>
      <c r="G2813" s="9" t="s">
        <v>3842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3943</v>
      </c>
      <c r="N2813" s="4"/>
      <c r="O2813" s="5"/>
      <c r="P2813" s="10"/>
      <c r="Q2813" s="21" t="str">
        <f>VLOOKUP(tblProductos[[#This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3945</v>
      </c>
      <c r="D2814" s="9" t="s">
        <v>4017</v>
      </c>
      <c r="E2814" s="9"/>
      <c r="F2814" s="9">
        <v>50</v>
      </c>
      <c r="G2814" s="9" t="s">
        <v>3842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3943</v>
      </c>
      <c r="N2814" s="4"/>
      <c r="O2814" s="5"/>
      <c r="P2814" s="10"/>
      <c r="Q2814" s="21" t="str">
        <f>VLOOKUP(tblProductos[[#This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3945</v>
      </c>
      <c r="D2815" s="9" t="s">
        <v>4010</v>
      </c>
      <c r="E2815" s="9"/>
      <c r="F2815" s="9">
        <v>50</v>
      </c>
      <c r="G2815" s="9" t="s">
        <v>3842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3943</v>
      </c>
      <c r="N2815" s="4"/>
      <c r="O2815" s="5"/>
      <c r="P2815" s="10"/>
      <c r="Q2815" s="21" t="str">
        <f>VLOOKUP(tblProductos[[#This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3945</v>
      </c>
      <c r="D2816" s="9" t="s">
        <v>4125</v>
      </c>
      <c r="E2816" s="9"/>
      <c r="F2816" s="9">
        <v>50</v>
      </c>
      <c r="G2816" s="9" t="s">
        <v>3842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3943</v>
      </c>
      <c r="N2816" s="4"/>
      <c r="O2816" s="5"/>
      <c r="P2816" s="10"/>
      <c r="Q2816" s="21" t="str">
        <f>VLOOKUP(tblProductos[[#This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3945</v>
      </c>
      <c r="D2817" s="9" t="s">
        <v>4056</v>
      </c>
      <c r="E2817" s="9"/>
      <c r="F2817" s="9">
        <v>50</v>
      </c>
      <c r="G2817" s="9" t="s">
        <v>3842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3943</v>
      </c>
      <c r="N2817" s="4"/>
      <c r="O2817" s="5"/>
      <c r="P2817" s="10"/>
      <c r="Q2817" s="21" t="str">
        <f>VLOOKUP(tblProductos[[#This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3945</v>
      </c>
      <c r="D2818" s="9" t="s">
        <v>4006</v>
      </c>
      <c r="E2818" s="9"/>
      <c r="F2818" s="9">
        <v>50</v>
      </c>
      <c r="G2818" s="9" t="s">
        <v>3842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3943</v>
      </c>
      <c r="N2818" s="4"/>
      <c r="O2818" s="5"/>
      <c r="P2818" s="10"/>
      <c r="Q2818" s="21" t="str">
        <f>VLOOKUP(tblProductos[[#This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3945</v>
      </c>
      <c r="D2819" s="9" t="s">
        <v>4143</v>
      </c>
      <c r="E2819" s="9"/>
      <c r="F2819" s="9">
        <v>50</v>
      </c>
      <c r="G2819" s="9" t="s">
        <v>3842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3943</v>
      </c>
      <c r="N2819" s="4"/>
      <c r="O2819" s="5"/>
      <c r="P2819" s="10"/>
      <c r="Q2819" s="21" t="str">
        <f>VLOOKUP(tblProductos[[#This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3945</v>
      </c>
      <c r="D2820" s="9" t="s">
        <v>4031</v>
      </c>
      <c r="E2820" s="9"/>
      <c r="F2820" s="9">
        <v>50</v>
      </c>
      <c r="G2820" s="9" t="s">
        <v>3842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3943</v>
      </c>
      <c r="N2820" s="4"/>
      <c r="O2820" s="5"/>
      <c r="P2820" s="10"/>
      <c r="Q2820" s="21" t="str">
        <f>VLOOKUP(tblProductos[[#This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3945</v>
      </c>
      <c r="D2821" s="9" t="s">
        <v>4011</v>
      </c>
      <c r="E2821" s="9"/>
      <c r="F2821" s="9">
        <v>50</v>
      </c>
      <c r="G2821" s="9" t="s">
        <v>3842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3943</v>
      </c>
      <c r="N2821" s="4"/>
      <c r="O2821" s="5"/>
      <c r="P2821" s="10"/>
      <c r="Q2821" s="21" t="str">
        <f>VLOOKUP(tblProductos[[#This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3945</v>
      </c>
      <c r="D2822" s="9" t="s">
        <v>4030</v>
      </c>
      <c r="E2822" s="9"/>
      <c r="F2822" s="9">
        <v>50</v>
      </c>
      <c r="G2822" s="9" t="s">
        <v>3842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3943</v>
      </c>
      <c r="N2822" s="4"/>
      <c r="O2822" s="5"/>
      <c r="P2822" s="10"/>
      <c r="Q2822" s="21" t="str">
        <f>VLOOKUP(tblProductos[[#This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3945</v>
      </c>
      <c r="D2823" s="9" t="s">
        <v>4018</v>
      </c>
      <c r="E2823" s="9"/>
      <c r="F2823" s="9">
        <v>50</v>
      </c>
      <c r="G2823" s="9" t="s">
        <v>3842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3943</v>
      </c>
      <c r="N2823" s="4"/>
      <c r="O2823" s="5"/>
      <c r="P2823" s="10"/>
      <c r="Q2823" s="21" t="str">
        <f>VLOOKUP(tblProductos[[#This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3945</v>
      </c>
      <c r="D2824" s="9" t="s">
        <v>4009</v>
      </c>
      <c r="E2824" s="9"/>
      <c r="F2824" s="9">
        <v>50</v>
      </c>
      <c r="G2824" s="9" t="s">
        <v>3842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3943</v>
      </c>
      <c r="N2824" s="4"/>
      <c r="O2824" s="5"/>
      <c r="P2824" s="10"/>
      <c r="Q2824" s="21" t="str">
        <f>VLOOKUP(tblProductos[[#This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3945</v>
      </c>
      <c r="D2825" s="9" t="s">
        <v>4012</v>
      </c>
      <c r="E2825" s="9"/>
      <c r="F2825" s="9">
        <v>50</v>
      </c>
      <c r="G2825" s="9" t="s">
        <v>3842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3943</v>
      </c>
      <c r="N2825" s="4"/>
      <c r="O2825" s="5"/>
      <c r="P2825" s="10"/>
      <c r="Q2825" s="21" t="str">
        <f>VLOOKUP(tblProductos[[#This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3945</v>
      </c>
      <c r="D2826" s="9" t="s">
        <v>4013</v>
      </c>
      <c r="E2826" s="9"/>
      <c r="F2826" s="9">
        <v>50</v>
      </c>
      <c r="G2826" s="9" t="s">
        <v>3842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3943</v>
      </c>
      <c r="N2826" s="4"/>
      <c r="O2826" s="5"/>
      <c r="P2826" s="10"/>
      <c r="Q2826" s="21" t="str">
        <f>VLOOKUP(tblProductos[[#This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3945</v>
      </c>
      <c r="D2827" s="9" t="s">
        <v>3923</v>
      </c>
      <c r="E2827" s="9"/>
      <c r="F2827" s="9">
        <v>50</v>
      </c>
      <c r="G2827" s="9" t="s">
        <v>3842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3943</v>
      </c>
      <c r="N2827" s="4"/>
      <c r="O2827" s="5"/>
      <c r="P2827" s="10"/>
      <c r="Q2827" s="21" t="str">
        <f>VLOOKUP(tblProductos[[#This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3945</v>
      </c>
      <c r="D2828" s="9" t="s">
        <v>4019</v>
      </c>
      <c r="E2828" s="9"/>
      <c r="F2828" s="9">
        <v>50</v>
      </c>
      <c r="G2828" s="9" t="s">
        <v>3842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3943</v>
      </c>
      <c r="N2828" s="4"/>
      <c r="O2828" s="5"/>
      <c r="P2828" s="10"/>
      <c r="Q2828" s="21" t="str">
        <f>VLOOKUP(tblProductos[[#This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3945</v>
      </c>
      <c r="D2829" s="9" t="s">
        <v>4032</v>
      </c>
      <c r="E2829" s="9"/>
      <c r="F2829" s="9">
        <v>50</v>
      </c>
      <c r="G2829" s="9" t="s">
        <v>3842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3943</v>
      </c>
      <c r="N2829" s="4"/>
      <c r="O2829" s="5"/>
      <c r="P2829" s="10"/>
      <c r="Q2829" s="21" t="str">
        <f>VLOOKUP(tblProductos[[#This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3945</v>
      </c>
      <c r="D2830" s="9" t="s">
        <v>4007</v>
      </c>
      <c r="E2830" s="9"/>
      <c r="F2830" s="9">
        <v>50</v>
      </c>
      <c r="G2830" s="9" t="s">
        <v>3842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3943</v>
      </c>
      <c r="N2830" s="4"/>
      <c r="O2830" s="5"/>
      <c r="P2830" s="10"/>
      <c r="Q2830" s="21" t="str">
        <f>VLOOKUP(tblProductos[[#This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3945</v>
      </c>
      <c r="D2831" s="9" t="s">
        <v>3888</v>
      </c>
      <c r="E2831" s="9"/>
      <c r="F2831" s="9">
        <v>50</v>
      </c>
      <c r="G2831" s="9" t="s">
        <v>3842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3943</v>
      </c>
      <c r="N2831" s="4"/>
      <c r="O2831" s="5"/>
      <c r="P2831" s="10"/>
      <c r="Q2831" s="21" t="str">
        <f>VLOOKUP(tblProductos[[#This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3945</v>
      </c>
      <c r="D2832" s="9" t="s">
        <v>4033</v>
      </c>
      <c r="E2832" s="9"/>
      <c r="F2832" s="9">
        <v>50</v>
      </c>
      <c r="G2832" s="9" t="s">
        <v>3842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3943</v>
      </c>
      <c r="N2832" s="4"/>
      <c r="O2832" s="5"/>
      <c r="P2832" s="10"/>
      <c r="Q2832" s="21" t="str">
        <f>VLOOKUP(tblProductos[[#This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3945</v>
      </c>
      <c r="D2833" s="9" t="s">
        <v>4144</v>
      </c>
      <c r="E2833" s="9"/>
      <c r="F2833" s="9">
        <v>50</v>
      </c>
      <c r="G2833" s="9" t="s">
        <v>3842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3943</v>
      </c>
      <c r="N2833" s="4"/>
      <c r="O2833" s="5"/>
      <c r="P2833" s="10"/>
      <c r="Q2833" s="21" t="str">
        <f>VLOOKUP(tblProductos[[#This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3945</v>
      </c>
      <c r="D2834" s="9" t="s">
        <v>4014</v>
      </c>
      <c r="E2834" s="9"/>
      <c r="F2834" s="9">
        <v>50</v>
      </c>
      <c r="G2834" s="9" t="s">
        <v>3842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3943</v>
      </c>
      <c r="N2834" s="4"/>
      <c r="O2834" s="5"/>
      <c r="P2834" s="10"/>
      <c r="Q2834" s="21" t="str">
        <f>VLOOKUP(tblProductos[[#This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3945</v>
      </c>
      <c r="D2835" s="9" t="s">
        <v>4008</v>
      </c>
      <c r="E2835" s="9"/>
      <c r="F2835" s="9">
        <v>50</v>
      </c>
      <c r="G2835" s="9" t="s">
        <v>3842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3943</v>
      </c>
      <c r="N2835" s="4"/>
      <c r="O2835" s="5"/>
      <c r="P2835" s="10"/>
      <c r="Q2835" s="21" t="str">
        <f>VLOOKUP(tblProductos[[#This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3945</v>
      </c>
      <c r="D2836" s="9" t="s">
        <v>4020</v>
      </c>
      <c r="E2836" s="9"/>
      <c r="F2836" s="9">
        <v>50</v>
      </c>
      <c r="G2836" s="9" t="s">
        <v>3842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3943</v>
      </c>
      <c r="N2836" s="4"/>
      <c r="O2836" s="5"/>
      <c r="P2836" s="10"/>
      <c r="Q2836" s="21" t="str">
        <f>VLOOKUP(tblProductos[[#This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3945</v>
      </c>
      <c r="D2837" s="9" t="s">
        <v>4016</v>
      </c>
      <c r="E2837" s="9"/>
      <c r="F2837" s="9">
        <v>50</v>
      </c>
      <c r="G2837" s="9" t="s">
        <v>3842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3943</v>
      </c>
      <c r="N2837" s="4"/>
      <c r="O2837" s="5"/>
      <c r="P2837" s="10"/>
      <c r="Q2837" s="21" t="str">
        <f>VLOOKUP(tblProductos[[#This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3945</v>
      </c>
      <c r="D2838" s="9" t="s">
        <v>4145</v>
      </c>
      <c r="E2838" s="9"/>
      <c r="F2838" s="9">
        <v>50</v>
      </c>
      <c r="G2838" s="9" t="s">
        <v>3842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3943</v>
      </c>
      <c r="N2838" s="4"/>
      <c r="O2838" s="5"/>
      <c r="P2838" s="10"/>
      <c r="Q2838" s="21" t="str">
        <f>VLOOKUP(tblProductos[[#This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3945</v>
      </c>
      <c r="D2839" s="9" t="s">
        <v>4021</v>
      </c>
      <c r="E2839" s="9"/>
      <c r="F2839" s="9">
        <v>50</v>
      </c>
      <c r="G2839" s="9" t="s">
        <v>3842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3943</v>
      </c>
      <c r="N2839" s="4"/>
      <c r="O2839" s="5"/>
      <c r="P2839" s="10"/>
      <c r="Q2839" s="21" t="str">
        <f>VLOOKUP(tblProductos[[#This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3945</v>
      </c>
      <c r="D2840" s="9" t="s">
        <v>4015</v>
      </c>
      <c r="E2840" s="9"/>
      <c r="F2840" s="9">
        <v>50</v>
      </c>
      <c r="G2840" s="9" t="s">
        <v>3842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3943</v>
      </c>
      <c r="N2840" s="4"/>
      <c r="O2840" s="5"/>
      <c r="P2840" s="10"/>
      <c r="Q2840" s="21" t="str">
        <f>VLOOKUP(tblProductos[[#This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3945</v>
      </c>
      <c r="D2841" s="9" t="s">
        <v>4054</v>
      </c>
      <c r="E2841" s="9"/>
      <c r="F2841" s="9">
        <v>50</v>
      </c>
      <c r="G2841" s="9" t="s">
        <v>3842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3943</v>
      </c>
      <c r="N2841" s="4"/>
      <c r="O2841" s="5"/>
      <c r="P2841" s="10"/>
      <c r="Q2841" s="21" t="str">
        <f>VLOOKUP(tblProductos[[#This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3945</v>
      </c>
      <c r="D2842" s="9" t="s">
        <v>4118</v>
      </c>
      <c r="E2842" s="9"/>
      <c r="F2842" s="9">
        <v>50</v>
      </c>
      <c r="G2842" s="9" t="s">
        <v>3842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3943</v>
      </c>
      <c r="N2842" s="4"/>
      <c r="O2842" s="5"/>
      <c r="P2842" s="10"/>
      <c r="Q2842" s="21" t="str">
        <f>VLOOKUP(tblProductos[[#This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3945</v>
      </c>
      <c r="D2843" s="9" t="s">
        <v>4022</v>
      </c>
      <c r="E2843" s="9"/>
      <c r="F2843" s="9">
        <v>50</v>
      </c>
      <c r="G2843" s="9" t="s">
        <v>3842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3943</v>
      </c>
      <c r="N2843" s="4"/>
      <c r="O2843" s="5"/>
      <c r="P2843" s="10"/>
      <c r="Q2843" s="21" t="str">
        <f>VLOOKUP(tblProductos[[#This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3945</v>
      </c>
      <c r="D2844" s="9" t="s">
        <v>3919</v>
      </c>
      <c r="E2844" s="9"/>
      <c r="F2844" s="9">
        <v>50</v>
      </c>
      <c r="G2844" s="9" t="s">
        <v>3842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3943</v>
      </c>
      <c r="N2844" s="4"/>
      <c r="O2844" s="5"/>
      <c r="P2844" s="10"/>
      <c r="Q2844" s="21" t="str">
        <f>VLOOKUP(tblProductos[[#This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3945</v>
      </c>
      <c r="D2845" s="9" t="s">
        <v>4023</v>
      </c>
      <c r="E2845" s="9"/>
      <c r="F2845" s="9">
        <v>50</v>
      </c>
      <c r="G2845" s="9" t="s">
        <v>3842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3943</v>
      </c>
      <c r="N2845" s="4"/>
      <c r="O2845" s="5"/>
      <c r="P2845" s="10"/>
      <c r="Q2845" s="21" t="str">
        <f>VLOOKUP(tblProductos[[#This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3945</v>
      </c>
      <c r="D2846" s="9" t="s">
        <v>4029</v>
      </c>
      <c r="E2846" s="9"/>
      <c r="F2846" s="9">
        <v>50</v>
      </c>
      <c r="G2846" s="9" t="s">
        <v>3842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3943</v>
      </c>
      <c r="N2846" s="4"/>
      <c r="O2846" s="5"/>
      <c r="P2846" s="10"/>
      <c r="Q2846" s="21" t="str">
        <f>VLOOKUP(tblProductos[[#This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3945</v>
      </c>
      <c r="D2847" s="9" t="s">
        <v>4024</v>
      </c>
      <c r="E2847" s="9"/>
      <c r="F2847" s="9">
        <v>50</v>
      </c>
      <c r="G2847" s="9" t="s">
        <v>3842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3943</v>
      </c>
      <c r="N2847" s="4"/>
      <c r="O2847" s="5"/>
      <c r="P2847" s="10"/>
      <c r="Q2847" s="21" t="str">
        <f>VLOOKUP(tblProductos[[#This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3945</v>
      </c>
      <c r="D2848" s="9" t="s">
        <v>4034</v>
      </c>
      <c r="E2848" s="9"/>
      <c r="F2848" s="9">
        <v>50</v>
      </c>
      <c r="G2848" s="9" t="s">
        <v>3842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3943</v>
      </c>
      <c r="N2848" s="4"/>
      <c r="O2848" s="5"/>
      <c r="P2848" s="10"/>
      <c r="Q2848" s="21" t="str">
        <f>VLOOKUP(tblProductos[[#This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3945</v>
      </c>
      <c r="D2849" s="9" t="s">
        <v>4035</v>
      </c>
      <c r="E2849" s="9"/>
      <c r="F2849" s="9">
        <v>50</v>
      </c>
      <c r="G2849" s="9" t="s">
        <v>3842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3943</v>
      </c>
      <c r="N2849" s="4"/>
      <c r="O2849" s="5"/>
      <c r="P2849" s="10"/>
      <c r="Q2849" s="21" t="str">
        <f>VLOOKUP(tblProductos[[#This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3945</v>
      </c>
      <c r="D2850" s="9" t="s">
        <v>4017</v>
      </c>
      <c r="E2850" s="9"/>
      <c r="F2850" s="9">
        <v>50</v>
      </c>
      <c r="G2850" s="9" t="s">
        <v>3842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3943</v>
      </c>
      <c r="N2850" s="4"/>
      <c r="O2850" s="5"/>
      <c r="P2850" s="10"/>
      <c r="Q2850" s="21" t="str">
        <f>VLOOKUP(tblProductos[[#This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3945</v>
      </c>
      <c r="D2851" s="9" t="s">
        <v>4010</v>
      </c>
      <c r="E2851" s="9"/>
      <c r="F2851" s="9">
        <v>50</v>
      </c>
      <c r="G2851" s="9" t="s">
        <v>3842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3943</v>
      </c>
      <c r="N2851" s="4"/>
      <c r="O2851" s="5"/>
      <c r="P2851" s="10"/>
      <c r="Q2851" s="21" t="str">
        <f>VLOOKUP(tblProductos[[#This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3945</v>
      </c>
      <c r="D2852" s="9" t="s">
        <v>4125</v>
      </c>
      <c r="E2852" s="9"/>
      <c r="F2852" s="9">
        <v>50</v>
      </c>
      <c r="G2852" s="9" t="s">
        <v>3842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3943</v>
      </c>
      <c r="N2852" s="4"/>
      <c r="O2852" s="5"/>
      <c r="P2852" s="10"/>
      <c r="Q2852" s="21" t="str">
        <f>VLOOKUP(tblProductos[[#This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3945</v>
      </c>
      <c r="D2853" s="9" t="s">
        <v>4056</v>
      </c>
      <c r="E2853" s="9"/>
      <c r="F2853" s="9">
        <v>50</v>
      </c>
      <c r="G2853" s="9" t="s">
        <v>3842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3943</v>
      </c>
      <c r="N2853" s="4"/>
      <c r="O2853" s="5"/>
      <c r="P2853" s="10"/>
      <c r="Q2853" s="21" t="str">
        <f>VLOOKUP(tblProductos[[#This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3945</v>
      </c>
      <c r="D2854" s="9" t="s">
        <v>4143</v>
      </c>
      <c r="E2854" s="9"/>
      <c r="F2854" s="9">
        <v>50</v>
      </c>
      <c r="G2854" s="9" t="s">
        <v>3842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3943</v>
      </c>
      <c r="N2854" s="4"/>
      <c r="O2854" s="5"/>
      <c r="P2854" s="10"/>
      <c r="Q2854" s="21" t="str">
        <f>VLOOKUP(tblProductos[[#This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3945</v>
      </c>
      <c r="D2855" s="9" t="s">
        <v>4031</v>
      </c>
      <c r="E2855" s="9"/>
      <c r="F2855" s="9">
        <v>50</v>
      </c>
      <c r="G2855" s="9" t="s">
        <v>3842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3943</v>
      </c>
      <c r="N2855" s="4"/>
      <c r="O2855" s="5"/>
      <c r="P2855" s="10"/>
      <c r="Q2855" s="21" t="str">
        <f>VLOOKUP(tblProductos[[#This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3945</v>
      </c>
      <c r="D2856" s="9" t="s">
        <v>4030</v>
      </c>
      <c r="E2856" s="9"/>
      <c r="F2856" s="9">
        <v>50</v>
      </c>
      <c r="G2856" s="9" t="s">
        <v>3842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3943</v>
      </c>
      <c r="N2856" s="4"/>
      <c r="O2856" s="5"/>
      <c r="P2856" s="10"/>
      <c r="Q2856" s="21" t="str">
        <f>VLOOKUP(tblProductos[[#This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3945</v>
      </c>
      <c r="D2857" s="9" t="s">
        <v>4018</v>
      </c>
      <c r="E2857" s="9"/>
      <c r="F2857" s="9">
        <v>50</v>
      </c>
      <c r="G2857" s="9" t="s">
        <v>3842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3943</v>
      </c>
      <c r="N2857" s="4"/>
      <c r="O2857" s="5"/>
      <c r="P2857" s="10"/>
      <c r="Q2857" s="21" t="str">
        <f>VLOOKUP(tblProductos[[#This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3945</v>
      </c>
      <c r="D2858" s="9" t="s">
        <v>4012</v>
      </c>
      <c r="E2858" s="9"/>
      <c r="F2858" s="9">
        <v>50</v>
      </c>
      <c r="G2858" s="9" t="s">
        <v>3842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3943</v>
      </c>
      <c r="N2858" s="4"/>
      <c r="O2858" s="5"/>
      <c r="P2858" s="10"/>
      <c r="Q2858" s="21" t="str">
        <f>VLOOKUP(tblProductos[[#This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3945</v>
      </c>
      <c r="D2859" s="9" t="s">
        <v>4019</v>
      </c>
      <c r="E2859" s="9"/>
      <c r="F2859" s="9">
        <v>50</v>
      </c>
      <c r="G2859" s="9" t="s">
        <v>3842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3943</v>
      </c>
      <c r="N2859" s="4"/>
      <c r="O2859" s="5"/>
      <c r="P2859" s="10"/>
      <c r="Q2859" s="21" t="str">
        <f>VLOOKUP(tblProductos[[#This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3945</v>
      </c>
      <c r="D2860" s="9" t="s">
        <v>4032</v>
      </c>
      <c r="E2860" s="9"/>
      <c r="F2860" s="9">
        <v>50</v>
      </c>
      <c r="G2860" s="9" t="s">
        <v>3842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3943</v>
      </c>
      <c r="N2860" s="4"/>
      <c r="O2860" s="5"/>
      <c r="P2860" s="10"/>
      <c r="Q2860" s="21" t="str">
        <f>VLOOKUP(tblProductos[[#This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3945</v>
      </c>
      <c r="D2861" s="9" t="s">
        <v>4033</v>
      </c>
      <c r="E2861" s="9"/>
      <c r="F2861" s="9">
        <v>50</v>
      </c>
      <c r="G2861" s="9" t="s">
        <v>3842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3943</v>
      </c>
      <c r="N2861" s="4"/>
      <c r="O2861" s="5"/>
      <c r="P2861" s="10"/>
      <c r="Q2861" s="21" t="str">
        <f>VLOOKUP(tblProductos[[#This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3945</v>
      </c>
      <c r="D2862" s="9" t="s">
        <v>4144</v>
      </c>
      <c r="E2862" s="9"/>
      <c r="F2862" s="9">
        <v>50</v>
      </c>
      <c r="G2862" s="9" t="s">
        <v>3842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3943</v>
      </c>
      <c r="N2862" s="4"/>
      <c r="O2862" s="5"/>
      <c r="P2862" s="10"/>
      <c r="Q2862" s="21" t="str">
        <f>VLOOKUP(tblProductos[[#This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3945</v>
      </c>
      <c r="D2863" s="9" t="s">
        <v>4014</v>
      </c>
      <c r="E2863" s="9"/>
      <c r="F2863" s="9">
        <v>50</v>
      </c>
      <c r="G2863" s="9" t="s">
        <v>3842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3943</v>
      </c>
      <c r="N2863" s="4"/>
      <c r="O2863" s="5"/>
      <c r="P2863" s="10"/>
      <c r="Q2863" s="21" t="str">
        <f>VLOOKUP(tblProductos[[#This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3945</v>
      </c>
      <c r="D2864" s="9" t="s">
        <v>4020</v>
      </c>
      <c r="E2864" s="9"/>
      <c r="F2864" s="9">
        <v>50</v>
      </c>
      <c r="G2864" s="9" t="s">
        <v>3842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3943</v>
      </c>
      <c r="N2864" s="4"/>
      <c r="O2864" s="5"/>
      <c r="P2864" s="10"/>
      <c r="Q2864" s="21" t="str">
        <f>VLOOKUP(tblProductos[[#This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3945</v>
      </c>
      <c r="D2865" s="9" t="s">
        <v>4016</v>
      </c>
      <c r="E2865" s="9"/>
      <c r="F2865" s="9">
        <v>50</v>
      </c>
      <c r="G2865" s="9" t="s">
        <v>3842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3943</v>
      </c>
      <c r="N2865" s="4"/>
      <c r="O2865" s="5"/>
      <c r="P2865" s="10"/>
      <c r="Q2865" s="21" t="str">
        <f>VLOOKUP(tblProductos[[#This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3945</v>
      </c>
      <c r="D2866" s="9" t="s">
        <v>4145</v>
      </c>
      <c r="E2866" s="9"/>
      <c r="F2866" s="9">
        <v>50</v>
      </c>
      <c r="G2866" s="9" t="s">
        <v>3842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3943</v>
      </c>
      <c r="N2866" s="4"/>
      <c r="O2866" s="5"/>
      <c r="P2866" s="10"/>
      <c r="Q2866" s="21" t="str">
        <f>VLOOKUP(tblProductos[[#This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3945</v>
      </c>
      <c r="D2867" s="9" t="s">
        <v>4015</v>
      </c>
      <c r="E2867" s="9"/>
      <c r="F2867" s="9">
        <v>50</v>
      </c>
      <c r="G2867" s="9" t="s">
        <v>3842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3943</v>
      </c>
      <c r="N2867" s="4"/>
      <c r="O2867" s="5"/>
      <c r="P2867" s="10"/>
      <c r="Q2867" s="21" t="str">
        <f>VLOOKUP(tblProductos[[#This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3945</v>
      </c>
      <c r="D2868" s="9" t="s">
        <v>4054</v>
      </c>
      <c r="E2868" s="9"/>
      <c r="F2868" s="9">
        <v>50</v>
      </c>
      <c r="G2868" s="9" t="s">
        <v>3842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3943</v>
      </c>
      <c r="N2868" s="4"/>
      <c r="O2868" s="5"/>
      <c r="P2868" s="10"/>
      <c r="Q2868" s="21" t="str">
        <f>VLOOKUP(tblProductos[[#This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3945</v>
      </c>
      <c r="D2869" s="9" t="s">
        <v>4118</v>
      </c>
      <c r="E2869" s="9"/>
      <c r="F2869" s="9">
        <v>50</v>
      </c>
      <c r="G2869" s="9" t="s">
        <v>3842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3943</v>
      </c>
      <c r="N2869" s="4"/>
      <c r="O2869" s="5"/>
      <c r="P2869" s="10"/>
      <c r="Q2869" s="21" t="str">
        <f>VLOOKUP(tblProductos[[#This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3945</v>
      </c>
      <c r="D2870" s="9" t="s">
        <v>4022</v>
      </c>
      <c r="E2870" s="9"/>
      <c r="F2870" s="9">
        <v>50</v>
      </c>
      <c r="G2870" s="9" t="s">
        <v>3842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3943</v>
      </c>
      <c r="N2870" s="4"/>
      <c r="O2870" s="5"/>
      <c r="P2870" s="10"/>
      <c r="Q2870" s="21" t="str">
        <f>VLOOKUP(tblProductos[[#This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3945</v>
      </c>
      <c r="D2871" s="9" t="s">
        <v>4023</v>
      </c>
      <c r="E2871" s="9"/>
      <c r="F2871" s="9">
        <v>50</v>
      </c>
      <c r="G2871" s="9" t="s">
        <v>3842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3943</v>
      </c>
      <c r="N2871" s="4"/>
      <c r="O2871" s="5"/>
      <c r="P2871" s="10"/>
      <c r="Q2871" s="21" t="str">
        <f>VLOOKUP(tblProductos[[#This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3945</v>
      </c>
      <c r="D2872" s="9" t="s">
        <v>4024</v>
      </c>
      <c r="E2872" s="9"/>
      <c r="F2872" s="9">
        <v>50</v>
      </c>
      <c r="G2872" s="9" t="s">
        <v>3842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3943</v>
      </c>
      <c r="N2872" s="4"/>
      <c r="O2872" s="5"/>
      <c r="P2872" s="10"/>
      <c r="Q2872" s="21" t="str">
        <f>VLOOKUP(tblProductos[[#This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3945</v>
      </c>
      <c r="D2873" s="9" t="s">
        <v>4034</v>
      </c>
      <c r="E2873" s="9"/>
      <c r="F2873" s="9">
        <v>50</v>
      </c>
      <c r="G2873" s="9" t="s">
        <v>3842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3943</v>
      </c>
      <c r="N2873" s="4"/>
      <c r="O2873" s="5"/>
      <c r="P2873" s="10"/>
      <c r="Q2873" s="21" t="str">
        <f>VLOOKUP(tblProductos[[#This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3952</v>
      </c>
      <c r="D2874" s="9" t="s">
        <v>4125</v>
      </c>
      <c r="E2874" s="9"/>
      <c r="F2874" s="9">
        <v>50</v>
      </c>
      <c r="G2874" s="9" t="s">
        <v>3842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3843</v>
      </c>
      <c r="N2874" s="4"/>
      <c r="O2874" s="5"/>
      <c r="P2874" s="10"/>
      <c r="Q2874" s="21" t="str">
        <f>VLOOKUP(tblProductos[[#This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3952</v>
      </c>
      <c r="D2875" s="9" t="s">
        <v>4056</v>
      </c>
      <c r="E2875" s="9"/>
      <c r="F2875" s="9">
        <v>50</v>
      </c>
      <c r="G2875" s="9" t="s">
        <v>3842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3843</v>
      </c>
      <c r="N2875" s="4"/>
      <c r="O2875" s="5"/>
      <c r="P2875" s="10"/>
      <c r="Q2875" s="21" t="str">
        <f>VLOOKUP(tblProductos[[#This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3952</v>
      </c>
      <c r="D2876" s="9" t="s">
        <v>4143</v>
      </c>
      <c r="E2876" s="9"/>
      <c r="F2876" s="9">
        <v>50</v>
      </c>
      <c r="G2876" s="9" t="s">
        <v>3842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3843</v>
      </c>
      <c r="N2876" s="4"/>
      <c r="O2876" s="5"/>
      <c r="P2876" s="10"/>
      <c r="Q2876" s="21" t="str">
        <f>VLOOKUP(tblProductos[[#This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3952</v>
      </c>
      <c r="D2877" s="9" t="s">
        <v>4018</v>
      </c>
      <c r="E2877" s="9"/>
      <c r="F2877" s="9">
        <v>50</v>
      </c>
      <c r="G2877" s="9" t="s">
        <v>3842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3843</v>
      </c>
      <c r="N2877" s="4"/>
      <c r="O2877" s="5"/>
      <c r="P2877" s="10"/>
      <c r="Q2877" s="21" t="str">
        <f>VLOOKUP(tblProductos[[#This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3952</v>
      </c>
      <c r="D2878" s="9" t="s">
        <v>4019</v>
      </c>
      <c r="E2878" s="9"/>
      <c r="F2878" s="9">
        <v>50</v>
      </c>
      <c r="G2878" s="9" t="s">
        <v>3842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3843</v>
      </c>
      <c r="N2878" s="4"/>
      <c r="O2878" s="5"/>
      <c r="P2878" s="10"/>
      <c r="Q2878" s="21" t="str">
        <f>VLOOKUP(tblProductos[[#This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3952</v>
      </c>
      <c r="D2879" s="9" t="s">
        <v>4144</v>
      </c>
      <c r="E2879" s="9"/>
      <c r="F2879" s="9">
        <v>50</v>
      </c>
      <c r="G2879" s="9" t="s">
        <v>3842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3843</v>
      </c>
      <c r="N2879" s="4"/>
      <c r="O2879" s="5"/>
      <c r="P2879" s="10"/>
      <c r="Q2879" s="21" t="str">
        <f>VLOOKUP(tblProductos[[#This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3952</v>
      </c>
      <c r="D2880" s="9" t="s">
        <v>4145</v>
      </c>
      <c r="E2880" s="9"/>
      <c r="F2880" s="9">
        <v>50</v>
      </c>
      <c r="G2880" s="9" t="s">
        <v>3842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3843</v>
      </c>
      <c r="N2880" s="4"/>
      <c r="O2880" s="5"/>
      <c r="P2880" s="10"/>
      <c r="Q2880" s="21" t="str">
        <f>VLOOKUP(tblProductos[[#This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3952</v>
      </c>
      <c r="D2881" s="9" t="s">
        <v>4054</v>
      </c>
      <c r="E2881" s="9"/>
      <c r="F2881" s="9">
        <v>50</v>
      </c>
      <c r="G2881" s="9" t="s">
        <v>3842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3843</v>
      </c>
      <c r="N2881" s="4"/>
      <c r="O2881" s="5"/>
      <c r="P2881" s="10"/>
      <c r="Q2881" s="21" t="str">
        <f>VLOOKUP(tblProductos[[#This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3952</v>
      </c>
      <c r="D2882" s="9" t="s">
        <v>4118</v>
      </c>
      <c r="E2882" s="9"/>
      <c r="F2882" s="9">
        <v>50</v>
      </c>
      <c r="G2882" s="9" t="s">
        <v>3842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3843</v>
      </c>
      <c r="N2882" s="4"/>
      <c r="O2882" s="5"/>
      <c r="P2882" s="10"/>
      <c r="Q2882" s="21" t="str">
        <f>VLOOKUP(tblProductos[[#This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3953</v>
      </c>
      <c r="D2883" s="9" t="s">
        <v>4017</v>
      </c>
      <c r="E2883" s="9" t="s">
        <v>3875</v>
      </c>
      <c r="F2883" s="9">
        <v>3000</v>
      </c>
      <c r="G2883" s="9" t="s">
        <v>3873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3868</v>
      </c>
      <c r="N2883" s="4"/>
      <c r="O2883" s="5"/>
      <c r="P2883" s="10"/>
      <c r="Q2883" s="21" t="str">
        <f>VLOOKUP(tblProductos[[#This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3953</v>
      </c>
      <c r="D2884" s="9" t="s">
        <v>4010</v>
      </c>
      <c r="E2884" s="9" t="s">
        <v>3875</v>
      </c>
      <c r="F2884" s="9">
        <v>3000</v>
      </c>
      <c r="G2884" s="9" t="s">
        <v>3873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3868</v>
      </c>
      <c r="N2884" s="4"/>
      <c r="O2884" s="5"/>
      <c r="P2884" s="10"/>
      <c r="Q2884" s="21" t="str">
        <f>VLOOKUP(tblProductos[[#This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3953</v>
      </c>
      <c r="D2885" s="9" t="s">
        <v>4125</v>
      </c>
      <c r="E2885" s="9" t="s">
        <v>3875</v>
      </c>
      <c r="F2885" s="9">
        <v>3000</v>
      </c>
      <c r="G2885" s="9" t="s">
        <v>3873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3868</v>
      </c>
      <c r="N2885" s="4"/>
      <c r="O2885" s="5"/>
      <c r="P2885" s="10"/>
      <c r="Q2885" s="21" t="str">
        <f>VLOOKUP(tblProductos[[#This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3953</v>
      </c>
      <c r="D2886" s="9" t="s">
        <v>4056</v>
      </c>
      <c r="E2886" s="9" t="s">
        <v>3875</v>
      </c>
      <c r="F2886" s="9">
        <v>3000</v>
      </c>
      <c r="G2886" s="9" t="s">
        <v>3873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3868</v>
      </c>
      <c r="N2886" s="4"/>
      <c r="O2886" s="5"/>
      <c r="P2886" s="10"/>
      <c r="Q2886" s="21" t="str">
        <f>VLOOKUP(tblProductos[[#This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3953</v>
      </c>
      <c r="D2887" s="9" t="s">
        <v>4143</v>
      </c>
      <c r="E2887" s="9" t="s">
        <v>3875</v>
      </c>
      <c r="F2887" s="9">
        <v>3000</v>
      </c>
      <c r="G2887" s="9" t="s">
        <v>3873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3868</v>
      </c>
      <c r="N2887" s="4"/>
      <c r="O2887" s="5"/>
      <c r="P2887" s="10"/>
      <c r="Q2887" s="21" t="str">
        <f>VLOOKUP(tblProductos[[#This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3953</v>
      </c>
      <c r="D2888" s="9" t="s">
        <v>4031</v>
      </c>
      <c r="E2888" s="9" t="s">
        <v>3875</v>
      </c>
      <c r="F2888" s="9">
        <v>3000</v>
      </c>
      <c r="G2888" s="9" t="s">
        <v>3873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3868</v>
      </c>
      <c r="N2888" s="4"/>
      <c r="O2888" s="5"/>
      <c r="P2888" s="10"/>
      <c r="Q2888" s="21" t="str">
        <f>VLOOKUP(tblProductos[[#This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3953</v>
      </c>
      <c r="D2889" s="9" t="s">
        <v>4011</v>
      </c>
      <c r="E2889" s="9" t="s">
        <v>3875</v>
      </c>
      <c r="F2889" s="9">
        <v>3000</v>
      </c>
      <c r="G2889" s="9" t="s">
        <v>3873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3868</v>
      </c>
      <c r="N2889" s="4"/>
      <c r="O2889" s="5"/>
      <c r="P2889" s="10"/>
      <c r="Q2889" s="21" t="str">
        <f>VLOOKUP(tblProductos[[#This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3953</v>
      </c>
      <c r="D2890" s="9" t="s">
        <v>4030</v>
      </c>
      <c r="E2890" s="9" t="s">
        <v>3875</v>
      </c>
      <c r="F2890" s="9">
        <v>3000</v>
      </c>
      <c r="G2890" s="9" t="s">
        <v>3873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3868</v>
      </c>
      <c r="N2890" s="4"/>
      <c r="O2890" s="5"/>
      <c r="P2890" s="10"/>
      <c r="Q2890" s="21" t="str">
        <f>VLOOKUP(tblProductos[[#This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3953</v>
      </c>
      <c r="D2891" s="9" t="s">
        <v>4018</v>
      </c>
      <c r="E2891" s="9" t="s">
        <v>3875</v>
      </c>
      <c r="F2891" s="9">
        <v>3000</v>
      </c>
      <c r="G2891" s="9" t="s">
        <v>3873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3868</v>
      </c>
      <c r="N2891" s="4"/>
      <c r="O2891" s="5"/>
      <c r="P2891" s="10"/>
      <c r="Q2891" s="21" t="str">
        <f>VLOOKUP(tblProductos[[#This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3953</v>
      </c>
      <c r="D2892" s="9" t="s">
        <v>4012</v>
      </c>
      <c r="E2892" s="9" t="s">
        <v>3875</v>
      </c>
      <c r="F2892" s="9">
        <v>3000</v>
      </c>
      <c r="G2892" s="9" t="s">
        <v>3873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3868</v>
      </c>
      <c r="N2892" s="4"/>
      <c r="O2892" s="5"/>
      <c r="P2892" s="10"/>
      <c r="Q2892" s="21" t="str">
        <f>VLOOKUP(tblProductos[[#This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3953</v>
      </c>
      <c r="D2893" s="9" t="s">
        <v>4013</v>
      </c>
      <c r="E2893" s="9" t="s">
        <v>3875</v>
      </c>
      <c r="F2893" s="9">
        <v>3000</v>
      </c>
      <c r="G2893" s="9" t="s">
        <v>3873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3868</v>
      </c>
      <c r="N2893" s="4"/>
      <c r="O2893" s="5"/>
      <c r="P2893" s="10"/>
      <c r="Q2893" s="21" t="str">
        <f>VLOOKUP(tblProductos[[#This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3953</v>
      </c>
      <c r="D2894" s="9" t="s">
        <v>3923</v>
      </c>
      <c r="E2894" s="9" t="s">
        <v>3875</v>
      </c>
      <c r="F2894" s="9">
        <v>3000</v>
      </c>
      <c r="G2894" s="9" t="s">
        <v>3873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3868</v>
      </c>
      <c r="N2894" s="4"/>
      <c r="O2894" s="5"/>
      <c r="P2894" s="10"/>
      <c r="Q2894" s="21" t="str">
        <f>VLOOKUP(tblProductos[[#This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3953</v>
      </c>
      <c r="D2895" s="9" t="s">
        <v>4032</v>
      </c>
      <c r="E2895" s="9" t="s">
        <v>3875</v>
      </c>
      <c r="F2895" s="9">
        <v>3000</v>
      </c>
      <c r="G2895" s="9" t="s">
        <v>3873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3868</v>
      </c>
      <c r="N2895" s="4"/>
      <c r="O2895" s="5"/>
      <c r="P2895" s="10"/>
      <c r="Q2895" s="21" t="str">
        <f>VLOOKUP(tblProductos[[#This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3953</v>
      </c>
      <c r="D2896" s="9" t="s">
        <v>4033</v>
      </c>
      <c r="E2896" s="9" t="s">
        <v>3875</v>
      </c>
      <c r="F2896" s="9">
        <v>3000</v>
      </c>
      <c r="G2896" s="9" t="s">
        <v>3873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3868</v>
      </c>
      <c r="N2896" s="4"/>
      <c r="O2896" s="5"/>
      <c r="P2896" s="10"/>
      <c r="Q2896" s="21" t="str">
        <f>VLOOKUP(tblProductos[[#This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3953</v>
      </c>
      <c r="D2897" s="9" t="s">
        <v>4144</v>
      </c>
      <c r="E2897" s="9" t="s">
        <v>3875</v>
      </c>
      <c r="F2897" s="9">
        <v>3000</v>
      </c>
      <c r="G2897" s="9" t="s">
        <v>3873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3868</v>
      </c>
      <c r="N2897" s="4"/>
      <c r="O2897" s="5"/>
      <c r="P2897" s="10"/>
      <c r="Q2897" s="21" t="str">
        <f>VLOOKUP(tblProductos[[#This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3953</v>
      </c>
      <c r="D2898" s="9" t="s">
        <v>4014</v>
      </c>
      <c r="E2898" s="9" t="s">
        <v>3875</v>
      </c>
      <c r="F2898" s="9">
        <v>3000</v>
      </c>
      <c r="G2898" s="9" t="s">
        <v>3873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3868</v>
      </c>
      <c r="N2898" s="4"/>
      <c r="O2898" s="5"/>
      <c r="P2898" s="10"/>
      <c r="Q2898" s="21" t="str">
        <f>VLOOKUP(tblProductos[[#This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3953</v>
      </c>
      <c r="D2899" s="9" t="s">
        <v>4020</v>
      </c>
      <c r="E2899" s="9" t="s">
        <v>3875</v>
      </c>
      <c r="F2899" s="9">
        <v>3000</v>
      </c>
      <c r="G2899" s="9" t="s">
        <v>3873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3868</v>
      </c>
      <c r="N2899" s="4"/>
      <c r="O2899" s="5"/>
      <c r="P2899" s="10"/>
      <c r="Q2899" s="21" t="str">
        <f>VLOOKUP(tblProductos[[#This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3953</v>
      </c>
      <c r="D2900" s="9" t="s">
        <v>4016</v>
      </c>
      <c r="E2900" s="9" t="s">
        <v>3875</v>
      </c>
      <c r="F2900" s="9">
        <v>3000</v>
      </c>
      <c r="G2900" s="9" t="s">
        <v>3873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3868</v>
      </c>
      <c r="N2900" s="4"/>
      <c r="O2900" s="5"/>
      <c r="P2900" s="10"/>
      <c r="Q2900" s="21" t="str">
        <f>VLOOKUP(tblProductos[[#This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3953</v>
      </c>
      <c r="D2901" s="9" t="s">
        <v>4145</v>
      </c>
      <c r="E2901" s="9" t="s">
        <v>3875</v>
      </c>
      <c r="F2901" s="9">
        <v>3000</v>
      </c>
      <c r="G2901" s="9" t="s">
        <v>3873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3868</v>
      </c>
      <c r="N2901" s="4"/>
      <c r="O2901" s="5"/>
      <c r="P2901" s="10"/>
      <c r="Q2901" s="21" t="str">
        <f>VLOOKUP(tblProductos[[#This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3953</v>
      </c>
      <c r="D2902" s="9" t="s">
        <v>4015</v>
      </c>
      <c r="E2902" s="9" t="s">
        <v>3875</v>
      </c>
      <c r="F2902" s="9">
        <v>3000</v>
      </c>
      <c r="G2902" s="9" t="s">
        <v>3873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3868</v>
      </c>
      <c r="N2902" s="4"/>
      <c r="O2902" s="5"/>
      <c r="P2902" s="10"/>
      <c r="Q2902" s="21" t="str">
        <f>VLOOKUP(tblProductos[[#This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3953</v>
      </c>
      <c r="D2903" s="9" t="s">
        <v>4054</v>
      </c>
      <c r="E2903" s="9" t="s">
        <v>3875</v>
      </c>
      <c r="F2903" s="9">
        <v>3000</v>
      </c>
      <c r="G2903" s="9" t="s">
        <v>3873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3868</v>
      </c>
      <c r="N2903" s="4"/>
      <c r="O2903" s="5"/>
      <c r="P2903" s="10"/>
      <c r="Q2903" s="21" t="str">
        <f>VLOOKUP(tblProductos[[#This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3953</v>
      </c>
      <c r="D2904" s="9" t="s">
        <v>4118</v>
      </c>
      <c r="E2904" s="9" t="s">
        <v>3875</v>
      </c>
      <c r="F2904" s="9">
        <v>3000</v>
      </c>
      <c r="G2904" s="9" t="s">
        <v>3873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3868</v>
      </c>
      <c r="N2904" s="4"/>
      <c r="O2904" s="5"/>
      <c r="P2904" s="10"/>
      <c r="Q2904" s="21" t="str">
        <f>VLOOKUP(tblProductos[[#This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3953</v>
      </c>
      <c r="D2905" s="9" t="s">
        <v>4022</v>
      </c>
      <c r="E2905" s="9" t="s">
        <v>3875</v>
      </c>
      <c r="F2905" s="9">
        <v>3000</v>
      </c>
      <c r="G2905" s="9" t="s">
        <v>3873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3868</v>
      </c>
      <c r="N2905" s="4"/>
      <c r="O2905" s="5"/>
      <c r="P2905" s="10"/>
      <c r="Q2905" s="21" t="str">
        <f>VLOOKUP(tblProductos[[#This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3953</v>
      </c>
      <c r="D2906" s="9" t="s">
        <v>4023</v>
      </c>
      <c r="E2906" s="9" t="s">
        <v>3875</v>
      </c>
      <c r="F2906" s="9">
        <v>3000</v>
      </c>
      <c r="G2906" s="9" t="s">
        <v>3873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3868</v>
      </c>
      <c r="N2906" s="4"/>
      <c r="O2906" s="5"/>
      <c r="P2906" s="10"/>
      <c r="Q2906" s="21" t="str">
        <f>VLOOKUP(tblProductos[[#This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3953</v>
      </c>
      <c r="D2907" s="9" t="s">
        <v>4029</v>
      </c>
      <c r="E2907" s="9" t="s">
        <v>3875</v>
      </c>
      <c r="F2907" s="9">
        <v>3000</v>
      </c>
      <c r="G2907" s="9" t="s">
        <v>3873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3868</v>
      </c>
      <c r="N2907" s="4"/>
      <c r="O2907" s="5"/>
      <c r="P2907" s="10"/>
      <c r="Q2907" s="21" t="str">
        <f>VLOOKUP(tblProductos[[#This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3953</v>
      </c>
      <c r="D2908" s="9" t="s">
        <v>4024</v>
      </c>
      <c r="E2908" s="9" t="s">
        <v>3875</v>
      </c>
      <c r="F2908" s="9">
        <v>3000</v>
      </c>
      <c r="G2908" s="9" t="s">
        <v>3873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3868</v>
      </c>
      <c r="N2908" s="4"/>
      <c r="O2908" s="5"/>
      <c r="P2908" s="10"/>
      <c r="Q2908" s="21" t="str">
        <f>VLOOKUP(tblProductos[[#This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3953</v>
      </c>
      <c r="D2909" s="9" t="s">
        <v>4035</v>
      </c>
      <c r="E2909" s="9" t="s">
        <v>3875</v>
      </c>
      <c r="F2909" s="9">
        <v>3000</v>
      </c>
      <c r="G2909" s="9" t="s">
        <v>3873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3868</v>
      </c>
      <c r="N2909" s="4"/>
      <c r="O2909" s="5"/>
      <c r="P2909" s="10"/>
      <c r="Q2909" s="21" t="str">
        <f>VLOOKUP(tblProductos[[#This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4108</v>
      </c>
      <c r="D2910" s="9" t="s">
        <v>4017</v>
      </c>
      <c r="E2910" s="9" t="s">
        <v>3875</v>
      </c>
      <c r="F2910" s="9">
        <v>3000</v>
      </c>
      <c r="G2910" s="9" t="s">
        <v>3873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3868</v>
      </c>
      <c r="N2910" s="4"/>
      <c r="O2910" s="5"/>
      <c r="P2910" s="10"/>
      <c r="Q2910" s="21" t="str">
        <f>VLOOKUP(tblProductos[[#This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4108</v>
      </c>
      <c r="D2911" s="9" t="s">
        <v>4010</v>
      </c>
      <c r="E2911" s="9" t="s">
        <v>3875</v>
      </c>
      <c r="F2911" s="9">
        <v>3000</v>
      </c>
      <c r="G2911" s="9" t="s">
        <v>3873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3868</v>
      </c>
      <c r="N2911" s="4"/>
      <c r="O2911" s="5"/>
      <c r="P2911" s="10"/>
      <c r="Q2911" s="21" t="str">
        <f>VLOOKUP(tblProductos[[#This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4108</v>
      </c>
      <c r="D2912" s="9" t="s">
        <v>4125</v>
      </c>
      <c r="E2912" s="9" t="s">
        <v>3875</v>
      </c>
      <c r="F2912" s="9">
        <v>3000</v>
      </c>
      <c r="G2912" s="9" t="s">
        <v>3873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3868</v>
      </c>
      <c r="N2912" s="4"/>
      <c r="O2912" s="5"/>
      <c r="P2912" s="10"/>
      <c r="Q2912" s="21" t="str">
        <f>VLOOKUP(tblProductos[[#This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4108</v>
      </c>
      <c r="D2913" s="9" t="s">
        <v>4056</v>
      </c>
      <c r="E2913" s="9" t="s">
        <v>3875</v>
      </c>
      <c r="F2913" s="9">
        <v>3000</v>
      </c>
      <c r="G2913" s="9" t="s">
        <v>3873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3868</v>
      </c>
      <c r="N2913" s="4"/>
      <c r="O2913" s="5"/>
      <c r="P2913" s="10"/>
      <c r="Q2913" s="21" t="str">
        <f>VLOOKUP(tblProductos[[#This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4108</v>
      </c>
      <c r="D2914" s="9" t="s">
        <v>4143</v>
      </c>
      <c r="E2914" s="9" t="s">
        <v>3875</v>
      </c>
      <c r="F2914" s="9">
        <v>3000</v>
      </c>
      <c r="G2914" s="9" t="s">
        <v>3873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3868</v>
      </c>
      <c r="N2914" s="4"/>
      <c r="O2914" s="5"/>
      <c r="P2914" s="10"/>
      <c r="Q2914" s="21" t="str">
        <f>VLOOKUP(tblProductos[[#This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4108</v>
      </c>
      <c r="D2915" s="9" t="s">
        <v>4031</v>
      </c>
      <c r="E2915" s="9" t="s">
        <v>3875</v>
      </c>
      <c r="F2915" s="9">
        <v>3000</v>
      </c>
      <c r="G2915" s="9" t="s">
        <v>3873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3868</v>
      </c>
      <c r="N2915" s="4"/>
      <c r="O2915" s="5"/>
      <c r="P2915" s="10"/>
      <c r="Q2915" s="21" t="str">
        <f>VLOOKUP(tblProductos[[#This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4108</v>
      </c>
      <c r="D2916" s="9" t="s">
        <v>4011</v>
      </c>
      <c r="E2916" s="9" t="s">
        <v>3875</v>
      </c>
      <c r="F2916" s="9">
        <v>3000</v>
      </c>
      <c r="G2916" s="9" t="s">
        <v>3873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3868</v>
      </c>
      <c r="N2916" s="4"/>
      <c r="O2916" s="5"/>
      <c r="P2916" s="10"/>
      <c r="Q2916" s="21" t="str">
        <f>VLOOKUP(tblProductos[[#This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4108</v>
      </c>
      <c r="D2917" s="9" t="s">
        <v>4030</v>
      </c>
      <c r="E2917" s="9" t="s">
        <v>3875</v>
      </c>
      <c r="F2917" s="9">
        <v>3000</v>
      </c>
      <c r="G2917" s="9" t="s">
        <v>3873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3868</v>
      </c>
      <c r="N2917" s="4"/>
      <c r="O2917" s="5"/>
      <c r="P2917" s="10"/>
      <c r="Q2917" s="21" t="str">
        <f>VLOOKUP(tblProductos[[#This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4108</v>
      </c>
      <c r="D2918" s="9" t="s">
        <v>4018</v>
      </c>
      <c r="E2918" s="9" t="s">
        <v>3875</v>
      </c>
      <c r="F2918" s="9">
        <v>3000</v>
      </c>
      <c r="G2918" s="9" t="s">
        <v>3873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3868</v>
      </c>
      <c r="N2918" s="4"/>
      <c r="O2918" s="5"/>
      <c r="P2918" s="10"/>
      <c r="Q2918" s="21" t="str">
        <f>VLOOKUP(tblProductos[[#This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4108</v>
      </c>
      <c r="D2919" s="9" t="s">
        <v>4009</v>
      </c>
      <c r="E2919" s="9" t="s">
        <v>3875</v>
      </c>
      <c r="F2919" s="9">
        <v>3000</v>
      </c>
      <c r="G2919" s="9" t="s">
        <v>3873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3868</v>
      </c>
      <c r="N2919" s="4"/>
      <c r="O2919" s="5"/>
      <c r="P2919" s="10"/>
      <c r="Q2919" s="21" t="str">
        <f>VLOOKUP(tblProductos[[#This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4108</v>
      </c>
      <c r="D2920" s="9" t="s">
        <v>4012</v>
      </c>
      <c r="E2920" s="9" t="s">
        <v>3875</v>
      </c>
      <c r="F2920" s="9">
        <v>3000</v>
      </c>
      <c r="G2920" s="9" t="s">
        <v>3873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3868</v>
      </c>
      <c r="N2920" s="4"/>
      <c r="O2920" s="5"/>
      <c r="P2920" s="10"/>
      <c r="Q2920" s="21" t="str">
        <f>VLOOKUP(tblProductos[[#This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4108</v>
      </c>
      <c r="D2921" s="9" t="s">
        <v>4013</v>
      </c>
      <c r="E2921" s="9" t="s">
        <v>3875</v>
      </c>
      <c r="F2921" s="9">
        <v>3000</v>
      </c>
      <c r="G2921" s="9" t="s">
        <v>3873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3868</v>
      </c>
      <c r="N2921" s="4"/>
      <c r="O2921" s="5"/>
      <c r="P2921" s="10"/>
      <c r="Q2921" s="21" t="str">
        <f>VLOOKUP(tblProductos[[#This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4108</v>
      </c>
      <c r="D2922" s="9" t="s">
        <v>3923</v>
      </c>
      <c r="E2922" s="9" t="s">
        <v>3875</v>
      </c>
      <c r="F2922" s="9">
        <v>3000</v>
      </c>
      <c r="G2922" s="9" t="s">
        <v>3873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3868</v>
      </c>
      <c r="N2922" s="4"/>
      <c r="O2922" s="5"/>
      <c r="P2922" s="10"/>
      <c r="Q2922" s="21" t="str">
        <f>VLOOKUP(tblProductos[[#This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4108</v>
      </c>
      <c r="D2923" s="9" t="s">
        <v>4019</v>
      </c>
      <c r="E2923" s="9" t="s">
        <v>3875</v>
      </c>
      <c r="F2923" s="9">
        <v>3000</v>
      </c>
      <c r="G2923" s="9" t="s">
        <v>3873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3868</v>
      </c>
      <c r="N2923" s="4"/>
      <c r="O2923" s="5"/>
      <c r="P2923" s="10"/>
      <c r="Q2923" s="21" t="str">
        <f>VLOOKUP(tblProductos[[#This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4108</v>
      </c>
      <c r="D2924" s="9" t="s">
        <v>4032</v>
      </c>
      <c r="E2924" s="9" t="s">
        <v>3875</v>
      </c>
      <c r="F2924" s="9">
        <v>3000</v>
      </c>
      <c r="G2924" s="9" t="s">
        <v>3873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3868</v>
      </c>
      <c r="N2924" s="4"/>
      <c r="O2924" s="5"/>
      <c r="P2924" s="10"/>
      <c r="Q2924" s="21" t="str">
        <f>VLOOKUP(tblProductos[[#This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4108</v>
      </c>
      <c r="D2925" s="9" t="s">
        <v>4033</v>
      </c>
      <c r="E2925" s="9" t="s">
        <v>3875</v>
      </c>
      <c r="F2925" s="9">
        <v>3000</v>
      </c>
      <c r="G2925" s="9" t="s">
        <v>3873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3868</v>
      </c>
      <c r="N2925" s="4"/>
      <c r="O2925" s="5"/>
      <c r="P2925" s="10"/>
      <c r="Q2925" s="21" t="str">
        <f>VLOOKUP(tblProductos[[#This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4108</v>
      </c>
      <c r="D2926" s="9" t="s">
        <v>4144</v>
      </c>
      <c r="E2926" s="9" t="s">
        <v>3875</v>
      </c>
      <c r="F2926" s="9">
        <v>3000</v>
      </c>
      <c r="G2926" s="9" t="s">
        <v>3873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3868</v>
      </c>
      <c r="N2926" s="4"/>
      <c r="O2926" s="5"/>
      <c r="P2926" s="10"/>
      <c r="Q2926" s="21" t="str">
        <f>VLOOKUP(tblProductos[[#This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4108</v>
      </c>
      <c r="D2927" s="9" t="s">
        <v>4014</v>
      </c>
      <c r="E2927" s="9" t="s">
        <v>3875</v>
      </c>
      <c r="F2927" s="9">
        <v>3000</v>
      </c>
      <c r="G2927" s="9" t="s">
        <v>3873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3868</v>
      </c>
      <c r="N2927" s="4"/>
      <c r="O2927" s="5"/>
      <c r="P2927" s="10"/>
      <c r="Q2927" s="21" t="str">
        <f>VLOOKUP(tblProductos[[#This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4108</v>
      </c>
      <c r="D2928" s="9" t="s">
        <v>4020</v>
      </c>
      <c r="E2928" s="9" t="s">
        <v>3875</v>
      </c>
      <c r="F2928" s="9">
        <v>3000</v>
      </c>
      <c r="G2928" s="9" t="s">
        <v>3873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3868</v>
      </c>
      <c r="N2928" s="4"/>
      <c r="O2928" s="5"/>
      <c r="P2928" s="10"/>
      <c r="Q2928" s="21" t="str">
        <f>VLOOKUP(tblProductos[[#This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4108</v>
      </c>
      <c r="D2929" s="9" t="s">
        <v>4016</v>
      </c>
      <c r="E2929" s="9" t="s">
        <v>3875</v>
      </c>
      <c r="F2929" s="9">
        <v>3000</v>
      </c>
      <c r="G2929" s="9" t="s">
        <v>3873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3868</v>
      </c>
      <c r="N2929" s="4"/>
      <c r="O2929" s="5"/>
      <c r="P2929" s="10"/>
      <c r="Q2929" s="21" t="str">
        <f>VLOOKUP(tblProductos[[#This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4108</v>
      </c>
      <c r="D2930" s="9" t="s">
        <v>4145</v>
      </c>
      <c r="E2930" s="9" t="s">
        <v>3875</v>
      </c>
      <c r="F2930" s="9">
        <v>3000</v>
      </c>
      <c r="G2930" s="9" t="s">
        <v>3873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3868</v>
      </c>
      <c r="N2930" s="4"/>
      <c r="O2930" s="5"/>
      <c r="P2930" s="10"/>
      <c r="Q2930" s="21" t="str">
        <f>VLOOKUP(tblProductos[[#This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4108</v>
      </c>
      <c r="D2931" s="9" t="s">
        <v>4021</v>
      </c>
      <c r="E2931" s="9" t="s">
        <v>3875</v>
      </c>
      <c r="F2931" s="9">
        <v>3000</v>
      </c>
      <c r="G2931" s="9" t="s">
        <v>3873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3868</v>
      </c>
      <c r="N2931" s="4"/>
      <c r="O2931" s="5"/>
      <c r="P2931" s="10"/>
      <c r="Q2931" s="21" t="str">
        <f>VLOOKUP(tblProductos[[#This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4108</v>
      </c>
      <c r="D2932" s="9" t="s">
        <v>4015</v>
      </c>
      <c r="E2932" s="9" t="s">
        <v>3875</v>
      </c>
      <c r="F2932" s="9">
        <v>3000</v>
      </c>
      <c r="G2932" s="9" t="s">
        <v>3873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3868</v>
      </c>
      <c r="N2932" s="4"/>
      <c r="O2932" s="5"/>
      <c r="P2932" s="10"/>
      <c r="Q2932" s="21" t="str">
        <f>VLOOKUP(tblProductos[[#This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4108</v>
      </c>
      <c r="D2933" s="9" t="s">
        <v>4054</v>
      </c>
      <c r="E2933" s="9" t="s">
        <v>3875</v>
      </c>
      <c r="F2933" s="9">
        <v>3000</v>
      </c>
      <c r="G2933" s="9" t="s">
        <v>3873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3868</v>
      </c>
      <c r="N2933" s="4"/>
      <c r="O2933" s="5"/>
      <c r="P2933" s="10"/>
      <c r="Q2933" s="21" t="str">
        <f>VLOOKUP(tblProductos[[#This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4108</v>
      </c>
      <c r="D2934" s="9" t="s">
        <v>4118</v>
      </c>
      <c r="E2934" s="9" t="s">
        <v>3875</v>
      </c>
      <c r="F2934" s="9">
        <v>3000</v>
      </c>
      <c r="G2934" s="9" t="s">
        <v>3873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3868</v>
      </c>
      <c r="N2934" s="4"/>
      <c r="O2934" s="5"/>
      <c r="P2934" s="10"/>
      <c r="Q2934" s="21" t="str">
        <f>VLOOKUP(tblProductos[[#This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4108</v>
      </c>
      <c r="D2935" s="9" t="s">
        <v>4022</v>
      </c>
      <c r="E2935" s="9" t="s">
        <v>3875</v>
      </c>
      <c r="F2935" s="9">
        <v>3000</v>
      </c>
      <c r="G2935" s="9" t="s">
        <v>3873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3868</v>
      </c>
      <c r="N2935" s="4"/>
      <c r="O2935" s="5"/>
      <c r="P2935" s="10"/>
      <c r="Q2935" s="21" t="str">
        <f>VLOOKUP(tblProductos[[#This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4108</v>
      </c>
      <c r="D2936" s="9" t="s">
        <v>4023</v>
      </c>
      <c r="E2936" s="9" t="s">
        <v>3875</v>
      </c>
      <c r="F2936" s="9">
        <v>3000</v>
      </c>
      <c r="G2936" s="9" t="s">
        <v>3873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3868</v>
      </c>
      <c r="N2936" s="4"/>
      <c r="O2936" s="5"/>
      <c r="P2936" s="10"/>
      <c r="Q2936" s="21" t="str">
        <f>VLOOKUP(tblProductos[[#This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4108</v>
      </c>
      <c r="D2937" s="9" t="s">
        <v>4024</v>
      </c>
      <c r="E2937" s="9" t="s">
        <v>3875</v>
      </c>
      <c r="F2937" s="9">
        <v>3000</v>
      </c>
      <c r="G2937" s="9" t="s">
        <v>3873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3868</v>
      </c>
      <c r="N2937" s="4"/>
      <c r="O2937" s="5"/>
      <c r="P2937" s="10"/>
      <c r="Q2937" s="21" t="str">
        <f>VLOOKUP(tblProductos[[#This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4108</v>
      </c>
      <c r="D2938" s="9" t="s">
        <v>4034</v>
      </c>
      <c r="E2938" s="9" t="s">
        <v>3875</v>
      </c>
      <c r="F2938" s="9">
        <v>3000</v>
      </c>
      <c r="G2938" s="9" t="s">
        <v>3873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3868</v>
      </c>
      <c r="N2938" s="4"/>
      <c r="O2938" s="5"/>
      <c r="P2938" s="10"/>
      <c r="Q2938" s="21" t="str">
        <f>VLOOKUP(tblProductos[[#This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4108</v>
      </c>
      <c r="D2939" s="9" t="s">
        <v>4035</v>
      </c>
      <c r="E2939" s="9" t="s">
        <v>3875</v>
      </c>
      <c r="F2939" s="9">
        <v>3000</v>
      </c>
      <c r="G2939" s="9" t="s">
        <v>3873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3868</v>
      </c>
      <c r="N2939" s="4"/>
      <c r="O2939" s="5"/>
      <c r="P2939" s="10"/>
      <c r="Q2939" s="21" t="str">
        <f>VLOOKUP(tblProductos[[#This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4083</v>
      </c>
      <c r="D2940" s="9" t="s">
        <v>4017</v>
      </c>
      <c r="E2940" s="9" t="s">
        <v>3875</v>
      </c>
      <c r="F2940" s="9">
        <v>5000</v>
      </c>
      <c r="G2940" s="9" t="s">
        <v>3873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3868</v>
      </c>
      <c r="N2940" s="4"/>
      <c r="O2940" s="5"/>
      <c r="P2940" s="10"/>
      <c r="Q2940" s="21" t="str">
        <f>VLOOKUP(tblProductos[[#This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4083</v>
      </c>
      <c r="D2941" s="9" t="s">
        <v>4010</v>
      </c>
      <c r="E2941" s="9" t="s">
        <v>3875</v>
      </c>
      <c r="F2941" s="9">
        <v>5000</v>
      </c>
      <c r="G2941" s="9" t="s">
        <v>3873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3868</v>
      </c>
      <c r="N2941" s="4"/>
      <c r="O2941" s="5"/>
      <c r="P2941" s="10"/>
      <c r="Q2941" s="21" t="str">
        <f>VLOOKUP(tblProductos[[#This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4083</v>
      </c>
      <c r="D2942" s="9" t="s">
        <v>4125</v>
      </c>
      <c r="E2942" s="9" t="s">
        <v>3875</v>
      </c>
      <c r="F2942" s="9">
        <v>5000</v>
      </c>
      <c r="G2942" s="9" t="s">
        <v>3873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3868</v>
      </c>
      <c r="N2942" s="4"/>
      <c r="O2942" s="5"/>
      <c r="P2942" s="10"/>
      <c r="Q2942" s="21" t="str">
        <f>VLOOKUP(tblProductos[[#This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4083</v>
      </c>
      <c r="D2943" s="9" t="s">
        <v>4056</v>
      </c>
      <c r="E2943" s="9" t="s">
        <v>3875</v>
      </c>
      <c r="F2943" s="9">
        <v>5000</v>
      </c>
      <c r="G2943" s="9" t="s">
        <v>3873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3868</v>
      </c>
      <c r="N2943" s="4"/>
      <c r="O2943" s="5"/>
      <c r="P2943" s="10"/>
      <c r="Q2943" s="21" t="str">
        <f>VLOOKUP(tblProductos[[#This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4083</v>
      </c>
      <c r="D2944" s="9" t="s">
        <v>4006</v>
      </c>
      <c r="E2944" s="9" t="s">
        <v>3875</v>
      </c>
      <c r="F2944" s="9">
        <v>5000</v>
      </c>
      <c r="G2944" s="9" t="s">
        <v>3873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3868</v>
      </c>
      <c r="N2944" s="4"/>
      <c r="O2944" s="5"/>
      <c r="P2944" s="10"/>
      <c r="Q2944" s="21" t="str">
        <f>VLOOKUP(tblProductos[[#This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4083</v>
      </c>
      <c r="D2945" s="9" t="s">
        <v>4143</v>
      </c>
      <c r="E2945" s="9" t="s">
        <v>3875</v>
      </c>
      <c r="F2945" s="9">
        <v>5000</v>
      </c>
      <c r="G2945" s="9" t="s">
        <v>3873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3868</v>
      </c>
      <c r="N2945" s="4"/>
      <c r="O2945" s="5"/>
      <c r="P2945" s="10"/>
      <c r="Q2945" s="21" t="str">
        <f>VLOOKUP(tblProductos[[#This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4083</v>
      </c>
      <c r="D2946" s="9" t="s">
        <v>4031</v>
      </c>
      <c r="E2946" s="9" t="s">
        <v>3875</v>
      </c>
      <c r="F2946" s="9">
        <v>5000</v>
      </c>
      <c r="G2946" s="9" t="s">
        <v>3873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3868</v>
      </c>
      <c r="N2946" s="4"/>
      <c r="O2946" s="5"/>
      <c r="P2946" s="10"/>
      <c r="Q2946" s="21" t="str">
        <f>VLOOKUP(tblProductos[[#This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4083</v>
      </c>
      <c r="D2947" s="9" t="s">
        <v>4011</v>
      </c>
      <c r="E2947" s="9" t="s">
        <v>3875</v>
      </c>
      <c r="F2947" s="9">
        <v>5000</v>
      </c>
      <c r="G2947" s="9" t="s">
        <v>3873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3868</v>
      </c>
      <c r="N2947" s="4"/>
      <c r="O2947" s="5"/>
      <c r="P2947" s="10"/>
      <c r="Q2947" s="21" t="str">
        <f>VLOOKUP(tblProductos[[#This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4083</v>
      </c>
      <c r="D2948" s="9" t="s">
        <v>4030</v>
      </c>
      <c r="E2948" s="9" t="s">
        <v>3875</v>
      </c>
      <c r="F2948" s="9">
        <v>5000</v>
      </c>
      <c r="G2948" s="9" t="s">
        <v>3873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3868</v>
      </c>
      <c r="N2948" s="4"/>
      <c r="O2948" s="5"/>
      <c r="P2948" s="10"/>
      <c r="Q2948" s="21" t="str">
        <f>VLOOKUP(tblProductos[[#This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4083</v>
      </c>
      <c r="D2949" s="9" t="s">
        <v>4018</v>
      </c>
      <c r="E2949" s="9" t="s">
        <v>3875</v>
      </c>
      <c r="F2949" s="9">
        <v>5000</v>
      </c>
      <c r="G2949" s="9" t="s">
        <v>3873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3868</v>
      </c>
      <c r="N2949" s="4"/>
      <c r="O2949" s="5"/>
      <c r="P2949" s="10"/>
      <c r="Q2949" s="21" t="str">
        <f>VLOOKUP(tblProductos[[#This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4083</v>
      </c>
      <c r="D2950" s="9" t="s">
        <v>4009</v>
      </c>
      <c r="E2950" s="9" t="s">
        <v>3875</v>
      </c>
      <c r="F2950" s="9">
        <v>5000</v>
      </c>
      <c r="G2950" s="9" t="s">
        <v>3873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3868</v>
      </c>
      <c r="N2950" s="4"/>
      <c r="O2950" s="5"/>
      <c r="P2950" s="10"/>
      <c r="Q2950" s="21" t="str">
        <f>VLOOKUP(tblProductos[[#This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4083</v>
      </c>
      <c r="D2951" s="9" t="s">
        <v>4012</v>
      </c>
      <c r="E2951" s="9" t="s">
        <v>3875</v>
      </c>
      <c r="F2951" s="9">
        <v>5000</v>
      </c>
      <c r="G2951" s="9" t="s">
        <v>3873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3868</v>
      </c>
      <c r="N2951" s="4"/>
      <c r="O2951" s="5"/>
      <c r="P2951" s="10"/>
      <c r="Q2951" s="21" t="str">
        <f>VLOOKUP(tblProductos[[#This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4083</v>
      </c>
      <c r="D2952" s="9" t="s">
        <v>4013</v>
      </c>
      <c r="E2952" s="9" t="s">
        <v>3875</v>
      </c>
      <c r="F2952" s="9">
        <v>5000</v>
      </c>
      <c r="G2952" s="9" t="s">
        <v>3873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3868</v>
      </c>
      <c r="N2952" s="4"/>
      <c r="O2952" s="5"/>
      <c r="P2952" s="10"/>
      <c r="Q2952" s="21" t="str">
        <f>VLOOKUP(tblProductos[[#This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4083</v>
      </c>
      <c r="D2953" s="9" t="s">
        <v>3923</v>
      </c>
      <c r="E2953" s="9" t="s">
        <v>3875</v>
      </c>
      <c r="F2953" s="9">
        <v>5000</v>
      </c>
      <c r="G2953" s="9" t="s">
        <v>3873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3868</v>
      </c>
      <c r="N2953" s="4"/>
      <c r="O2953" s="5"/>
      <c r="P2953" s="10"/>
      <c r="Q2953" s="21" t="str">
        <f>VLOOKUP(tblProductos[[#This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4083</v>
      </c>
      <c r="D2954" s="9" t="s">
        <v>4019</v>
      </c>
      <c r="E2954" s="9" t="s">
        <v>3875</v>
      </c>
      <c r="F2954" s="9">
        <v>5000</v>
      </c>
      <c r="G2954" s="9" t="s">
        <v>3873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3868</v>
      </c>
      <c r="N2954" s="4"/>
      <c r="O2954" s="5"/>
      <c r="P2954" s="10"/>
      <c r="Q2954" s="21" t="str">
        <f>VLOOKUP(tblProductos[[#This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4083</v>
      </c>
      <c r="D2955" s="9" t="s">
        <v>4032</v>
      </c>
      <c r="E2955" s="9" t="s">
        <v>3875</v>
      </c>
      <c r="F2955" s="9">
        <v>5000</v>
      </c>
      <c r="G2955" s="9" t="s">
        <v>3873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3868</v>
      </c>
      <c r="N2955" s="4"/>
      <c r="O2955" s="5"/>
      <c r="P2955" s="10"/>
      <c r="Q2955" s="21" t="str">
        <f>VLOOKUP(tblProductos[[#This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4083</v>
      </c>
      <c r="D2956" s="9" t="s">
        <v>3888</v>
      </c>
      <c r="E2956" s="9" t="s">
        <v>3875</v>
      </c>
      <c r="F2956" s="9">
        <v>5000</v>
      </c>
      <c r="G2956" s="9" t="s">
        <v>3873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3868</v>
      </c>
      <c r="N2956" s="4"/>
      <c r="O2956" s="5"/>
      <c r="P2956" s="10"/>
      <c r="Q2956" s="21" t="str">
        <f>VLOOKUP(tblProductos[[#This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4083</v>
      </c>
      <c r="D2957" s="9" t="s">
        <v>4033</v>
      </c>
      <c r="E2957" s="9" t="s">
        <v>3875</v>
      </c>
      <c r="F2957" s="9">
        <v>5000</v>
      </c>
      <c r="G2957" s="9" t="s">
        <v>3873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3868</v>
      </c>
      <c r="N2957" s="4"/>
      <c r="O2957" s="5"/>
      <c r="P2957" s="10"/>
      <c r="Q2957" s="21" t="str">
        <f>VLOOKUP(tblProductos[[#This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4083</v>
      </c>
      <c r="D2958" s="9" t="s">
        <v>4144</v>
      </c>
      <c r="E2958" s="9" t="s">
        <v>3875</v>
      </c>
      <c r="F2958" s="9">
        <v>5000</v>
      </c>
      <c r="G2958" s="9" t="s">
        <v>3873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3868</v>
      </c>
      <c r="N2958" s="4"/>
      <c r="O2958" s="5"/>
      <c r="P2958" s="10"/>
      <c r="Q2958" s="21" t="str">
        <f>VLOOKUP(tblProductos[[#This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4083</v>
      </c>
      <c r="D2959" s="9" t="s">
        <v>4014</v>
      </c>
      <c r="E2959" s="9" t="s">
        <v>3875</v>
      </c>
      <c r="F2959" s="9">
        <v>5000</v>
      </c>
      <c r="G2959" s="9" t="s">
        <v>3873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3868</v>
      </c>
      <c r="N2959" s="4"/>
      <c r="O2959" s="5"/>
      <c r="P2959" s="10"/>
      <c r="Q2959" s="21" t="str">
        <f>VLOOKUP(tblProductos[[#This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4083</v>
      </c>
      <c r="D2960" s="9" t="s">
        <v>4008</v>
      </c>
      <c r="E2960" s="9" t="s">
        <v>3875</v>
      </c>
      <c r="F2960" s="9">
        <v>5000</v>
      </c>
      <c r="G2960" s="9" t="s">
        <v>3873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3868</v>
      </c>
      <c r="N2960" s="4"/>
      <c r="O2960" s="5"/>
      <c r="P2960" s="10"/>
      <c r="Q2960" s="21" t="str">
        <f>VLOOKUP(tblProductos[[#This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4083</v>
      </c>
      <c r="D2961" s="9" t="s">
        <v>4020</v>
      </c>
      <c r="E2961" s="9" t="s">
        <v>3875</v>
      </c>
      <c r="F2961" s="9">
        <v>5000</v>
      </c>
      <c r="G2961" s="9" t="s">
        <v>3873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3868</v>
      </c>
      <c r="N2961" s="4"/>
      <c r="O2961" s="5"/>
      <c r="P2961" s="10"/>
      <c r="Q2961" s="21" t="str">
        <f>VLOOKUP(tblProductos[[#This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4083</v>
      </c>
      <c r="D2962" s="9" t="s">
        <v>4016</v>
      </c>
      <c r="E2962" s="9" t="s">
        <v>3875</v>
      </c>
      <c r="F2962" s="9">
        <v>5000</v>
      </c>
      <c r="G2962" s="9" t="s">
        <v>3873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3868</v>
      </c>
      <c r="N2962" s="4"/>
      <c r="O2962" s="5"/>
      <c r="P2962" s="10"/>
      <c r="Q2962" s="21" t="str">
        <f>VLOOKUP(tblProductos[[#This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4083</v>
      </c>
      <c r="D2963" s="9" t="s">
        <v>4145</v>
      </c>
      <c r="E2963" s="9" t="s">
        <v>3875</v>
      </c>
      <c r="F2963" s="9">
        <v>5000</v>
      </c>
      <c r="G2963" s="9" t="s">
        <v>3873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3868</v>
      </c>
      <c r="N2963" s="4"/>
      <c r="O2963" s="5"/>
      <c r="P2963" s="10"/>
      <c r="Q2963" s="21" t="str">
        <f>VLOOKUP(tblProductos[[#This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4083</v>
      </c>
      <c r="D2964" s="9" t="s">
        <v>4021</v>
      </c>
      <c r="E2964" s="9" t="s">
        <v>3875</v>
      </c>
      <c r="F2964" s="9">
        <v>5000</v>
      </c>
      <c r="G2964" s="9" t="s">
        <v>3873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3868</v>
      </c>
      <c r="N2964" s="4"/>
      <c r="O2964" s="5"/>
      <c r="P2964" s="10"/>
      <c r="Q2964" s="21" t="str">
        <f>VLOOKUP(tblProductos[[#This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4083</v>
      </c>
      <c r="D2965" s="9" t="s">
        <v>4015</v>
      </c>
      <c r="E2965" s="9" t="s">
        <v>3875</v>
      </c>
      <c r="F2965" s="9">
        <v>5000</v>
      </c>
      <c r="G2965" s="9" t="s">
        <v>3873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3868</v>
      </c>
      <c r="N2965" s="4"/>
      <c r="O2965" s="5"/>
      <c r="P2965" s="10"/>
      <c r="Q2965" s="21" t="str">
        <f>VLOOKUP(tblProductos[[#This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4083</v>
      </c>
      <c r="D2966" s="9" t="s">
        <v>4054</v>
      </c>
      <c r="E2966" s="9" t="s">
        <v>3875</v>
      </c>
      <c r="F2966" s="9">
        <v>5000</v>
      </c>
      <c r="G2966" s="9" t="s">
        <v>3873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3868</v>
      </c>
      <c r="N2966" s="4"/>
      <c r="O2966" s="5"/>
      <c r="P2966" s="10"/>
      <c r="Q2966" s="21" t="str">
        <f>VLOOKUP(tblProductos[[#This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4083</v>
      </c>
      <c r="D2967" s="9" t="s">
        <v>4118</v>
      </c>
      <c r="E2967" s="9" t="s">
        <v>3875</v>
      </c>
      <c r="F2967" s="9">
        <v>5000</v>
      </c>
      <c r="G2967" s="9" t="s">
        <v>3873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3868</v>
      </c>
      <c r="N2967" s="4"/>
      <c r="O2967" s="5"/>
      <c r="P2967" s="10"/>
      <c r="Q2967" s="21" t="str">
        <f>VLOOKUP(tblProductos[[#This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4083</v>
      </c>
      <c r="D2968" s="9" t="s">
        <v>4022</v>
      </c>
      <c r="E2968" s="9" t="s">
        <v>3875</v>
      </c>
      <c r="F2968" s="9">
        <v>5000</v>
      </c>
      <c r="G2968" s="9" t="s">
        <v>3873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3868</v>
      </c>
      <c r="N2968" s="4"/>
      <c r="O2968" s="5"/>
      <c r="P2968" s="10"/>
      <c r="Q2968" s="21" t="str">
        <f>VLOOKUP(tblProductos[[#This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4083</v>
      </c>
      <c r="D2969" s="9" t="s">
        <v>3919</v>
      </c>
      <c r="E2969" s="9" t="s">
        <v>3875</v>
      </c>
      <c r="F2969" s="9">
        <v>5000</v>
      </c>
      <c r="G2969" s="9" t="s">
        <v>3873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3868</v>
      </c>
      <c r="N2969" s="4"/>
      <c r="O2969" s="5"/>
      <c r="P2969" s="10"/>
      <c r="Q2969" s="21" t="str">
        <f>VLOOKUP(tblProductos[[#This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4083</v>
      </c>
      <c r="D2970" s="9" t="s">
        <v>4023</v>
      </c>
      <c r="E2970" s="9" t="s">
        <v>3875</v>
      </c>
      <c r="F2970" s="9">
        <v>5000</v>
      </c>
      <c r="G2970" s="9" t="s">
        <v>3873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3868</v>
      </c>
      <c r="N2970" s="4"/>
      <c r="O2970" s="5"/>
      <c r="P2970" s="10"/>
      <c r="Q2970" s="21" t="str">
        <f>VLOOKUP(tblProductos[[#This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4083</v>
      </c>
      <c r="D2971" s="9" t="s">
        <v>4029</v>
      </c>
      <c r="E2971" s="9" t="s">
        <v>3875</v>
      </c>
      <c r="F2971" s="9">
        <v>5000</v>
      </c>
      <c r="G2971" s="9" t="s">
        <v>3873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3868</v>
      </c>
      <c r="N2971" s="4"/>
      <c r="O2971" s="5"/>
      <c r="P2971" s="10"/>
      <c r="Q2971" s="21" t="str">
        <f>VLOOKUP(tblProductos[[#This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4083</v>
      </c>
      <c r="D2972" s="9" t="s">
        <v>4024</v>
      </c>
      <c r="E2972" s="9" t="s">
        <v>3875</v>
      </c>
      <c r="F2972" s="9">
        <v>5000</v>
      </c>
      <c r="G2972" s="9" t="s">
        <v>3873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3868</v>
      </c>
      <c r="N2972" s="4"/>
      <c r="O2972" s="5"/>
      <c r="P2972" s="10"/>
      <c r="Q2972" s="21" t="str">
        <f>VLOOKUP(tblProductos[[#This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4083</v>
      </c>
      <c r="D2973" s="9" t="s">
        <v>4034</v>
      </c>
      <c r="E2973" s="9" t="s">
        <v>3875</v>
      </c>
      <c r="F2973" s="9">
        <v>5000</v>
      </c>
      <c r="G2973" s="9" t="s">
        <v>3873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3868</v>
      </c>
      <c r="N2973" s="4"/>
      <c r="O2973" s="5"/>
      <c r="P2973" s="10"/>
      <c r="Q2973" s="21" t="str">
        <f>VLOOKUP(tblProductos[[#This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4083</v>
      </c>
      <c r="D2974" s="9" t="s">
        <v>4035</v>
      </c>
      <c r="E2974" s="9" t="s">
        <v>3875</v>
      </c>
      <c r="F2974" s="9">
        <v>5000</v>
      </c>
      <c r="G2974" s="9" t="s">
        <v>3873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3868</v>
      </c>
      <c r="N2974" s="4"/>
      <c r="O2974" s="5"/>
      <c r="P2974" s="10"/>
      <c r="Q2974" s="21" t="str">
        <f>VLOOKUP(tblProductos[[#This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3972</v>
      </c>
      <c r="D2975" s="9" t="s">
        <v>4017</v>
      </c>
      <c r="E2975" s="9"/>
      <c r="F2975" s="9">
        <v>50</v>
      </c>
      <c r="G2975" s="9" t="s">
        <v>3842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3843</v>
      </c>
      <c r="N2975" s="4"/>
      <c r="O2975" s="5"/>
      <c r="P2975" s="10"/>
      <c r="Q2975" s="21" t="str">
        <f>VLOOKUP(tblProductos[[#This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3972</v>
      </c>
      <c r="D2976" s="9" t="s">
        <v>4010</v>
      </c>
      <c r="E2976" s="9"/>
      <c r="F2976" s="9">
        <v>50</v>
      </c>
      <c r="G2976" s="9" t="s">
        <v>3842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3843</v>
      </c>
      <c r="N2976" s="4"/>
      <c r="O2976" s="5"/>
      <c r="P2976" s="10"/>
      <c r="Q2976" s="21" t="str">
        <f>VLOOKUP(tblProductos[[#This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3972</v>
      </c>
      <c r="D2977" s="9" t="s">
        <v>4125</v>
      </c>
      <c r="E2977" s="9"/>
      <c r="F2977" s="9">
        <v>50</v>
      </c>
      <c r="G2977" s="9" t="s">
        <v>3842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3843</v>
      </c>
      <c r="N2977" s="4"/>
      <c r="O2977" s="5"/>
      <c r="P2977" s="10"/>
      <c r="Q2977" s="21" t="str">
        <f>VLOOKUP(tblProductos[[#This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3972</v>
      </c>
      <c r="D2978" s="9" t="s">
        <v>4056</v>
      </c>
      <c r="E2978" s="9"/>
      <c r="F2978" s="9">
        <v>50</v>
      </c>
      <c r="G2978" s="9" t="s">
        <v>3842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3843</v>
      </c>
      <c r="N2978" s="4"/>
      <c r="O2978" s="5"/>
      <c r="P2978" s="10"/>
      <c r="Q2978" s="21" t="str">
        <f>VLOOKUP(tblProductos[[#This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3972</v>
      </c>
      <c r="D2979" s="9" t="s">
        <v>4143</v>
      </c>
      <c r="E2979" s="9"/>
      <c r="F2979" s="9">
        <v>50</v>
      </c>
      <c r="G2979" s="9" t="s">
        <v>3842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3843</v>
      </c>
      <c r="N2979" s="4"/>
      <c r="O2979" s="5"/>
      <c r="P2979" s="10"/>
      <c r="Q2979" s="21" t="str">
        <f>VLOOKUP(tblProductos[[#This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3972</v>
      </c>
      <c r="D2980" s="9" t="s">
        <v>4011</v>
      </c>
      <c r="E2980" s="9"/>
      <c r="F2980" s="9">
        <v>50</v>
      </c>
      <c r="G2980" s="9" t="s">
        <v>3842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3843</v>
      </c>
      <c r="N2980" s="4"/>
      <c r="O2980" s="5"/>
      <c r="P2980" s="10"/>
      <c r="Q2980" s="21" t="str">
        <f>VLOOKUP(tblProductos[[#This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3972</v>
      </c>
      <c r="D2981" s="9" t="s">
        <v>4018</v>
      </c>
      <c r="E2981" s="9"/>
      <c r="F2981" s="9">
        <v>50</v>
      </c>
      <c r="G2981" s="9" t="s">
        <v>3842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3843</v>
      </c>
      <c r="N2981" s="4"/>
      <c r="O2981" s="5"/>
      <c r="P2981" s="10"/>
      <c r="Q2981" s="21" t="str">
        <f>VLOOKUP(tblProductos[[#This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3972</v>
      </c>
      <c r="D2982" s="9" t="s">
        <v>4012</v>
      </c>
      <c r="E2982" s="9"/>
      <c r="F2982" s="9">
        <v>50</v>
      </c>
      <c r="G2982" s="9" t="s">
        <v>3842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3843</v>
      </c>
      <c r="N2982" s="4"/>
      <c r="O2982" s="5"/>
      <c r="P2982" s="10"/>
      <c r="Q2982" s="21" t="str">
        <f>VLOOKUP(tblProductos[[#This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3972</v>
      </c>
      <c r="D2983" s="9" t="s">
        <v>3923</v>
      </c>
      <c r="E2983" s="9"/>
      <c r="F2983" s="9">
        <v>50</v>
      </c>
      <c r="G2983" s="9" t="s">
        <v>3842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3843</v>
      </c>
      <c r="N2983" s="4"/>
      <c r="O2983" s="5"/>
      <c r="P2983" s="10"/>
      <c r="Q2983" s="21" t="str">
        <f>VLOOKUP(tblProductos[[#This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3972</v>
      </c>
      <c r="D2984" s="9" t="s">
        <v>4019</v>
      </c>
      <c r="E2984" s="9"/>
      <c r="F2984" s="9">
        <v>50</v>
      </c>
      <c r="G2984" s="9" t="s">
        <v>3842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3843</v>
      </c>
      <c r="N2984" s="4"/>
      <c r="O2984" s="5"/>
      <c r="P2984" s="10"/>
      <c r="Q2984" s="21" t="str">
        <f>VLOOKUP(tblProductos[[#This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3972</v>
      </c>
      <c r="D2985" s="9" t="s">
        <v>4032</v>
      </c>
      <c r="E2985" s="9"/>
      <c r="F2985" s="9">
        <v>50</v>
      </c>
      <c r="G2985" s="9" t="s">
        <v>3842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3843</v>
      </c>
      <c r="N2985" s="4"/>
      <c r="O2985" s="5"/>
      <c r="P2985" s="10"/>
      <c r="Q2985" s="21" t="str">
        <f>VLOOKUP(tblProductos[[#This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3972</v>
      </c>
      <c r="D2986" s="9" t="s">
        <v>4033</v>
      </c>
      <c r="E2986" s="9"/>
      <c r="F2986" s="9">
        <v>50</v>
      </c>
      <c r="G2986" s="9" t="s">
        <v>3842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3843</v>
      </c>
      <c r="N2986" s="4"/>
      <c r="O2986" s="5"/>
      <c r="P2986" s="10"/>
      <c r="Q2986" s="21" t="str">
        <f>VLOOKUP(tblProductos[[#This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3972</v>
      </c>
      <c r="D2987" s="9" t="s">
        <v>4144</v>
      </c>
      <c r="E2987" s="9"/>
      <c r="F2987" s="9">
        <v>50</v>
      </c>
      <c r="G2987" s="9" t="s">
        <v>3842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3843</v>
      </c>
      <c r="N2987" s="4"/>
      <c r="O2987" s="5"/>
      <c r="P2987" s="10"/>
      <c r="Q2987" s="21" t="str">
        <f>VLOOKUP(tblProductos[[#This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3972</v>
      </c>
      <c r="D2988" s="9" t="s">
        <v>4014</v>
      </c>
      <c r="E2988" s="9"/>
      <c r="F2988" s="9">
        <v>50</v>
      </c>
      <c r="G2988" s="9" t="s">
        <v>3842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3843</v>
      </c>
      <c r="N2988" s="4"/>
      <c r="O2988" s="5"/>
      <c r="P2988" s="10"/>
      <c r="Q2988" s="21" t="str">
        <f>VLOOKUP(tblProductos[[#This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3972</v>
      </c>
      <c r="D2989" s="9" t="s">
        <v>4016</v>
      </c>
      <c r="E2989" s="9"/>
      <c r="F2989" s="9">
        <v>50</v>
      </c>
      <c r="G2989" s="9" t="s">
        <v>3842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3843</v>
      </c>
      <c r="N2989" s="4"/>
      <c r="O2989" s="5"/>
      <c r="P2989" s="10"/>
      <c r="Q2989" s="21" t="str">
        <f>VLOOKUP(tblProductos[[#This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3972</v>
      </c>
      <c r="D2990" s="9" t="s">
        <v>4145</v>
      </c>
      <c r="E2990" s="9"/>
      <c r="F2990" s="9">
        <v>50</v>
      </c>
      <c r="G2990" s="9" t="s">
        <v>3842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3843</v>
      </c>
      <c r="N2990" s="4"/>
      <c r="O2990" s="5"/>
      <c r="P2990" s="10"/>
      <c r="Q2990" s="21" t="str">
        <f>VLOOKUP(tblProductos[[#This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3972</v>
      </c>
      <c r="D2991" s="9" t="s">
        <v>4015</v>
      </c>
      <c r="E2991" s="9"/>
      <c r="F2991" s="9">
        <v>50</v>
      </c>
      <c r="G2991" s="9" t="s">
        <v>3842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3843</v>
      </c>
      <c r="N2991" s="4"/>
      <c r="O2991" s="5"/>
      <c r="P2991" s="10"/>
      <c r="Q2991" s="21" t="str">
        <f>VLOOKUP(tblProductos[[#This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3972</v>
      </c>
      <c r="D2992" s="9" t="s">
        <v>4054</v>
      </c>
      <c r="E2992" s="9"/>
      <c r="F2992" s="9">
        <v>50</v>
      </c>
      <c r="G2992" s="9" t="s">
        <v>3842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3843</v>
      </c>
      <c r="N2992" s="4"/>
      <c r="O2992" s="5"/>
      <c r="P2992" s="10"/>
      <c r="Q2992" s="21" t="str">
        <f>VLOOKUP(tblProductos[[#This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3972</v>
      </c>
      <c r="D2993" s="9" t="s">
        <v>4118</v>
      </c>
      <c r="E2993" s="9"/>
      <c r="F2993" s="9">
        <v>50</v>
      </c>
      <c r="G2993" s="9" t="s">
        <v>3842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3843</v>
      </c>
      <c r="N2993" s="4"/>
      <c r="O2993" s="5"/>
      <c r="P2993" s="10"/>
      <c r="Q2993" s="21" t="str">
        <f>VLOOKUP(tblProductos[[#This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3972</v>
      </c>
      <c r="D2994" s="9" t="s">
        <v>4022</v>
      </c>
      <c r="E2994" s="9"/>
      <c r="F2994" s="9">
        <v>50</v>
      </c>
      <c r="G2994" s="9" t="s">
        <v>3842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3843</v>
      </c>
      <c r="N2994" s="4"/>
      <c r="O2994" s="5"/>
      <c r="P2994" s="10"/>
      <c r="Q2994" s="21" t="str">
        <f>VLOOKUP(tblProductos[[#This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3972</v>
      </c>
      <c r="D2995" s="9" t="s">
        <v>4023</v>
      </c>
      <c r="E2995" s="9"/>
      <c r="F2995" s="9">
        <v>50</v>
      </c>
      <c r="G2995" s="9" t="s">
        <v>3842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3843</v>
      </c>
      <c r="N2995" s="4"/>
      <c r="O2995" s="5"/>
      <c r="P2995" s="10"/>
      <c r="Q2995" s="21" t="str">
        <f>VLOOKUP(tblProductos[[#This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3972</v>
      </c>
      <c r="D2996" s="9" t="s">
        <v>4029</v>
      </c>
      <c r="E2996" s="9"/>
      <c r="F2996" s="9">
        <v>50</v>
      </c>
      <c r="G2996" s="9" t="s">
        <v>3842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3843</v>
      </c>
      <c r="N2996" s="4"/>
      <c r="O2996" s="5"/>
      <c r="P2996" s="10"/>
      <c r="Q2996" s="21" t="str">
        <f>VLOOKUP(tblProductos[[#This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3114</v>
      </c>
      <c r="D2997" s="9" t="s">
        <v>4017</v>
      </c>
      <c r="E2997" s="9"/>
      <c r="F2997" s="9">
        <v>100</v>
      </c>
      <c r="G2997" s="9" t="s">
        <v>3842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3843</v>
      </c>
      <c r="N2997" s="4"/>
      <c r="O2997" s="5"/>
      <c r="P2997" s="10"/>
      <c r="Q2997" s="21" t="str">
        <f>VLOOKUP(tblProductos[[#This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3114</v>
      </c>
      <c r="D2998" s="9" t="s">
        <v>4010</v>
      </c>
      <c r="E2998" s="9"/>
      <c r="F2998" s="9">
        <v>100</v>
      </c>
      <c r="G2998" s="9" t="s">
        <v>3842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3843</v>
      </c>
      <c r="N2998" s="4"/>
      <c r="O2998" s="5"/>
      <c r="P2998" s="10"/>
      <c r="Q2998" s="21" t="str">
        <f>VLOOKUP(tblProductos[[#This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3114</v>
      </c>
      <c r="D2999" s="9" t="s">
        <v>4125</v>
      </c>
      <c r="E2999" s="9"/>
      <c r="F2999" s="9">
        <v>100</v>
      </c>
      <c r="G2999" s="9" t="s">
        <v>3842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3843</v>
      </c>
      <c r="N2999" s="4"/>
      <c r="O2999" s="5"/>
      <c r="P2999" s="10"/>
      <c r="Q2999" s="21" t="str">
        <f>VLOOKUP(tblProductos[[#This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3114</v>
      </c>
      <c r="D3000" s="9" t="s">
        <v>4056</v>
      </c>
      <c r="E3000" s="9"/>
      <c r="F3000" s="9">
        <v>100</v>
      </c>
      <c r="G3000" s="9" t="s">
        <v>3842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3843</v>
      </c>
      <c r="N3000" s="4"/>
      <c r="O3000" s="5"/>
      <c r="P3000" s="10"/>
      <c r="Q3000" s="21" t="str">
        <f>VLOOKUP(tblProductos[[#This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3114</v>
      </c>
      <c r="D3001" s="9" t="s">
        <v>4006</v>
      </c>
      <c r="E3001" s="9"/>
      <c r="F3001" s="9">
        <v>100</v>
      </c>
      <c r="G3001" s="9" t="s">
        <v>3842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3843</v>
      </c>
      <c r="N3001" s="4"/>
      <c r="O3001" s="5"/>
      <c r="P3001" s="10"/>
      <c r="Q3001" s="21" t="str">
        <f>VLOOKUP(tblProductos[[#This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3114</v>
      </c>
      <c r="D3002" s="9" t="s">
        <v>4143</v>
      </c>
      <c r="E3002" s="9"/>
      <c r="F3002" s="9">
        <v>100</v>
      </c>
      <c r="G3002" s="9" t="s">
        <v>3842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3843</v>
      </c>
      <c r="N3002" s="4"/>
      <c r="O3002" s="5"/>
      <c r="P3002" s="10"/>
      <c r="Q3002" s="21" t="str">
        <f>VLOOKUP(tblProductos[[#This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3114</v>
      </c>
      <c r="D3003" s="9" t="s">
        <v>4031</v>
      </c>
      <c r="E3003" s="9"/>
      <c r="F3003" s="9">
        <v>100</v>
      </c>
      <c r="G3003" s="9" t="s">
        <v>3842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3843</v>
      </c>
      <c r="N3003" s="4"/>
      <c r="O3003" s="5"/>
      <c r="P3003" s="10"/>
      <c r="Q3003" s="21" t="str">
        <f>VLOOKUP(tblProductos[[#This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3114</v>
      </c>
      <c r="D3004" s="9" t="s">
        <v>4011</v>
      </c>
      <c r="E3004" s="9"/>
      <c r="F3004" s="9">
        <v>100</v>
      </c>
      <c r="G3004" s="9" t="s">
        <v>3842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3843</v>
      </c>
      <c r="N3004" s="4"/>
      <c r="O3004" s="5"/>
      <c r="P3004" s="10"/>
      <c r="Q3004" s="21" t="str">
        <f>VLOOKUP(tblProductos[[#This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3114</v>
      </c>
      <c r="D3005" s="9" t="s">
        <v>4030</v>
      </c>
      <c r="E3005" s="9"/>
      <c r="F3005" s="9">
        <v>100</v>
      </c>
      <c r="G3005" s="9" t="s">
        <v>3842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3843</v>
      </c>
      <c r="N3005" s="4"/>
      <c r="O3005" s="5"/>
      <c r="P3005" s="10"/>
      <c r="Q3005" s="21" t="str">
        <f>VLOOKUP(tblProductos[[#This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3114</v>
      </c>
      <c r="D3006" s="9" t="s">
        <v>4018</v>
      </c>
      <c r="E3006" s="9"/>
      <c r="F3006" s="9">
        <v>100</v>
      </c>
      <c r="G3006" s="9" t="s">
        <v>3842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3843</v>
      </c>
      <c r="N3006" s="4"/>
      <c r="O3006" s="5"/>
      <c r="P3006" s="10"/>
      <c r="Q3006" s="21" t="str">
        <f>VLOOKUP(tblProductos[[#This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3114</v>
      </c>
      <c r="D3007" s="9" t="s">
        <v>4009</v>
      </c>
      <c r="E3007" s="9"/>
      <c r="F3007" s="9">
        <v>100</v>
      </c>
      <c r="G3007" s="9" t="s">
        <v>3842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3843</v>
      </c>
      <c r="N3007" s="4"/>
      <c r="O3007" s="5"/>
      <c r="P3007" s="10"/>
      <c r="Q3007" s="21" t="str">
        <f>VLOOKUP(tblProductos[[#This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3114</v>
      </c>
      <c r="D3008" s="9" t="s">
        <v>4012</v>
      </c>
      <c r="E3008" s="9"/>
      <c r="F3008" s="9">
        <v>100</v>
      </c>
      <c r="G3008" s="9" t="s">
        <v>3842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3843</v>
      </c>
      <c r="N3008" s="4"/>
      <c r="O3008" s="5"/>
      <c r="P3008" s="10"/>
      <c r="Q3008" s="21" t="str">
        <f>VLOOKUP(tblProductos[[#This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3114</v>
      </c>
      <c r="D3009" s="9" t="s">
        <v>4013</v>
      </c>
      <c r="E3009" s="9"/>
      <c r="F3009" s="9">
        <v>100</v>
      </c>
      <c r="G3009" s="9" t="s">
        <v>3842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3843</v>
      </c>
      <c r="N3009" s="4"/>
      <c r="O3009" s="5"/>
      <c r="P3009" s="10"/>
      <c r="Q3009" s="21" t="str">
        <f>VLOOKUP(tblProductos[[#This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3114</v>
      </c>
      <c r="D3010" s="9" t="s">
        <v>4019</v>
      </c>
      <c r="E3010" s="9"/>
      <c r="F3010" s="9">
        <v>100</v>
      </c>
      <c r="G3010" s="9" t="s">
        <v>3842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3843</v>
      </c>
      <c r="N3010" s="4"/>
      <c r="O3010" s="5"/>
      <c r="P3010" s="10"/>
      <c r="Q3010" s="21" t="str">
        <f>VLOOKUP(tblProductos[[#This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3114</v>
      </c>
      <c r="D3011" s="9" t="s">
        <v>4032</v>
      </c>
      <c r="E3011" s="9"/>
      <c r="F3011" s="9">
        <v>100</v>
      </c>
      <c r="G3011" s="9" t="s">
        <v>3842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3843</v>
      </c>
      <c r="N3011" s="4"/>
      <c r="O3011" s="5"/>
      <c r="P3011" s="10"/>
      <c r="Q3011" s="21" t="str">
        <f>VLOOKUP(tblProductos[[#This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3114</v>
      </c>
      <c r="D3012" s="9" t="s">
        <v>4007</v>
      </c>
      <c r="E3012" s="9"/>
      <c r="F3012" s="9">
        <v>100</v>
      </c>
      <c r="G3012" s="9" t="s">
        <v>3842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3843</v>
      </c>
      <c r="N3012" s="4"/>
      <c r="O3012" s="5"/>
      <c r="P3012" s="10"/>
      <c r="Q3012" s="21" t="str">
        <f>VLOOKUP(tblProductos[[#This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3114</v>
      </c>
      <c r="D3013" s="9" t="s">
        <v>3888</v>
      </c>
      <c r="E3013" s="9"/>
      <c r="F3013" s="9">
        <v>100</v>
      </c>
      <c r="G3013" s="9" t="s">
        <v>3842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3843</v>
      </c>
      <c r="N3013" s="4"/>
      <c r="O3013" s="5"/>
      <c r="P3013" s="10"/>
      <c r="Q3013" s="21" t="str">
        <f>VLOOKUP(tblProductos[[#This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3114</v>
      </c>
      <c r="D3014" s="9" t="s">
        <v>4033</v>
      </c>
      <c r="E3014" s="9"/>
      <c r="F3014" s="9">
        <v>100</v>
      </c>
      <c r="G3014" s="9" t="s">
        <v>3842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3843</v>
      </c>
      <c r="N3014" s="4"/>
      <c r="O3014" s="5"/>
      <c r="P3014" s="10"/>
      <c r="Q3014" s="21" t="str">
        <f>VLOOKUP(tblProductos[[#This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3114</v>
      </c>
      <c r="D3015" s="9" t="s">
        <v>4144</v>
      </c>
      <c r="E3015" s="9"/>
      <c r="F3015" s="9">
        <v>100</v>
      </c>
      <c r="G3015" s="9" t="s">
        <v>3842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3843</v>
      </c>
      <c r="N3015" s="4"/>
      <c r="O3015" s="5"/>
      <c r="P3015" s="10"/>
      <c r="Q3015" s="21" t="str">
        <f>VLOOKUP(tblProductos[[#This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3114</v>
      </c>
      <c r="D3016" s="9" t="s">
        <v>4014</v>
      </c>
      <c r="E3016" s="9"/>
      <c r="F3016" s="9">
        <v>100</v>
      </c>
      <c r="G3016" s="9" t="s">
        <v>3842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3843</v>
      </c>
      <c r="N3016" s="4"/>
      <c r="O3016" s="5"/>
      <c r="P3016" s="10"/>
      <c r="Q3016" s="21" t="str">
        <f>VLOOKUP(tblProductos[[#This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3114</v>
      </c>
      <c r="D3017" s="9" t="s">
        <v>4008</v>
      </c>
      <c r="E3017" s="9"/>
      <c r="F3017" s="9">
        <v>100</v>
      </c>
      <c r="G3017" s="9" t="s">
        <v>3842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3843</v>
      </c>
      <c r="N3017" s="4"/>
      <c r="O3017" s="5"/>
      <c r="P3017" s="10"/>
      <c r="Q3017" s="21" t="str">
        <f>VLOOKUP(tblProductos[[#This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3114</v>
      </c>
      <c r="D3018" s="9" t="s">
        <v>4020</v>
      </c>
      <c r="E3018" s="9"/>
      <c r="F3018" s="9">
        <v>100</v>
      </c>
      <c r="G3018" s="9" t="s">
        <v>3842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3843</v>
      </c>
      <c r="N3018" s="4"/>
      <c r="O3018" s="5"/>
      <c r="P3018" s="10"/>
      <c r="Q3018" s="21" t="str">
        <f>VLOOKUP(tblProductos[[#This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3114</v>
      </c>
      <c r="D3019" s="9" t="s">
        <v>4016</v>
      </c>
      <c r="E3019" s="9"/>
      <c r="F3019" s="9">
        <v>100</v>
      </c>
      <c r="G3019" s="9" t="s">
        <v>3842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3843</v>
      </c>
      <c r="N3019" s="4"/>
      <c r="O3019" s="5"/>
      <c r="P3019" s="10"/>
      <c r="Q3019" s="21" t="str">
        <f>VLOOKUP(tblProductos[[#This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3114</v>
      </c>
      <c r="D3020" s="9" t="s">
        <v>4145</v>
      </c>
      <c r="E3020" s="9"/>
      <c r="F3020" s="9">
        <v>100</v>
      </c>
      <c r="G3020" s="9" t="s">
        <v>3842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3843</v>
      </c>
      <c r="N3020" s="4"/>
      <c r="O3020" s="5"/>
      <c r="P3020" s="10"/>
      <c r="Q3020" s="21" t="str">
        <f>VLOOKUP(tblProductos[[#This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3114</v>
      </c>
      <c r="D3021" s="9" t="s">
        <v>4015</v>
      </c>
      <c r="E3021" s="9"/>
      <c r="F3021" s="9">
        <v>100</v>
      </c>
      <c r="G3021" s="9" t="s">
        <v>3842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3843</v>
      </c>
      <c r="N3021" s="4"/>
      <c r="O3021" s="5"/>
      <c r="P3021" s="10"/>
      <c r="Q3021" s="21" t="str">
        <f>VLOOKUP(tblProductos[[#This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3114</v>
      </c>
      <c r="D3022" s="9" t="s">
        <v>4054</v>
      </c>
      <c r="E3022" s="9"/>
      <c r="F3022" s="9">
        <v>100</v>
      </c>
      <c r="G3022" s="9" t="s">
        <v>3842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3843</v>
      </c>
      <c r="N3022" s="4"/>
      <c r="O3022" s="5"/>
      <c r="P3022" s="10"/>
      <c r="Q3022" s="21" t="str">
        <f>VLOOKUP(tblProductos[[#This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3114</v>
      </c>
      <c r="D3023" s="9" t="s">
        <v>4118</v>
      </c>
      <c r="E3023" s="9"/>
      <c r="F3023" s="9">
        <v>100</v>
      </c>
      <c r="G3023" s="9" t="s">
        <v>3842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3843</v>
      </c>
      <c r="N3023" s="4"/>
      <c r="O3023" s="5"/>
      <c r="P3023" s="10"/>
      <c r="Q3023" s="21" t="str">
        <f>VLOOKUP(tblProductos[[#This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3114</v>
      </c>
      <c r="D3024" s="9" t="s">
        <v>4022</v>
      </c>
      <c r="E3024" s="9"/>
      <c r="F3024" s="9">
        <v>100</v>
      </c>
      <c r="G3024" s="9" t="s">
        <v>3842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3843</v>
      </c>
      <c r="N3024" s="4"/>
      <c r="O3024" s="5"/>
      <c r="P3024" s="10"/>
      <c r="Q3024" s="21" t="str">
        <f>VLOOKUP(tblProductos[[#This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3114</v>
      </c>
      <c r="D3025" s="9" t="s">
        <v>3919</v>
      </c>
      <c r="E3025" s="9"/>
      <c r="F3025" s="9">
        <v>100</v>
      </c>
      <c r="G3025" s="9" t="s">
        <v>3842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3843</v>
      </c>
      <c r="N3025" s="4"/>
      <c r="O3025" s="5"/>
      <c r="P3025" s="10"/>
      <c r="Q3025" s="21" t="str">
        <f>VLOOKUP(tblProductos[[#This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3114</v>
      </c>
      <c r="D3026" s="9" t="s">
        <v>4023</v>
      </c>
      <c r="E3026" s="9"/>
      <c r="F3026" s="9">
        <v>100</v>
      </c>
      <c r="G3026" s="9" t="s">
        <v>3842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3843</v>
      </c>
      <c r="N3026" s="4"/>
      <c r="O3026" s="5"/>
      <c r="P3026" s="10"/>
      <c r="Q3026" s="21" t="str">
        <f>VLOOKUP(tblProductos[[#This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3114</v>
      </c>
      <c r="D3027" s="9" t="s">
        <v>4029</v>
      </c>
      <c r="E3027" s="9"/>
      <c r="F3027" s="9">
        <v>100</v>
      </c>
      <c r="G3027" s="9" t="s">
        <v>3842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3843</v>
      </c>
      <c r="N3027" s="4"/>
      <c r="O3027" s="5"/>
      <c r="P3027" s="10"/>
      <c r="Q3027" s="21" t="str">
        <f>VLOOKUP(tblProductos[[#This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3114</v>
      </c>
      <c r="D3028" s="9" t="s">
        <v>4024</v>
      </c>
      <c r="E3028" s="9"/>
      <c r="F3028" s="9">
        <v>100</v>
      </c>
      <c r="G3028" s="9" t="s">
        <v>3842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3843</v>
      </c>
      <c r="N3028" s="4"/>
      <c r="O3028" s="5"/>
      <c r="P3028" s="10"/>
      <c r="Q3028" s="21" t="str">
        <f>VLOOKUP(tblProductos[[#This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3114</v>
      </c>
      <c r="D3029" s="9" t="s">
        <v>4034</v>
      </c>
      <c r="E3029" s="9"/>
      <c r="F3029" s="9">
        <v>100</v>
      </c>
      <c r="G3029" s="9" t="s">
        <v>3842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3843</v>
      </c>
      <c r="N3029" s="4"/>
      <c r="O3029" s="5"/>
      <c r="P3029" s="10"/>
      <c r="Q3029" s="21" t="str">
        <f>VLOOKUP(tblProductos[[#This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3114</v>
      </c>
      <c r="D3030" s="9" t="s">
        <v>4035</v>
      </c>
      <c r="E3030" s="9"/>
      <c r="F3030" s="9">
        <v>100</v>
      </c>
      <c r="G3030" s="9" t="s">
        <v>3842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3843</v>
      </c>
      <c r="N3030" s="4"/>
      <c r="O3030" s="5"/>
      <c r="P3030" s="10"/>
      <c r="Q3030" s="21" t="str">
        <f>VLOOKUP(tblProductos[[#This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3114</v>
      </c>
      <c r="D3031" s="9" t="s">
        <v>4017</v>
      </c>
      <c r="E3031" s="9"/>
      <c r="F3031" s="9">
        <v>100</v>
      </c>
      <c r="G3031" s="9" t="s">
        <v>3842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3843</v>
      </c>
      <c r="N3031" s="4"/>
      <c r="O3031" s="5"/>
      <c r="P3031" s="10"/>
      <c r="Q3031" s="21" t="str">
        <f>VLOOKUP(tblProductos[[#This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3114</v>
      </c>
      <c r="D3032" s="9" t="s">
        <v>4125</v>
      </c>
      <c r="E3032" s="9"/>
      <c r="F3032" s="9">
        <v>100</v>
      </c>
      <c r="G3032" s="9" t="s">
        <v>3842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3843</v>
      </c>
      <c r="N3032" s="4"/>
      <c r="O3032" s="5"/>
      <c r="P3032" s="10"/>
      <c r="Q3032" s="21" t="str">
        <f>VLOOKUP(tblProductos[[#This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3114</v>
      </c>
      <c r="D3033" s="9" t="s">
        <v>4056</v>
      </c>
      <c r="E3033" s="9"/>
      <c r="F3033" s="9">
        <v>100</v>
      </c>
      <c r="G3033" s="9" t="s">
        <v>3842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3843</v>
      </c>
      <c r="N3033" s="4"/>
      <c r="O3033" s="5"/>
      <c r="P3033" s="10"/>
      <c r="Q3033" s="21" t="str">
        <f>VLOOKUP(tblProductos[[#This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3114</v>
      </c>
      <c r="D3034" s="9" t="s">
        <v>4143</v>
      </c>
      <c r="E3034" s="9"/>
      <c r="F3034" s="9">
        <v>100</v>
      </c>
      <c r="G3034" s="9" t="s">
        <v>3842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3843</v>
      </c>
      <c r="N3034" s="4"/>
      <c r="O3034" s="5"/>
      <c r="P3034" s="10"/>
      <c r="Q3034" s="21" t="str">
        <f>VLOOKUP(tblProductos[[#This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3114</v>
      </c>
      <c r="D3035" s="9" t="s">
        <v>4031</v>
      </c>
      <c r="E3035" s="9"/>
      <c r="F3035" s="9">
        <v>100</v>
      </c>
      <c r="G3035" s="9" t="s">
        <v>3842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3843</v>
      </c>
      <c r="N3035" s="4"/>
      <c r="O3035" s="5"/>
      <c r="P3035" s="10"/>
      <c r="Q3035" s="21" t="str">
        <f>VLOOKUP(tblProductos[[#This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3114</v>
      </c>
      <c r="D3036" s="9" t="s">
        <v>4030</v>
      </c>
      <c r="E3036" s="9"/>
      <c r="F3036" s="9">
        <v>100</v>
      </c>
      <c r="G3036" s="9" t="s">
        <v>3842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3843</v>
      </c>
      <c r="N3036" s="4"/>
      <c r="O3036" s="5"/>
      <c r="P3036" s="10"/>
      <c r="Q3036" s="21" t="str">
        <f>VLOOKUP(tblProductos[[#This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3114</v>
      </c>
      <c r="D3037" s="9" t="s">
        <v>4018</v>
      </c>
      <c r="E3037" s="9"/>
      <c r="F3037" s="9">
        <v>100</v>
      </c>
      <c r="G3037" s="9" t="s">
        <v>3842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3843</v>
      </c>
      <c r="N3037" s="4"/>
      <c r="O3037" s="5"/>
      <c r="P3037" s="10"/>
      <c r="Q3037" s="21" t="str">
        <f>VLOOKUP(tblProductos[[#This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3114</v>
      </c>
      <c r="D3038" s="9" t="s">
        <v>4012</v>
      </c>
      <c r="E3038" s="9"/>
      <c r="F3038" s="9">
        <v>100</v>
      </c>
      <c r="G3038" s="9" t="s">
        <v>3842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3843</v>
      </c>
      <c r="N3038" s="4"/>
      <c r="O3038" s="5"/>
      <c r="P3038" s="10"/>
      <c r="Q3038" s="21" t="str">
        <f>VLOOKUP(tblProductos[[#This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3114</v>
      </c>
      <c r="D3039" s="9" t="s">
        <v>4013</v>
      </c>
      <c r="E3039" s="9"/>
      <c r="F3039" s="9">
        <v>100</v>
      </c>
      <c r="G3039" s="9" t="s">
        <v>3842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3843</v>
      </c>
      <c r="N3039" s="4"/>
      <c r="O3039" s="5"/>
      <c r="P3039" s="10"/>
      <c r="Q3039" s="21" t="str">
        <f>VLOOKUP(tblProductos[[#This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3114</v>
      </c>
      <c r="D3040" s="9" t="s">
        <v>4032</v>
      </c>
      <c r="E3040" s="9"/>
      <c r="F3040" s="9">
        <v>100</v>
      </c>
      <c r="G3040" s="9" t="s">
        <v>3842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3843</v>
      </c>
      <c r="N3040" s="4"/>
      <c r="O3040" s="5"/>
      <c r="P3040" s="10"/>
      <c r="Q3040" s="21" t="str">
        <f>VLOOKUP(tblProductos[[#This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3114</v>
      </c>
      <c r="D3041" s="9" t="s">
        <v>4033</v>
      </c>
      <c r="E3041" s="9"/>
      <c r="F3041" s="9">
        <v>100</v>
      </c>
      <c r="G3041" s="9" t="s">
        <v>3842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3843</v>
      </c>
      <c r="N3041" s="4"/>
      <c r="O3041" s="5"/>
      <c r="P3041" s="10"/>
      <c r="Q3041" s="21" t="str">
        <f>VLOOKUP(tblProductos[[#This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3114</v>
      </c>
      <c r="D3042" s="9" t="s">
        <v>4144</v>
      </c>
      <c r="E3042" s="9"/>
      <c r="F3042" s="9">
        <v>100</v>
      </c>
      <c r="G3042" s="9" t="s">
        <v>3842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3843</v>
      </c>
      <c r="N3042" s="4"/>
      <c r="O3042" s="5"/>
      <c r="P3042" s="10"/>
      <c r="Q3042" s="21" t="str">
        <f>VLOOKUP(tblProductos[[#This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3114</v>
      </c>
      <c r="D3043" s="9" t="s">
        <v>4020</v>
      </c>
      <c r="E3043" s="9"/>
      <c r="F3043" s="9">
        <v>100</v>
      </c>
      <c r="G3043" s="9" t="s">
        <v>3842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3843</v>
      </c>
      <c r="N3043" s="4"/>
      <c r="O3043" s="5"/>
      <c r="P3043" s="10"/>
      <c r="Q3043" s="21" t="str">
        <f>VLOOKUP(tblProductos[[#This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3114</v>
      </c>
      <c r="D3044" s="9" t="s">
        <v>4145</v>
      </c>
      <c r="E3044" s="9"/>
      <c r="F3044" s="9">
        <v>100</v>
      </c>
      <c r="G3044" s="9" t="s">
        <v>3842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3843</v>
      </c>
      <c r="N3044" s="4"/>
      <c r="O3044" s="5"/>
      <c r="P3044" s="10"/>
      <c r="Q3044" s="21" t="str">
        <f>VLOOKUP(tblProductos[[#This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3114</v>
      </c>
      <c r="D3045" s="9" t="s">
        <v>4015</v>
      </c>
      <c r="E3045" s="9"/>
      <c r="F3045" s="9">
        <v>100</v>
      </c>
      <c r="G3045" s="9" t="s">
        <v>3842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3843</v>
      </c>
      <c r="N3045" s="4"/>
      <c r="O3045" s="5"/>
      <c r="P3045" s="10"/>
      <c r="Q3045" s="21" t="str">
        <f>VLOOKUP(tblProductos[[#This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3114</v>
      </c>
      <c r="D3046" s="9" t="s">
        <v>4054</v>
      </c>
      <c r="E3046" s="9"/>
      <c r="F3046" s="9">
        <v>100</v>
      </c>
      <c r="G3046" s="9" t="s">
        <v>3842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3843</v>
      </c>
      <c r="N3046" s="4"/>
      <c r="O3046" s="5"/>
      <c r="P3046" s="10"/>
      <c r="Q3046" s="21" t="str">
        <f>VLOOKUP(tblProductos[[#This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3114</v>
      </c>
      <c r="D3047" s="9" t="s">
        <v>4118</v>
      </c>
      <c r="E3047" s="9"/>
      <c r="F3047" s="9">
        <v>100</v>
      </c>
      <c r="G3047" s="9" t="s">
        <v>3842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3843</v>
      </c>
      <c r="N3047" s="4"/>
      <c r="O3047" s="5"/>
      <c r="P3047" s="10"/>
      <c r="Q3047" s="21" t="str">
        <f>VLOOKUP(tblProductos[[#This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3114</v>
      </c>
      <c r="D3048" s="9" t="s">
        <v>4022</v>
      </c>
      <c r="E3048" s="9"/>
      <c r="F3048" s="9">
        <v>100</v>
      </c>
      <c r="G3048" s="9" t="s">
        <v>3842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3843</v>
      </c>
      <c r="N3048" s="4"/>
      <c r="O3048" s="5"/>
      <c r="P3048" s="10"/>
      <c r="Q3048" s="21" t="str">
        <f>VLOOKUP(tblProductos[[#This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3114</v>
      </c>
      <c r="D3049" s="9" t="s">
        <v>4023</v>
      </c>
      <c r="E3049" s="9"/>
      <c r="F3049" s="9">
        <v>100</v>
      </c>
      <c r="G3049" s="9" t="s">
        <v>3842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3843</v>
      </c>
      <c r="N3049" s="4"/>
      <c r="O3049" s="5"/>
      <c r="P3049" s="10"/>
      <c r="Q3049" s="21" t="str">
        <f>VLOOKUP(tblProductos[[#This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3114</v>
      </c>
      <c r="D3050" s="9" t="s">
        <v>4024</v>
      </c>
      <c r="E3050" s="9"/>
      <c r="F3050" s="9">
        <v>100</v>
      </c>
      <c r="G3050" s="9" t="s">
        <v>3842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3843</v>
      </c>
      <c r="N3050" s="4"/>
      <c r="O3050" s="5"/>
      <c r="P3050" s="10"/>
      <c r="Q3050" s="21" t="str">
        <f>VLOOKUP(tblProductos[[#This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3114</v>
      </c>
      <c r="D3051" s="9" t="s">
        <v>4034</v>
      </c>
      <c r="E3051" s="9"/>
      <c r="F3051" s="9">
        <v>100</v>
      </c>
      <c r="G3051" s="9" t="s">
        <v>3842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3843</v>
      </c>
      <c r="N3051" s="4"/>
      <c r="O3051" s="5"/>
      <c r="P3051" s="10"/>
      <c r="Q3051" s="21" t="str">
        <f>VLOOKUP(tblProductos[[#This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3114</v>
      </c>
      <c r="D3052" s="9" t="s">
        <v>4035</v>
      </c>
      <c r="E3052" s="9"/>
      <c r="F3052" s="9">
        <v>100</v>
      </c>
      <c r="G3052" s="9" t="s">
        <v>3842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3843</v>
      </c>
      <c r="N3052" s="4"/>
      <c r="O3052" s="5"/>
      <c r="P3052" s="10"/>
      <c r="Q3052" s="21" t="str">
        <f>VLOOKUP(tblProductos[[#This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3984</v>
      </c>
      <c r="D3053" s="9" t="s">
        <v>4017</v>
      </c>
      <c r="E3053" s="9"/>
      <c r="F3053" s="9">
        <v>100</v>
      </c>
      <c r="G3053" s="9" t="s">
        <v>3842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3843</v>
      </c>
      <c r="N3053" s="4"/>
      <c r="O3053" s="5"/>
      <c r="P3053" s="10"/>
      <c r="Q3053" s="21" t="str">
        <f>VLOOKUP(tblProductos[[#This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3984</v>
      </c>
      <c r="D3054" s="9" t="s">
        <v>4010</v>
      </c>
      <c r="E3054" s="9"/>
      <c r="F3054" s="9">
        <v>100</v>
      </c>
      <c r="G3054" s="9" t="s">
        <v>3842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3843</v>
      </c>
      <c r="N3054" s="4"/>
      <c r="O3054" s="5"/>
      <c r="P3054" s="10"/>
      <c r="Q3054" s="21" t="str">
        <f>VLOOKUP(tblProductos[[#This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3984</v>
      </c>
      <c r="D3055" s="9" t="s">
        <v>4125</v>
      </c>
      <c r="E3055" s="9"/>
      <c r="F3055" s="9">
        <v>100</v>
      </c>
      <c r="G3055" s="9" t="s">
        <v>3842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3843</v>
      </c>
      <c r="N3055" s="4"/>
      <c r="O3055" s="5"/>
      <c r="P3055" s="10"/>
      <c r="Q3055" s="21" t="str">
        <f>VLOOKUP(tblProductos[[#This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3984</v>
      </c>
      <c r="D3056" s="9" t="s">
        <v>4056</v>
      </c>
      <c r="E3056" s="9"/>
      <c r="F3056" s="9">
        <v>100</v>
      </c>
      <c r="G3056" s="9" t="s">
        <v>3842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3843</v>
      </c>
      <c r="N3056" s="4"/>
      <c r="O3056" s="5"/>
      <c r="P3056" s="10"/>
      <c r="Q3056" s="21" t="str">
        <f>VLOOKUP(tblProductos[[#This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3984</v>
      </c>
      <c r="D3057" s="9" t="s">
        <v>4006</v>
      </c>
      <c r="E3057" s="9"/>
      <c r="F3057" s="9">
        <v>100</v>
      </c>
      <c r="G3057" s="9" t="s">
        <v>3842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3843</v>
      </c>
      <c r="N3057" s="4"/>
      <c r="O3057" s="5"/>
      <c r="P3057" s="10"/>
      <c r="Q3057" s="21" t="str">
        <f>VLOOKUP(tblProductos[[#This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3984</v>
      </c>
      <c r="D3058" s="9" t="s">
        <v>4143</v>
      </c>
      <c r="E3058" s="9"/>
      <c r="F3058" s="9">
        <v>100</v>
      </c>
      <c r="G3058" s="9" t="s">
        <v>3842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3843</v>
      </c>
      <c r="N3058" s="4"/>
      <c r="O3058" s="5"/>
      <c r="P3058" s="10"/>
      <c r="Q3058" s="21" t="str">
        <f>VLOOKUP(tblProductos[[#This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3984</v>
      </c>
      <c r="D3059" s="9" t="s">
        <v>4031</v>
      </c>
      <c r="E3059" s="9"/>
      <c r="F3059" s="9">
        <v>100</v>
      </c>
      <c r="G3059" s="9" t="s">
        <v>3842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3843</v>
      </c>
      <c r="N3059" s="4"/>
      <c r="O3059" s="5"/>
      <c r="P3059" s="10"/>
      <c r="Q3059" s="21" t="str">
        <f>VLOOKUP(tblProductos[[#This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3984</v>
      </c>
      <c r="D3060" s="9" t="s">
        <v>4011</v>
      </c>
      <c r="E3060" s="9"/>
      <c r="F3060" s="9">
        <v>100</v>
      </c>
      <c r="G3060" s="9" t="s">
        <v>3842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3843</v>
      </c>
      <c r="N3060" s="4"/>
      <c r="O3060" s="5"/>
      <c r="P3060" s="10"/>
      <c r="Q3060" s="21" t="str">
        <f>VLOOKUP(tblProductos[[#This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3984</v>
      </c>
      <c r="D3061" s="9" t="s">
        <v>4030</v>
      </c>
      <c r="E3061" s="9"/>
      <c r="F3061" s="9">
        <v>100</v>
      </c>
      <c r="G3061" s="9" t="s">
        <v>3842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3843</v>
      </c>
      <c r="N3061" s="4"/>
      <c r="O3061" s="5"/>
      <c r="P3061" s="10"/>
      <c r="Q3061" s="21" t="str">
        <f>VLOOKUP(tblProductos[[#This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3984</v>
      </c>
      <c r="D3062" s="9" t="s">
        <v>4018</v>
      </c>
      <c r="E3062" s="9"/>
      <c r="F3062" s="9">
        <v>100</v>
      </c>
      <c r="G3062" s="9" t="s">
        <v>3842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3843</v>
      </c>
      <c r="N3062" s="4"/>
      <c r="O3062" s="5"/>
      <c r="P3062" s="10"/>
      <c r="Q3062" s="21" t="str">
        <f>VLOOKUP(tblProductos[[#This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3984</v>
      </c>
      <c r="D3063" s="9" t="s">
        <v>4009</v>
      </c>
      <c r="E3063" s="9"/>
      <c r="F3063" s="9">
        <v>100</v>
      </c>
      <c r="G3063" s="9" t="s">
        <v>3842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3843</v>
      </c>
      <c r="N3063" s="4"/>
      <c r="O3063" s="5"/>
      <c r="P3063" s="10"/>
      <c r="Q3063" s="21" t="str">
        <f>VLOOKUP(tblProductos[[#This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3984</v>
      </c>
      <c r="D3064" s="9" t="s">
        <v>4012</v>
      </c>
      <c r="E3064" s="9"/>
      <c r="F3064" s="9">
        <v>100</v>
      </c>
      <c r="G3064" s="9" t="s">
        <v>3842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3843</v>
      </c>
      <c r="N3064" s="4"/>
      <c r="O3064" s="5"/>
      <c r="P3064" s="10"/>
      <c r="Q3064" s="21" t="str">
        <f>VLOOKUP(tblProductos[[#This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3984</v>
      </c>
      <c r="D3065" s="9" t="s">
        <v>4013</v>
      </c>
      <c r="E3065" s="9"/>
      <c r="F3065" s="9">
        <v>100</v>
      </c>
      <c r="G3065" s="9" t="s">
        <v>3842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3843</v>
      </c>
      <c r="N3065" s="4"/>
      <c r="O3065" s="5"/>
      <c r="P3065" s="10"/>
      <c r="Q3065" s="21" t="str">
        <f>VLOOKUP(tblProductos[[#This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3984</v>
      </c>
      <c r="D3066" s="9" t="s">
        <v>3923</v>
      </c>
      <c r="E3066" s="9"/>
      <c r="F3066" s="9">
        <v>100</v>
      </c>
      <c r="G3066" s="9" t="s">
        <v>3842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3843</v>
      </c>
      <c r="N3066" s="4"/>
      <c r="O3066" s="5"/>
      <c r="P3066" s="10"/>
      <c r="Q3066" s="21" t="str">
        <f>VLOOKUP(tblProductos[[#This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3984</v>
      </c>
      <c r="D3067" s="9" t="s">
        <v>4019</v>
      </c>
      <c r="E3067" s="9"/>
      <c r="F3067" s="9">
        <v>100</v>
      </c>
      <c r="G3067" s="9" t="s">
        <v>3842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3843</v>
      </c>
      <c r="N3067" s="4"/>
      <c r="O3067" s="5"/>
      <c r="P3067" s="10"/>
      <c r="Q3067" s="21" t="str">
        <f>VLOOKUP(tblProductos[[#This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3984</v>
      </c>
      <c r="D3068" s="9" t="s">
        <v>4032</v>
      </c>
      <c r="E3068" s="9"/>
      <c r="F3068" s="9">
        <v>100</v>
      </c>
      <c r="G3068" s="9" t="s">
        <v>3842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3843</v>
      </c>
      <c r="N3068" s="4"/>
      <c r="O3068" s="5"/>
      <c r="P3068" s="10"/>
      <c r="Q3068" s="21" t="str">
        <f>VLOOKUP(tblProductos[[#This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3984</v>
      </c>
      <c r="D3069" s="9" t="s">
        <v>4007</v>
      </c>
      <c r="E3069" s="9"/>
      <c r="F3069" s="9">
        <v>100</v>
      </c>
      <c r="G3069" s="9" t="s">
        <v>3842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3843</v>
      </c>
      <c r="N3069" s="4"/>
      <c r="O3069" s="5"/>
      <c r="P3069" s="10"/>
      <c r="Q3069" s="21" t="str">
        <f>VLOOKUP(tblProductos[[#This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3984</v>
      </c>
      <c r="D3070" s="9" t="s">
        <v>3888</v>
      </c>
      <c r="E3070" s="9"/>
      <c r="F3070" s="9">
        <v>100</v>
      </c>
      <c r="G3070" s="9" t="s">
        <v>3842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3843</v>
      </c>
      <c r="N3070" s="4"/>
      <c r="O3070" s="5"/>
      <c r="P3070" s="10"/>
      <c r="Q3070" s="21" t="str">
        <f>VLOOKUP(tblProductos[[#This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3984</v>
      </c>
      <c r="D3071" s="9" t="s">
        <v>4033</v>
      </c>
      <c r="E3071" s="9"/>
      <c r="F3071" s="9">
        <v>100</v>
      </c>
      <c r="G3071" s="9" t="s">
        <v>3842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3843</v>
      </c>
      <c r="N3071" s="4"/>
      <c r="O3071" s="5"/>
      <c r="P3071" s="10"/>
      <c r="Q3071" s="21" t="str">
        <f>VLOOKUP(tblProductos[[#This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3984</v>
      </c>
      <c r="D3072" s="9" t="s">
        <v>4144</v>
      </c>
      <c r="E3072" s="9"/>
      <c r="F3072" s="9">
        <v>100</v>
      </c>
      <c r="G3072" s="9" t="s">
        <v>3842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3843</v>
      </c>
      <c r="N3072" s="4"/>
      <c r="O3072" s="5"/>
      <c r="P3072" s="10"/>
      <c r="Q3072" s="21" t="str">
        <f>VLOOKUP(tblProductos[[#This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3984</v>
      </c>
      <c r="D3073" s="9" t="s">
        <v>4014</v>
      </c>
      <c r="E3073" s="9"/>
      <c r="F3073" s="9">
        <v>100</v>
      </c>
      <c r="G3073" s="9" t="s">
        <v>3842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3843</v>
      </c>
      <c r="N3073" s="4"/>
      <c r="O3073" s="5"/>
      <c r="P3073" s="10"/>
      <c r="Q3073" s="21" t="str">
        <f>VLOOKUP(tblProductos[[#This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3984</v>
      </c>
      <c r="D3074" s="9" t="s">
        <v>4008</v>
      </c>
      <c r="E3074" s="9"/>
      <c r="F3074" s="9">
        <v>100</v>
      </c>
      <c r="G3074" s="9" t="s">
        <v>3842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3843</v>
      </c>
      <c r="N3074" s="4"/>
      <c r="O3074" s="5"/>
      <c r="P3074" s="10"/>
      <c r="Q3074" s="21" t="str">
        <f>VLOOKUP(tblProductos[[#This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3984</v>
      </c>
      <c r="D3075" s="9" t="s">
        <v>4020</v>
      </c>
      <c r="E3075" s="9"/>
      <c r="F3075" s="9">
        <v>100</v>
      </c>
      <c r="G3075" s="9" t="s">
        <v>3842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3843</v>
      </c>
      <c r="N3075" s="4"/>
      <c r="O3075" s="5"/>
      <c r="P3075" s="10"/>
      <c r="Q3075" s="21" t="str">
        <f>VLOOKUP(tblProductos[[#This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3984</v>
      </c>
      <c r="D3076" s="9" t="s">
        <v>4016</v>
      </c>
      <c r="E3076" s="9"/>
      <c r="F3076" s="9">
        <v>100</v>
      </c>
      <c r="G3076" s="9" t="s">
        <v>3842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3843</v>
      </c>
      <c r="N3076" s="4"/>
      <c r="O3076" s="5"/>
      <c r="P3076" s="10"/>
      <c r="Q3076" s="21" t="str">
        <f>VLOOKUP(tblProductos[[#This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3984</v>
      </c>
      <c r="D3077" s="9" t="s">
        <v>4145</v>
      </c>
      <c r="E3077" s="9"/>
      <c r="F3077" s="9">
        <v>100</v>
      </c>
      <c r="G3077" s="9" t="s">
        <v>3842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3843</v>
      </c>
      <c r="N3077" s="4"/>
      <c r="O3077" s="5"/>
      <c r="P3077" s="10"/>
      <c r="Q3077" s="21" t="str">
        <f>VLOOKUP(tblProductos[[#This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3984</v>
      </c>
      <c r="D3078" s="9" t="s">
        <v>4021</v>
      </c>
      <c r="E3078" s="9"/>
      <c r="F3078" s="9">
        <v>100</v>
      </c>
      <c r="G3078" s="9" t="s">
        <v>3842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3843</v>
      </c>
      <c r="N3078" s="4"/>
      <c r="O3078" s="5"/>
      <c r="P3078" s="10"/>
      <c r="Q3078" s="21" t="str">
        <f>VLOOKUP(tblProductos[[#This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3984</v>
      </c>
      <c r="D3079" s="9" t="s">
        <v>4015</v>
      </c>
      <c r="E3079" s="9"/>
      <c r="F3079" s="9">
        <v>100</v>
      </c>
      <c r="G3079" s="9" t="s">
        <v>3842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3843</v>
      </c>
      <c r="N3079" s="4"/>
      <c r="O3079" s="5"/>
      <c r="P3079" s="10"/>
      <c r="Q3079" s="21" t="str">
        <f>VLOOKUP(tblProductos[[#This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3984</v>
      </c>
      <c r="D3080" s="9" t="s">
        <v>4054</v>
      </c>
      <c r="E3080" s="9"/>
      <c r="F3080" s="9">
        <v>100</v>
      </c>
      <c r="G3080" s="9" t="s">
        <v>3842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3843</v>
      </c>
      <c r="N3080" s="4"/>
      <c r="O3080" s="5"/>
      <c r="P3080" s="10"/>
      <c r="Q3080" s="21" t="str">
        <f>VLOOKUP(tblProductos[[#This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3984</v>
      </c>
      <c r="D3081" s="9" t="s">
        <v>4118</v>
      </c>
      <c r="E3081" s="9"/>
      <c r="F3081" s="9">
        <v>100</v>
      </c>
      <c r="G3081" s="9" t="s">
        <v>3842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3843</v>
      </c>
      <c r="N3081" s="4"/>
      <c r="O3081" s="5"/>
      <c r="P3081" s="10"/>
      <c r="Q3081" s="21" t="str">
        <f>VLOOKUP(tblProductos[[#This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3984</v>
      </c>
      <c r="D3082" s="9" t="s">
        <v>4022</v>
      </c>
      <c r="E3082" s="9"/>
      <c r="F3082" s="9">
        <v>100</v>
      </c>
      <c r="G3082" s="9" t="s">
        <v>3842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3843</v>
      </c>
      <c r="N3082" s="4"/>
      <c r="O3082" s="5"/>
      <c r="P3082" s="10"/>
      <c r="Q3082" s="21" t="str">
        <f>VLOOKUP(tblProductos[[#This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3984</v>
      </c>
      <c r="D3083" s="9" t="s">
        <v>3919</v>
      </c>
      <c r="E3083" s="9"/>
      <c r="F3083" s="9">
        <v>100</v>
      </c>
      <c r="G3083" s="9" t="s">
        <v>3842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3843</v>
      </c>
      <c r="N3083" s="4"/>
      <c r="O3083" s="5"/>
      <c r="P3083" s="10"/>
      <c r="Q3083" s="21" t="str">
        <f>VLOOKUP(tblProductos[[#This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3984</v>
      </c>
      <c r="D3084" s="9" t="s">
        <v>4023</v>
      </c>
      <c r="E3084" s="9"/>
      <c r="F3084" s="9">
        <v>100</v>
      </c>
      <c r="G3084" s="9" t="s">
        <v>3842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3843</v>
      </c>
      <c r="N3084" s="4"/>
      <c r="O3084" s="5"/>
      <c r="P3084" s="10"/>
      <c r="Q3084" s="21" t="str">
        <f>VLOOKUP(tblProductos[[#This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3984</v>
      </c>
      <c r="D3085" s="9" t="s">
        <v>4029</v>
      </c>
      <c r="E3085" s="9"/>
      <c r="F3085" s="9">
        <v>100</v>
      </c>
      <c r="G3085" s="9" t="s">
        <v>3842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3843</v>
      </c>
      <c r="N3085" s="4"/>
      <c r="O3085" s="5"/>
      <c r="P3085" s="10"/>
      <c r="Q3085" s="21" t="str">
        <f>VLOOKUP(tblProductos[[#This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3984</v>
      </c>
      <c r="D3086" s="9" t="s">
        <v>4024</v>
      </c>
      <c r="E3086" s="9"/>
      <c r="F3086" s="9">
        <v>100</v>
      </c>
      <c r="G3086" s="9" t="s">
        <v>3842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3843</v>
      </c>
      <c r="N3086" s="4"/>
      <c r="O3086" s="5"/>
      <c r="P3086" s="10"/>
      <c r="Q3086" s="21" t="str">
        <f>VLOOKUP(tblProductos[[#This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3984</v>
      </c>
      <c r="D3087" s="9" t="s">
        <v>4034</v>
      </c>
      <c r="E3087" s="9"/>
      <c r="F3087" s="9">
        <v>100</v>
      </c>
      <c r="G3087" s="9" t="s">
        <v>3842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3843</v>
      </c>
      <c r="N3087" s="4"/>
      <c r="O3087" s="5"/>
      <c r="P3087" s="10"/>
      <c r="Q3087" s="21" t="str">
        <f>VLOOKUP(tblProductos[[#This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3984</v>
      </c>
      <c r="D3088" s="9" t="s">
        <v>4035</v>
      </c>
      <c r="E3088" s="9"/>
      <c r="F3088" s="9">
        <v>100</v>
      </c>
      <c r="G3088" s="9" t="s">
        <v>3842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3843</v>
      </c>
      <c r="N3088" s="4"/>
      <c r="O3088" s="5"/>
      <c r="P3088" s="10"/>
      <c r="Q3088" s="21" t="str">
        <f>VLOOKUP(tblProductos[[#This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3984</v>
      </c>
      <c r="D3089" s="9" t="s">
        <v>4017</v>
      </c>
      <c r="E3089" s="9"/>
      <c r="F3089" s="9">
        <v>100</v>
      </c>
      <c r="G3089" s="9" t="s">
        <v>3842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3843</v>
      </c>
      <c r="N3089" s="4"/>
      <c r="O3089" s="5"/>
      <c r="P3089" s="10"/>
      <c r="Q3089" s="21" t="str">
        <f>VLOOKUP(tblProductos[[#This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3984</v>
      </c>
      <c r="D3090" s="9" t="s">
        <v>4125</v>
      </c>
      <c r="E3090" s="9"/>
      <c r="F3090" s="9">
        <v>100</v>
      </c>
      <c r="G3090" s="9" t="s">
        <v>3842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3843</v>
      </c>
      <c r="N3090" s="4"/>
      <c r="O3090" s="5"/>
      <c r="P3090" s="10"/>
      <c r="Q3090" s="21" t="str">
        <f>VLOOKUP(tblProductos[[#This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3984</v>
      </c>
      <c r="D3091" s="9" t="s">
        <v>4056</v>
      </c>
      <c r="E3091" s="9"/>
      <c r="F3091" s="9">
        <v>100</v>
      </c>
      <c r="G3091" s="9" t="s">
        <v>3842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3843</v>
      </c>
      <c r="N3091" s="4"/>
      <c r="O3091" s="5"/>
      <c r="P3091" s="10"/>
      <c r="Q3091" s="21" t="str">
        <f>VLOOKUP(tblProductos[[#This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3984</v>
      </c>
      <c r="D3092" s="9" t="s">
        <v>4006</v>
      </c>
      <c r="E3092" s="9"/>
      <c r="F3092" s="9">
        <v>100</v>
      </c>
      <c r="G3092" s="9" t="s">
        <v>3842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3843</v>
      </c>
      <c r="N3092" s="4"/>
      <c r="O3092" s="5"/>
      <c r="P3092" s="10"/>
      <c r="Q3092" s="21" t="str">
        <f>VLOOKUP(tblProductos[[#This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3984</v>
      </c>
      <c r="D3093" s="9" t="s">
        <v>4143</v>
      </c>
      <c r="E3093" s="9"/>
      <c r="F3093" s="9">
        <v>100</v>
      </c>
      <c r="G3093" s="9" t="s">
        <v>3842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3843</v>
      </c>
      <c r="N3093" s="4"/>
      <c r="O3093" s="5"/>
      <c r="P3093" s="10"/>
      <c r="Q3093" s="21" t="str">
        <f>VLOOKUP(tblProductos[[#This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3984</v>
      </c>
      <c r="D3094" s="9" t="s">
        <v>4031</v>
      </c>
      <c r="E3094" s="9"/>
      <c r="F3094" s="9">
        <v>100</v>
      </c>
      <c r="G3094" s="9" t="s">
        <v>3842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3843</v>
      </c>
      <c r="N3094" s="4"/>
      <c r="O3094" s="5"/>
      <c r="P3094" s="10"/>
      <c r="Q3094" s="21" t="str">
        <f>VLOOKUP(tblProductos[[#This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3984</v>
      </c>
      <c r="D3095" s="9" t="s">
        <v>4011</v>
      </c>
      <c r="E3095" s="9"/>
      <c r="F3095" s="9">
        <v>100</v>
      </c>
      <c r="G3095" s="9" t="s">
        <v>3842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3843</v>
      </c>
      <c r="N3095" s="4"/>
      <c r="O3095" s="5"/>
      <c r="P3095" s="10"/>
      <c r="Q3095" s="21" t="str">
        <f>VLOOKUP(tblProductos[[#This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3984</v>
      </c>
      <c r="D3096" s="9" t="s">
        <v>4030</v>
      </c>
      <c r="E3096" s="9"/>
      <c r="F3096" s="9">
        <v>100</v>
      </c>
      <c r="G3096" s="9" t="s">
        <v>3842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3843</v>
      </c>
      <c r="N3096" s="4"/>
      <c r="O3096" s="5"/>
      <c r="P3096" s="10"/>
      <c r="Q3096" s="21" t="str">
        <f>VLOOKUP(tblProductos[[#This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3984</v>
      </c>
      <c r="D3097" s="9" t="s">
        <v>4018</v>
      </c>
      <c r="E3097" s="9"/>
      <c r="F3097" s="9">
        <v>100</v>
      </c>
      <c r="G3097" s="9" t="s">
        <v>3842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3843</v>
      </c>
      <c r="N3097" s="4"/>
      <c r="O3097" s="5"/>
      <c r="P3097" s="10"/>
      <c r="Q3097" s="21" t="str">
        <f>VLOOKUP(tblProductos[[#This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3984</v>
      </c>
      <c r="D3098" s="9" t="s">
        <v>4012</v>
      </c>
      <c r="E3098" s="9"/>
      <c r="F3098" s="9">
        <v>100</v>
      </c>
      <c r="G3098" s="9" t="s">
        <v>3842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3843</v>
      </c>
      <c r="N3098" s="4"/>
      <c r="O3098" s="5"/>
      <c r="P3098" s="10"/>
      <c r="Q3098" s="21" t="str">
        <f>VLOOKUP(tblProductos[[#This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3984</v>
      </c>
      <c r="D3099" s="9" t="s">
        <v>4013</v>
      </c>
      <c r="E3099" s="9"/>
      <c r="F3099" s="9">
        <v>100</v>
      </c>
      <c r="G3099" s="9" t="s">
        <v>3842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3843</v>
      </c>
      <c r="N3099" s="4"/>
      <c r="O3099" s="5"/>
      <c r="P3099" s="10"/>
      <c r="Q3099" s="21" t="str">
        <f>VLOOKUP(tblProductos[[#This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3984</v>
      </c>
      <c r="D3100" s="9" t="s">
        <v>4019</v>
      </c>
      <c r="E3100" s="9"/>
      <c r="F3100" s="9">
        <v>100</v>
      </c>
      <c r="G3100" s="9" t="s">
        <v>3842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3843</v>
      </c>
      <c r="N3100" s="4"/>
      <c r="O3100" s="5"/>
      <c r="P3100" s="10"/>
      <c r="Q3100" s="21" t="str">
        <f>VLOOKUP(tblProductos[[#This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3984</v>
      </c>
      <c r="D3101" s="9" t="s">
        <v>4032</v>
      </c>
      <c r="E3101" s="9"/>
      <c r="F3101" s="9">
        <v>100</v>
      </c>
      <c r="G3101" s="9" t="s">
        <v>3842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3843</v>
      </c>
      <c r="N3101" s="4"/>
      <c r="O3101" s="5"/>
      <c r="P3101" s="10"/>
      <c r="Q3101" s="21" t="str">
        <f>VLOOKUP(tblProductos[[#This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3984</v>
      </c>
      <c r="D3102" s="9" t="s">
        <v>4007</v>
      </c>
      <c r="E3102" s="9"/>
      <c r="F3102" s="9">
        <v>100</v>
      </c>
      <c r="G3102" s="9" t="s">
        <v>3842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3843</v>
      </c>
      <c r="N3102" s="4"/>
      <c r="O3102" s="5"/>
      <c r="P3102" s="10"/>
      <c r="Q3102" s="21" t="str">
        <f>VLOOKUP(tblProductos[[#This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3984</v>
      </c>
      <c r="D3103" s="9" t="s">
        <v>3888</v>
      </c>
      <c r="E3103" s="9"/>
      <c r="F3103" s="9">
        <v>100</v>
      </c>
      <c r="G3103" s="9" t="s">
        <v>3842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3843</v>
      </c>
      <c r="N3103" s="4"/>
      <c r="O3103" s="5"/>
      <c r="P3103" s="10"/>
      <c r="Q3103" s="21" t="str">
        <f>VLOOKUP(tblProductos[[#This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3984</v>
      </c>
      <c r="D3104" s="9" t="s">
        <v>4033</v>
      </c>
      <c r="E3104" s="9"/>
      <c r="F3104" s="9">
        <v>100</v>
      </c>
      <c r="G3104" s="9" t="s">
        <v>3842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3843</v>
      </c>
      <c r="N3104" s="4"/>
      <c r="O3104" s="5"/>
      <c r="P3104" s="10"/>
      <c r="Q3104" s="21" t="str">
        <f>VLOOKUP(tblProductos[[#This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3984</v>
      </c>
      <c r="D3105" s="9" t="s">
        <v>4144</v>
      </c>
      <c r="E3105" s="9"/>
      <c r="F3105" s="9">
        <v>100</v>
      </c>
      <c r="G3105" s="9" t="s">
        <v>3842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3843</v>
      </c>
      <c r="N3105" s="4"/>
      <c r="O3105" s="5"/>
      <c r="P3105" s="10"/>
      <c r="Q3105" s="21" t="str">
        <f>VLOOKUP(tblProductos[[#This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3984</v>
      </c>
      <c r="D3106" s="9" t="s">
        <v>4014</v>
      </c>
      <c r="E3106" s="9"/>
      <c r="F3106" s="9">
        <v>100</v>
      </c>
      <c r="G3106" s="9" t="s">
        <v>3842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3843</v>
      </c>
      <c r="N3106" s="4"/>
      <c r="O3106" s="5"/>
      <c r="P3106" s="10"/>
      <c r="Q3106" s="21" t="str">
        <f>VLOOKUP(tblProductos[[#This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3984</v>
      </c>
      <c r="D3107" s="9" t="s">
        <v>4008</v>
      </c>
      <c r="E3107" s="9"/>
      <c r="F3107" s="9">
        <v>100</v>
      </c>
      <c r="G3107" s="9" t="s">
        <v>3842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3843</v>
      </c>
      <c r="N3107" s="4"/>
      <c r="O3107" s="5"/>
      <c r="P3107" s="10"/>
      <c r="Q3107" s="21" t="str">
        <f>VLOOKUP(tblProductos[[#This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3984</v>
      </c>
      <c r="D3108" s="9" t="s">
        <v>4020</v>
      </c>
      <c r="E3108" s="9"/>
      <c r="F3108" s="9">
        <v>100</v>
      </c>
      <c r="G3108" s="9" t="s">
        <v>3842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3843</v>
      </c>
      <c r="N3108" s="4"/>
      <c r="O3108" s="5"/>
      <c r="P3108" s="10"/>
      <c r="Q3108" s="21" t="str">
        <f>VLOOKUP(tblProductos[[#This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3984</v>
      </c>
      <c r="D3109" s="9" t="s">
        <v>4016</v>
      </c>
      <c r="E3109" s="9"/>
      <c r="F3109" s="9">
        <v>100</v>
      </c>
      <c r="G3109" s="9" t="s">
        <v>3842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3843</v>
      </c>
      <c r="N3109" s="4"/>
      <c r="O3109" s="5"/>
      <c r="P3109" s="10"/>
      <c r="Q3109" s="21" t="str">
        <f>VLOOKUP(tblProductos[[#This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3984</v>
      </c>
      <c r="D3110" s="9" t="s">
        <v>4145</v>
      </c>
      <c r="E3110" s="9"/>
      <c r="F3110" s="9">
        <v>100</v>
      </c>
      <c r="G3110" s="9" t="s">
        <v>3842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3843</v>
      </c>
      <c r="N3110" s="4"/>
      <c r="O3110" s="5"/>
      <c r="P3110" s="10"/>
      <c r="Q3110" s="21" t="str">
        <f>VLOOKUP(tblProductos[[#This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3984</v>
      </c>
      <c r="D3111" s="9" t="s">
        <v>4015</v>
      </c>
      <c r="E3111" s="9"/>
      <c r="F3111" s="9">
        <v>100</v>
      </c>
      <c r="G3111" s="9" t="s">
        <v>3842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3843</v>
      </c>
      <c r="N3111" s="4"/>
      <c r="O3111" s="5"/>
      <c r="P3111" s="10"/>
      <c r="Q3111" s="21" t="str">
        <f>VLOOKUP(tblProductos[[#This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3984</v>
      </c>
      <c r="D3112" s="9" t="s">
        <v>4054</v>
      </c>
      <c r="E3112" s="9"/>
      <c r="F3112" s="9">
        <v>100</v>
      </c>
      <c r="G3112" s="9" t="s">
        <v>3842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3843</v>
      </c>
      <c r="N3112" s="4"/>
      <c r="O3112" s="5"/>
      <c r="P3112" s="10"/>
      <c r="Q3112" s="21" t="str">
        <f>VLOOKUP(tblProductos[[#This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3984</v>
      </c>
      <c r="D3113" s="9" t="s">
        <v>4118</v>
      </c>
      <c r="E3113" s="9"/>
      <c r="F3113" s="9">
        <v>100</v>
      </c>
      <c r="G3113" s="9" t="s">
        <v>3842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3843</v>
      </c>
      <c r="N3113" s="4"/>
      <c r="O3113" s="5"/>
      <c r="P3113" s="10"/>
      <c r="Q3113" s="21" t="str">
        <f>VLOOKUP(tblProductos[[#This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3984</v>
      </c>
      <c r="D3114" s="9" t="s">
        <v>4022</v>
      </c>
      <c r="E3114" s="9"/>
      <c r="F3114" s="9">
        <v>100</v>
      </c>
      <c r="G3114" s="9" t="s">
        <v>3842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3843</v>
      </c>
      <c r="N3114" s="4"/>
      <c r="O3114" s="5"/>
      <c r="P3114" s="10"/>
      <c r="Q3114" s="21" t="str">
        <f>VLOOKUP(tblProductos[[#This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3984</v>
      </c>
      <c r="D3115" s="9" t="s">
        <v>3919</v>
      </c>
      <c r="E3115" s="9"/>
      <c r="F3115" s="9">
        <v>100</v>
      </c>
      <c r="G3115" s="9" t="s">
        <v>3842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3843</v>
      </c>
      <c r="N3115" s="4"/>
      <c r="O3115" s="5"/>
      <c r="P3115" s="10"/>
      <c r="Q3115" s="21" t="str">
        <f>VLOOKUP(tblProductos[[#This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3984</v>
      </c>
      <c r="D3116" s="9" t="s">
        <v>4023</v>
      </c>
      <c r="E3116" s="9"/>
      <c r="F3116" s="9">
        <v>100</v>
      </c>
      <c r="G3116" s="9" t="s">
        <v>3842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3843</v>
      </c>
      <c r="N3116" s="4"/>
      <c r="O3116" s="5"/>
      <c r="P3116" s="10"/>
      <c r="Q3116" s="21" t="str">
        <f>VLOOKUP(tblProductos[[#This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3984</v>
      </c>
      <c r="D3117" s="9" t="s">
        <v>4024</v>
      </c>
      <c r="E3117" s="9"/>
      <c r="F3117" s="9">
        <v>100</v>
      </c>
      <c r="G3117" s="9" t="s">
        <v>3842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3843</v>
      </c>
      <c r="N3117" s="4"/>
      <c r="O3117" s="5"/>
      <c r="P3117" s="10"/>
      <c r="Q3117" s="21" t="str">
        <f>VLOOKUP(tblProductos[[#This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3984</v>
      </c>
      <c r="D3118" s="9" t="s">
        <v>4034</v>
      </c>
      <c r="E3118" s="9"/>
      <c r="F3118" s="9">
        <v>100</v>
      </c>
      <c r="G3118" s="9" t="s">
        <v>3842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3843</v>
      </c>
      <c r="N3118" s="4"/>
      <c r="O3118" s="5"/>
      <c r="P3118" s="10"/>
      <c r="Q3118" s="21" t="str">
        <f>VLOOKUP(tblProductos[[#This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3984</v>
      </c>
      <c r="D3119" s="9" t="s">
        <v>4035</v>
      </c>
      <c r="E3119" s="9"/>
      <c r="F3119" s="9">
        <v>100</v>
      </c>
      <c r="G3119" s="9" t="s">
        <v>3842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3843</v>
      </c>
      <c r="N3119" s="4"/>
      <c r="O3119" s="5"/>
      <c r="P3119" s="10"/>
      <c r="Q3119" s="21" t="str">
        <f>VLOOKUP(tblProductos[[#This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3984</v>
      </c>
      <c r="D3120" s="9" t="s">
        <v>4017</v>
      </c>
      <c r="E3120" s="9"/>
      <c r="F3120" s="9">
        <v>100</v>
      </c>
      <c r="G3120" s="9" t="s">
        <v>3842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3843</v>
      </c>
      <c r="N3120" s="4"/>
      <c r="O3120" s="5"/>
      <c r="P3120" s="10"/>
      <c r="Q3120" s="21" t="str">
        <f>VLOOKUP(tblProductos[[#This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3984</v>
      </c>
      <c r="D3121" s="9" t="s">
        <v>4010</v>
      </c>
      <c r="E3121" s="9"/>
      <c r="F3121" s="9">
        <v>100</v>
      </c>
      <c r="G3121" s="9" t="s">
        <v>3842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3843</v>
      </c>
      <c r="N3121" s="4"/>
      <c r="O3121" s="5"/>
      <c r="P3121" s="10"/>
      <c r="Q3121" s="21" t="str">
        <f>VLOOKUP(tblProductos[[#This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3984</v>
      </c>
      <c r="D3122" s="9" t="s">
        <v>4125</v>
      </c>
      <c r="E3122" s="9"/>
      <c r="F3122" s="9">
        <v>100</v>
      </c>
      <c r="G3122" s="9" t="s">
        <v>3842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3843</v>
      </c>
      <c r="N3122" s="4"/>
      <c r="O3122" s="5"/>
      <c r="P3122" s="10"/>
      <c r="Q3122" s="21" t="str">
        <f>VLOOKUP(tblProductos[[#This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3984</v>
      </c>
      <c r="D3123" s="9" t="s">
        <v>4056</v>
      </c>
      <c r="E3123" s="9"/>
      <c r="F3123" s="9">
        <v>100</v>
      </c>
      <c r="G3123" s="9" t="s">
        <v>3842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3843</v>
      </c>
      <c r="N3123" s="4"/>
      <c r="O3123" s="5"/>
      <c r="P3123" s="10"/>
      <c r="Q3123" s="21" t="str">
        <f>VLOOKUP(tblProductos[[#This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3984</v>
      </c>
      <c r="D3124" s="9" t="s">
        <v>4143</v>
      </c>
      <c r="E3124" s="9"/>
      <c r="F3124" s="9">
        <v>100</v>
      </c>
      <c r="G3124" s="9" t="s">
        <v>3842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3843</v>
      </c>
      <c r="N3124" s="4"/>
      <c r="O3124" s="5"/>
      <c r="P3124" s="10"/>
      <c r="Q3124" s="21" t="str">
        <f>VLOOKUP(tblProductos[[#This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3984</v>
      </c>
      <c r="D3125" s="9" t="s">
        <v>4031</v>
      </c>
      <c r="E3125" s="9"/>
      <c r="F3125" s="9">
        <v>100</v>
      </c>
      <c r="G3125" s="9" t="s">
        <v>3842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3843</v>
      </c>
      <c r="N3125" s="4"/>
      <c r="O3125" s="5"/>
      <c r="P3125" s="10"/>
      <c r="Q3125" s="21" t="str">
        <f>VLOOKUP(tblProductos[[#This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3984</v>
      </c>
      <c r="D3126" s="9" t="s">
        <v>4011</v>
      </c>
      <c r="E3126" s="9"/>
      <c r="F3126" s="9">
        <v>100</v>
      </c>
      <c r="G3126" s="9" t="s">
        <v>3842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3843</v>
      </c>
      <c r="N3126" s="4"/>
      <c r="O3126" s="5"/>
      <c r="P3126" s="10"/>
      <c r="Q3126" s="21" t="str">
        <f>VLOOKUP(tblProductos[[#This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3984</v>
      </c>
      <c r="D3127" s="9" t="s">
        <v>4030</v>
      </c>
      <c r="E3127" s="9"/>
      <c r="F3127" s="9">
        <v>100</v>
      </c>
      <c r="G3127" s="9" t="s">
        <v>3842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3843</v>
      </c>
      <c r="N3127" s="4"/>
      <c r="O3127" s="5"/>
      <c r="P3127" s="10"/>
      <c r="Q3127" s="21" t="str">
        <f>VLOOKUP(tblProductos[[#This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3984</v>
      </c>
      <c r="D3128" s="9" t="s">
        <v>4018</v>
      </c>
      <c r="E3128" s="9"/>
      <c r="F3128" s="9">
        <v>100</v>
      </c>
      <c r="G3128" s="9" t="s">
        <v>3842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3843</v>
      </c>
      <c r="N3128" s="4"/>
      <c r="O3128" s="5"/>
      <c r="P3128" s="10"/>
      <c r="Q3128" s="21" t="str">
        <f>VLOOKUP(tblProductos[[#This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3984</v>
      </c>
      <c r="D3129" s="9" t="s">
        <v>4009</v>
      </c>
      <c r="E3129" s="9"/>
      <c r="F3129" s="9">
        <v>100</v>
      </c>
      <c r="G3129" s="9" t="s">
        <v>3842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3843</v>
      </c>
      <c r="N3129" s="4"/>
      <c r="O3129" s="5"/>
      <c r="P3129" s="10"/>
      <c r="Q3129" s="21" t="str">
        <f>VLOOKUP(tblProductos[[#This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3984</v>
      </c>
      <c r="D3130" s="9" t="s">
        <v>4012</v>
      </c>
      <c r="E3130" s="9"/>
      <c r="F3130" s="9">
        <v>100</v>
      </c>
      <c r="G3130" s="9" t="s">
        <v>3842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3843</v>
      </c>
      <c r="N3130" s="4"/>
      <c r="O3130" s="5"/>
      <c r="P3130" s="10"/>
      <c r="Q3130" s="21" t="str">
        <f>VLOOKUP(tblProductos[[#This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3984</v>
      </c>
      <c r="D3131" s="9" t="s">
        <v>4013</v>
      </c>
      <c r="E3131" s="9"/>
      <c r="F3131" s="9">
        <v>100</v>
      </c>
      <c r="G3131" s="9" t="s">
        <v>3842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3843</v>
      </c>
      <c r="N3131" s="4"/>
      <c r="O3131" s="5"/>
      <c r="P3131" s="10"/>
      <c r="Q3131" s="21" t="str">
        <f>VLOOKUP(tblProductos[[#This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3984</v>
      </c>
      <c r="D3132" s="9" t="s">
        <v>3923</v>
      </c>
      <c r="E3132" s="9"/>
      <c r="F3132" s="9">
        <v>100</v>
      </c>
      <c r="G3132" s="9" t="s">
        <v>3842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3843</v>
      </c>
      <c r="N3132" s="4"/>
      <c r="O3132" s="5"/>
      <c r="P3132" s="10"/>
      <c r="Q3132" s="21" t="str">
        <f>VLOOKUP(tblProductos[[#This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3984</v>
      </c>
      <c r="D3133" s="9" t="s">
        <v>4032</v>
      </c>
      <c r="E3133" s="9"/>
      <c r="F3133" s="9">
        <v>100</v>
      </c>
      <c r="G3133" s="9" t="s">
        <v>3842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3843</v>
      </c>
      <c r="N3133" s="4"/>
      <c r="O3133" s="5"/>
      <c r="P3133" s="10"/>
      <c r="Q3133" s="21" t="str">
        <f>VLOOKUP(tblProductos[[#This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3984</v>
      </c>
      <c r="D3134" s="9" t="s">
        <v>4007</v>
      </c>
      <c r="E3134" s="9"/>
      <c r="F3134" s="9">
        <v>100</v>
      </c>
      <c r="G3134" s="9" t="s">
        <v>3842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3843</v>
      </c>
      <c r="N3134" s="4"/>
      <c r="O3134" s="5"/>
      <c r="P3134" s="10"/>
      <c r="Q3134" s="21" t="str">
        <f>VLOOKUP(tblProductos[[#This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3984</v>
      </c>
      <c r="D3135" s="9" t="s">
        <v>4033</v>
      </c>
      <c r="E3135" s="9"/>
      <c r="F3135" s="9">
        <v>100</v>
      </c>
      <c r="G3135" s="9" t="s">
        <v>3842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3843</v>
      </c>
      <c r="N3135" s="4"/>
      <c r="O3135" s="5"/>
      <c r="P3135" s="10"/>
      <c r="Q3135" s="21" t="str">
        <f>VLOOKUP(tblProductos[[#This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3984</v>
      </c>
      <c r="D3136" s="9" t="s">
        <v>4144</v>
      </c>
      <c r="E3136" s="9"/>
      <c r="F3136" s="9">
        <v>100</v>
      </c>
      <c r="G3136" s="9" t="s">
        <v>3842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3843</v>
      </c>
      <c r="N3136" s="4"/>
      <c r="O3136" s="5"/>
      <c r="P3136" s="10"/>
      <c r="Q3136" s="21" t="str">
        <f>VLOOKUP(tblProductos[[#This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3984</v>
      </c>
      <c r="D3137" s="9" t="s">
        <v>4014</v>
      </c>
      <c r="E3137" s="9"/>
      <c r="F3137" s="9">
        <v>100</v>
      </c>
      <c r="G3137" s="9" t="s">
        <v>3842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3843</v>
      </c>
      <c r="N3137" s="4"/>
      <c r="O3137" s="5"/>
      <c r="P3137" s="10"/>
      <c r="Q3137" s="21" t="str">
        <f>VLOOKUP(tblProductos[[#This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3984</v>
      </c>
      <c r="D3138" s="9" t="s">
        <v>4008</v>
      </c>
      <c r="E3138" s="9"/>
      <c r="F3138" s="9">
        <v>100</v>
      </c>
      <c r="G3138" s="9" t="s">
        <v>3842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3843</v>
      </c>
      <c r="N3138" s="4"/>
      <c r="O3138" s="5"/>
      <c r="P3138" s="10"/>
      <c r="Q3138" s="21" t="str">
        <f>VLOOKUP(tblProductos[[#This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3984</v>
      </c>
      <c r="D3139" s="9" t="s">
        <v>4020</v>
      </c>
      <c r="E3139" s="9"/>
      <c r="F3139" s="9">
        <v>100</v>
      </c>
      <c r="G3139" s="9" t="s">
        <v>3842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3843</v>
      </c>
      <c r="N3139" s="4"/>
      <c r="O3139" s="5"/>
      <c r="P3139" s="10"/>
      <c r="Q3139" s="21" t="str">
        <f>VLOOKUP(tblProductos[[#This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3984</v>
      </c>
      <c r="D3140" s="9" t="s">
        <v>4016</v>
      </c>
      <c r="E3140" s="9"/>
      <c r="F3140" s="9">
        <v>100</v>
      </c>
      <c r="G3140" s="9" t="s">
        <v>3842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3843</v>
      </c>
      <c r="N3140" s="4"/>
      <c r="O3140" s="5"/>
      <c r="P3140" s="10"/>
      <c r="Q3140" s="21" t="str">
        <f>VLOOKUP(tblProductos[[#This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3984</v>
      </c>
      <c r="D3141" s="9" t="s">
        <v>4145</v>
      </c>
      <c r="E3141" s="9"/>
      <c r="F3141" s="9">
        <v>100</v>
      </c>
      <c r="G3141" s="9" t="s">
        <v>3842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3843</v>
      </c>
      <c r="N3141" s="4"/>
      <c r="O3141" s="5"/>
      <c r="P3141" s="10"/>
      <c r="Q3141" s="21" t="str">
        <f>VLOOKUP(tblProductos[[#This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3984</v>
      </c>
      <c r="D3142" s="9" t="s">
        <v>4015</v>
      </c>
      <c r="E3142" s="9"/>
      <c r="F3142" s="9">
        <v>100</v>
      </c>
      <c r="G3142" s="9" t="s">
        <v>3842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3843</v>
      </c>
      <c r="N3142" s="4"/>
      <c r="O3142" s="5"/>
      <c r="P3142" s="10"/>
      <c r="Q3142" s="21" t="str">
        <f>VLOOKUP(tblProductos[[#This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3984</v>
      </c>
      <c r="D3143" s="9" t="s">
        <v>4054</v>
      </c>
      <c r="E3143" s="9"/>
      <c r="F3143" s="9">
        <v>100</v>
      </c>
      <c r="G3143" s="9" t="s">
        <v>3842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3843</v>
      </c>
      <c r="N3143" s="4"/>
      <c r="O3143" s="5"/>
      <c r="P3143" s="10"/>
      <c r="Q3143" s="21" t="str">
        <f>VLOOKUP(tblProductos[[#This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3984</v>
      </c>
      <c r="D3144" s="9" t="s">
        <v>4118</v>
      </c>
      <c r="E3144" s="9"/>
      <c r="F3144" s="9">
        <v>100</v>
      </c>
      <c r="G3144" s="9" t="s">
        <v>3842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3843</v>
      </c>
      <c r="N3144" s="4"/>
      <c r="O3144" s="5"/>
      <c r="P3144" s="10"/>
      <c r="Q3144" s="21" t="str">
        <f>VLOOKUP(tblProductos[[#This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3984</v>
      </c>
      <c r="D3145" s="9" t="s">
        <v>4022</v>
      </c>
      <c r="E3145" s="9"/>
      <c r="F3145" s="9">
        <v>100</v>
      </c>
      <c r="G3145" s="9" t="s">
        <v>3842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3843</v>
      </c>
      <c r="N3145" s="4"/>
      <c r="O3145" s="5"/>
      <c r="P3145" s="10"/>
      <c r="Q3145" s="21" t="str">
        <f>VLOOKUP(tblProductos[[#This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3984</v>
      </c>
      <c r="D3146" s="9" t="s">
        <v>3919</v>
      </c>
      <c r="E3146" s="9"/>
      <c r="F3146" s="9">
        <v>100</v>
      </c>
      <c r="G3146" s="9" t="s">
        <v>3842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3843</v>
      </c>
      <c r="N3146" s="4"/>
      <c r="O3146" s="5"/>
      <c r="P3146" s="10"/>
      <c r="Q3146" s="21" t="str">
        <f>VLOOKUP(tblProductos[[#This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3984</v>
      </c>
      <c r="D3147" s="9" t="s">
        <v>4023</v>
      </c>
      <c r="E3147" s="9"/>
      <c r="F3147" s="9">
        <v>100</v>
      </c>
      <c r="G3147" s="9" t="s">
        <v>3842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3843</v>
      </c>
      <c r="N3147" s="4"/>
      <c r="O3147" s="5"/>
      <c r="P3147" s="10"/>
      <c r="Q3147" s="21" t="str">
        <f>VLOOKUP(tblProductos[[#This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3984</v>
      </c>
      <c r="D3148" s="9" t="s">
        <v>4029</v>
      </c>
      <c r="E3148" s="9"/>
      <c r="F3148" s="9">
        <v>100</v>
      </c>
      <c r="G3148" s="9" t="s">
        <v>3842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3843</v>
      </c>
      <c r="N3148" s="4"/>
      <c r="O3148" s="5"/>
      <c r="P3148" s="10"/>
      <c r="Q3148" s="21" t="str">
        <f>VLOOKUP(tblProductos[[#This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3984</v>
      </c>
      <c r="D3149" s="9" t="s">
        <v>4024</v>
      </c>
      <c r="E3149" s="9"/>
      <c r="F3149" s="9">
        <v>100</v>
      </c>
      <c r="G3149" s="9" t="s">
        <v>3842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3843</v>
      </c>
      <c r="N3149" s="4"/>
      <c r="O3149" s="5"/>
      <c r="P3149" s="10"/>
      <c r="Q3149" s="21" t="str">
        <f>VLOOKUP(tblProductos[[#This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3984</v>
      </c>
      <c r="D3150" s="9" t="s">
        <v>4035</v>
      </c>
      <c r="E3150" s="9"/>
      <c r="F3150" s="9">
        <v>100</v>
      </c>
      <c r="G3150" s="9" t="s">
        <v>3842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3843</v>
      </c>
      <c r="N3150" s="4"/>
      <c r="O3150" s="5"/>
      <c r="P3150" s="10"/>
      <c r="Q3150" s="21" t="str">
        <f>VLOOKUP(tblProductos[[#This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3984</v>
      </c>
      <c r="D3151" s="9" t="s">
        <v>4010</v>
      </c>
      <c r="E3151" s="9"/>
      <c r="F3151" s="9">
        <v>100</v>
      </c>
      <c r="G3151" s="9" t="s">
        <v>3842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3843</v>
      </c>
      <c r="N3151" s="4"/>
      <c r="O3151" s="5"/>
      <c r="P3151" s="10"/>
      <c r="Q3151" s="21" t="str">
        <f>VLOOKUP(tblProductos[[#This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3984</v>
      </c>
      <c r="D3152" s="9" t="s">
        <v>4125</v>
      </c>
      <c r="E3152" s="9"/>
      <c r="F3152" s="9">
        <v>100</v>
      </c>
      <c r="G3152" s="9" t="s">
        <v>3842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3843</v>
      </c>
      <c r="N3152" s="4"/>
      <c r="O3152" s="5"/>
      <c r="P3152" s="10"/>
      <c r="Q3152" s="21" t="str">
        <f>VLOOKUP(tblProductos[[#This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3984</v>
      </c>
      <c r="D3153" s="9" t="s">
        <v>4056</v>
      </c>
      <c r="E3153" s="9"/>
      <c r="F3153" s="9">
        <v>100</v>
      </c>
      <c r="G3153" s="9" t="s">
        <v>3842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3843</v>
      </c>
      <c r="N3153" s="4"/>
      <c r="O3153" s="5"/>
      <c r="P3153" s="10"/>
      <c r="Q3153" s="21" t="str">
        <f>VLOOKUP(tblProductos[[#This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3984</v>
      </c>
      <c r="D3154" s="9" t="s">
        <v>4006</v>
      </c>
      <c r="E3154" s="9"/>
      <c r="F3154" s="9">
        <v>100</v>
      </c>
      <c r="G3154" s="9" t="s">
        <v>3842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3843</v>
      </c>
      <c r="N3154" s="4"/>
      <c r="O3154" s="5"/>
      <c r="P3154" s="10"/>
      <c r="Q3154" s="21" t="str">
        <f>VLOOKUP(tblProductos[[#This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3984</v>
      </c>
      <c r="D3155" s="9" t="s">
        <v>4143</v>
      </c>
      <c r="E3155" s="9"/>
      <c r="F3155" s="9">
        <v>100</v>
      </c>
      <c r="G3155" s="9" t="s">
        <v>3842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3843</v>
      </c>
      <c r="N3155" s="4"/>
      <c r="O3155" s="5"/>
      <c r="P3155" s="10"/>
      <c r="Q3155" s="21" t="str">
        <f>VLOOKUP(tblProductos[[#This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3984</v>
      </c>
      <c r="D3156" s="9" t="s">
        <v>4031</v>
      </c>
      <c r="E3156" s="9"/>
      <c r="F3156" s="9">
        <v>100</v>
      </c>
      <c r="G3156" s="9" t="s">
        <v>3842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3843</v>
      </c>
      <c r="N3156" s="4"/>
      <c r="O3156" s="5"/>
      <c r="P3156" s="10"/>
      <c r="Q3156" s="21" t="str">
        <f>VLOOKUP(tblProductos[[#This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3984</v>
      </c>
      <c r="D3157" s="9" t="s">
        <v>4011</v>
      </c>
      <c r="E3157" s="9"/>
      <c r="F3157" s="9">
        <v>100</v>
      </c>
      <c r="G3157" s="9" t="s">
        <v>3842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3843</v>
      </c>
      <c r="N3157" s="4"/>
      <c r="O3157" s="5"/>
      <c r="P3157" s="10"/>
      <c r="Q3157" s="21" t="str">
        <f>VLOOKUP(tblProductos[[#This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3984</v>
      </c>
      <c r="D3158" s="9" t="s">
        <v>4030</v>
      </c>
      <c r="E3158" s="9"/>
      <c r="F3158" s="9">
        <v>100</v>
      </c>
      <c r="G3158" s="9" t="s">
        <v>3842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3843</v>
      </c>
      <c r="N3158" s="4"/>
      <c r="O3158" s="5"/>
      <c r="P3158" s="10"/>
      <c r="Q3158" s="21" t="str">
        <f>VLOOKUP(tblProductos[[#This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3984</v>
      </c>
      <c r="D3159" s="9" t="s">
        <v>4018</v>
      </c>
      <c r="E3159" s="9"/>
      <c r="F3159" s="9">
        <v>100</v>
      </c>
      <c r="G3159" s="9" t="s">
        <v>3842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3843</v>
      </c>
      <c r="N3159" s="4"/>
      <c r="O3159" s="5"/>
      <c r="P3159" s="10"/>
      <c r="Q3159" s="21" t="str">
        <f>VLOOKUP(tblProductos[[#This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3984</v>
      </c>
      <c r="D3160" s="9" t="s">
        <v>4009</v>
      </c>
      <c r="E3160" s="9"/>
      <c r="F3160" s="9">
        <v>100</v>
      </c>
      <c r="G3160" s="9" t="s">
        <v>3842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3843</v>
      </c>
      <c r="N3160" s="4"/>
      <c r="O3160" s="5"/>
      <c r="P3160" s="10"/>
      <c r="Q3160" s="21" t="str">
        <f>VLOOKUP(tblProductos[[#This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3984</v>
      </c>
      <c r="D3161" s="9" t="s">
        <v>4013</v>
      </c>
      <c r="E3161" s="9"/>
      <c r="F3161" s="9">
        <v>100</v>
      </c>
      <c r="G3161" s="9" t="s">
        <v>3842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3843</v>
      </c>
      <c r="N3161" s="4"/>
      <c r="O3161" s="5"/>
      <c r="P3161" s="10"/>
      <c r="Q3161" s="21" t="str">
        <f>VLOOKUP(tblProductos[[#This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3984</v>
      </c>
      <c r="D3162" s="9" t="s">
        <v>3923</v>
      </c>
      <c r="E3162" s="9"/>
      <c r="F3162" s="9">
        <v>100</v>
      </c>
      <c r="G3162" s="9" t="s">
        <v>3842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3843</v>
      </c>
      <c r="N3162" s="4"/>
      <c r="O3162" s="5"/>
      <c r="P3162" s="10"/>
      <c r="Q3162" s="21" t="str">
        <f>VLOOKUP(tblProductos[[#This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3984</v>
      </c>
      <c r="D3163" s="9" t="s">
        <v>4019</v>
      </c>
      <c r="E3163" s="9"/>
      <c r="F3163" s="9">
        <v>100</v>
      </c>
      <c r="G3163" s="9" t="s">
        <v>3842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3843</v>
      </c>
      <c r="N3163" s="4"/>
      <c r="O3163" s="5"/>
      <c r="P3163" s="10"/>
      <c r="Q3163" s="21" t="str">
        <f>VLOOKUP(tblProductos[[#This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3984</v>
      </c>
      <c r="D3164" s="9" t="s">
        <v>4032</v>
      </c>
      <c r="E3164" s="9"/>
      <c r="F3164" s="9">
        <v>100</v>
      </c>
      <c r="G3164" s="9" t="s">
        <v>3842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3843</v>
      </c>
      <c r="N3164" s="4"/>
      <c r="O3164" s="5"/>
      <c r="P3164" s="10"/>
      <c r="Q3164" s="21" t="str">
        <f>VLOOKUP(tblProductos[[#This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3984</v>
      </c>
      <c r="D3165" s="9" t="s">
        <v>4033</v>
      </c>
      <c r="E3165" s="9"/>
      <c r="F3165" s="9">
        <v>100</v>
      </c>
      <c r="G3165" s="9" t="s">
        <v>3842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3843</v>
      </c>
      <c r="N3165" s="4"/>
      <c r="O3165" s="5"/>
      <c r="P3165" s="10"/>
      <c r="Q3165" s="21" t="str">
        <f>VLOOKUP(tblProductos[[#This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3984</v>
      </c>
      <c r="D3166" s="9" t="s">
        <v>4144</v>
      </c>
      <c r="E3166" s="9"/>
      <c r="F3166" s="9">
        <v>100</v>
      </c>
      <c r="G3166" s="9" t="s">
        <v>3842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3843</v>
      </c>
      <c r="N3166" s="4"/>
      <c r="O3166" s="5"/>
      <c r="P3166" s="10"/>
      <c r="Q3166" s="21" t="str">
        <f>VLOOKUP(tblProductos[[#This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3984</v>
      </c>
      <c r="D3167" s="9" t="s">
        <v>4014</v>
      </c>
      <c r="E3167" s="9"/>
      <c r="F3167" s="9">
        <v>100</v>
      </c>
      <c r="G3167" s="9" t="s">
        <v>3842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3843</v>
      </c>
      <c r="N3167" s="4"/>
      <c r="O3167" s="5"/>
      <c r="P3167" s="10"/>
      <c r="Q3167" s="21" t="str">
        <f>VLOOKUP(tblProductos[[#This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3984</v>
      </c>
      <c r="D3168" s="9" t="s">
        <v>4008</v>
      </c>
      <c r="E3168" s="9"/>
      <c r="F3168" s="9">
        <v>100</v>
      </c>
      <c r="G3168" s="9" t="s">
        <v>3842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3843</v>
      </c>
      <c r="N3168" s="4"/>
      <c r="O3168" s="5"/>
      <c r="P3168" s="10"/>
      <c r="Q3168" s="21" t="str">
        <f>VLOOKUP(tblProductos[[#This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3984</v>
      </c>
      <c r="D3169" s="9" t="s">
        <v>4020</v>
      </c>
      <c r="E3169" s="9"/>
      <c r="F3169" s="9">
        <v>100</v>
      </c>
      <c r="G3169" s="9" t="s">
        <v>3842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3843</v>
      </c>
      <c r="N3169" s="4"/>
      <c r="O3169" s="5"/>
      <c r="P3169" s="10"/>
      <c r="Q3169" s="21" t="str">
        <f>VLOOKUP(tblProductos[[#This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3984</v>
      </c>
      <c r="D3170" s="9" t="s">
        <v>4016</v>
      </c>
      <c r="E3170" s="9"/>
      <c r="F3170" s="9">
        <v>100</v>
      </c>
      <c r="G3170" s="9" t="s">
        <v>3842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3843</v>
      </c>
      <c r="N3170" s="4"/>
      <c r="O3170" s="5"/>
      <c r="P3170" s="10"/>
      <c r="Q3170" s="21" t="str">
        <f>VLOOKUP(tblProductos[[#This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3984</v>
      </c>
      <c r="D3171" s="9" t="s">
        <v>4145</v>
      </c>
      <c r="E3171" s="9"/>
      <c r="F3171" s="9">
        <v>100</v>
      </c>
      <c r="G3171" s="9" t="s">
        <v>3842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3843</v>
      </c>
      <c r="N3171" s="4"/>
      <c r="O3171" s="5"/>
      <c r="P3171" s="10"/>
      <c r="Q3171" s="21" t="str">
        <f>VLOOKUP(tblProductos[[#This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3984</v>
      </c>
      <c r="D3172" s="9" t="s">
        <v>4021</v>
      </c>
      <c r="E3172" s="9"/>
      <c r="F3172" s="9">
        <v>100</v>
      </c>
      <c r="G3172" s="9" t="s">
        <v>3842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3843</v>
      </c>
      <c r="N3172" s="4"/>
      <c r="O3172" s="5"/>
      <c r="P3172" s="10"/>
      <c r="Q3172" s="21" t="str">
        <f>VLOOKUP(tblProductos[[#This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3984</v>
      </c>
      <c r="D3173" s="9" t="s">
        <v>4015</v>
      </c>
      <c r="E3173" s="9"/>
      <c r="F3173" s="9">
        <v>100</v>
      </c>
      <c r="G3173" s="9" t="s">
        <v>3842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3843</v>
      </c>
      <c r="N3173" s="4"/>
      <c r="O3173" s="5"/>
      <c r="P3173" s="10"/>
      <c r="Q3173" s="21" t="str">
        <f>VLOOKUP(tblProductos[[#This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3984</v>
      </c>
      <c r="D3174" s="9" t="s">
        <v>4054</v>
      </c>
      <c r="E3174" s="9"/>
      <c r="F3174" s="9">
        <v>100</v>
      </c>
      <c r="G3174" s="9" t="s">
        <v>3842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3843</v>
      </c>
      <c r="N3174" s="4"/>
      <c r="O3174" s="5"/>
      <c r="P3174" s="10"/>
      <c r="Q3174" s="21" t="str">
        <f>VLOOKUP(tblProductos[[#This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3984</v>
      </c>
      <c r="D3175" s="9" t="s">
        <v>4022</v>
      </c>
      <c r="E3175" s="9"/>
      <c r="F3175" s="9">
        <v>100</v>
      </c>
      <c r="G3175" s="9" t="s">
        <v>3842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3843</v>
      </c>
      <c r="N3175" s="4"/>
      <c r="O3175" s="5"/>
      <c r="P3175" s="10"/>
      <c r="Q3175" s="21" t="str">
        <f>VLOOKUP(tblProductos[[#This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3984</v>
      </c>
      <c r="D3176" s="9" t="s">
        <v>3919</v>
      </c>
      <c r="E3176" s="9"/>
      <c r="F3176" s="9">
        <v>100</v>
      </c>
      <c r="G3176" s="9" t="s">
        <v>3842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3843</v>
      </c>
      <c r="N3176" s="4"/>
      <c r="O3176" s="5"/>
      <c r="P3176" s="10"/>
      <c r="Q3176" s="21" t="str">
        <f>VLOOKUP(tblProductos[[#This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3984</v>
      </c>
      <c r="D3177" s="9" t="s">
        <v>4023</v>
      </c>
      <c r="E3177" s="9"/>
      <c r="F3177" s="9">
        <v>100</v>
      </c>
      <c r="G3177" s="9" t="s">
        <v>3842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3843</v>
      </c>
      <c r="N3177" s="4"/>
      <c r="O3177" s="5"/>
      <c r="P3177" s="10"/>
      <c r="Q3177" s="21" t="str">
        <f>VLOOKUP(tblProductos[[#This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3984</v>
      </c>
      <c r="D3178" s="9" t="s">
        <v>4029</v>
      </c>
      <c r="E3178" s="9"/>
      <c r="F3178" s="9">
        <v>100</v>
      </c>
      <c r="G3178" s="9" t="s">
        <v>3842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3843</v>
      </c>
      <c r="N3178" s="4"/>
      <c r="O3178" s="5"/>
      <c r="P3178" s="10"/>
      <c r="Q3178" s="21" t="str">
        <f>VLOOKUP(tblProductos[[#This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3984</v>
      </c>
      <c r="D3179" s="9" t="s">
        <v>4024</v>
      </c>
      <c r="E3179" s="9"/>
      <c r="F3179" s="9">
        <v>100</v>
      </c>
      <c r="G3179" s="9" t="s">
        <v>3842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3843</v>
      </c>
      <c r="N3179" s="4"/>
      <c r="O3179" s="5"/>
      <c r="P3179" s="10"/>
      <c r="Q3179" s="21" t="str">
        <f>VLOOKUP(tblProductos[[#This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3984</v>
      </c>
      <c r="D3180" s="9" t="s">
        <v>4034</v>
      </c>
      <c r="E3180" s="9"/>
      <c r="F3180" s="9">
        <v>100</v>
      </c>
      <c r="G3180" s="9" t="s">
        <v>3842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3843</v>
      </c>
      <c r="N3180" s="4"/>
      <c r="O3180" s="5"/>
      <c r="P3180" s="10"/>
      <c r="Q3180" s="21" t="str">
        <f>VLOOKUP(tblProductos[[#This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3984</v>
      </c>
      <c r="D3181" s="9" t="s">
        <v>4035</v>
      </c>
      <c r="E3181" s="9"/>
      <c r="F3181" s="9">
        <v>100</v>
      </c>
      <c r="G3181" s="9" t="s">
        <v>3842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3843</v>
      </c>
      <c r="N3181" s="4"/>
      <c r="O3181" s="5"/>
      <c r="P3181" s="10"/>
      <c r="Q3181" s="21" t="str">
        <f>VLOOKUP(tblProductos[[#This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3984</v>
      </c>
      <c r="D3182" s="9" t="s">
        <v>4017</v>
      </c>
      <c r="E3182" s="9"/>
      <c r="F3182" s="9">
        <v>80</v>
      </c>
      <c r="G3182" s="9" t="s">
        <v>3842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3843</v>
      </c>
      <c r="N3182" s="4"/>
      <c r="O3182" s="5"/>
      <c r="P3182" s="10"/>
      <c r="Q3182" s="21" t="str">
        <f>VLOOKUP(tblProductos[[#This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3984</v>
      </c>
      <c r="D3183" s="9" t="s">
        <v>4010</v>
      </c>
      <c r="E3183" s="9"/>
      <c r="F3183" s="9">
        <v>80</v>
      </c>
      <c r="G3183" s="9" t="s">
        <v>3842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3843</v>
      </c>
      <c r="N3183" s="4"/>
      <c r="O3183" s="5"/>
      <c r="P3183" s="10"/>
      <c r="Q3183" s="21" t="str">
        <f>VLOOKUP(tblProductos[[#This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3984</v>
      </c>
      <c r="D3184" s="9" t="s">
        <v>4125</v>
      </c>
      <c r="E3184" s="9"/>
      <c r="F3184" s="9">
        <v>80</v>
      </c>
      <c r="G3184" s="9" t="s">
        <v>3842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3843</v>
      </c>
      <c r="N3184" s="4"/>
      <c r="O3184" s="5"/>
      <c r="P3184" s="10"/>
      <c r="Q3184" s="21" t="str">
        <f>VLOOKUP(tblProductos[[#This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3984</v>
      </c>
      <c r="D3185" s="9" t="s">
        <v>4056</v>
      </c>
      <c r="E3185" s="9"/>
      <c r="F3185" s="9">
        <v>80</v>
      </c>
      <c r="G3185" s="9" t="s">
        <v>3842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3843</v>
      </c>
      <c r="N3185" s="4"/>
      <c r="O3185" s="5"/>
      <c r="P3185" s="10"/>
      <c r="Q3185" s="21" t="str">
        <f>VLOOKUP(tblProductos[[#This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3984</v>
      </c>
      <c r="D3186" s="9" t="s">
        <v>4006</v>
      </c>
      <c r="E3186" s="9"/>
      <c r="F3186" s="9">
        <v>80</v>
      </c>
      <c r="G3186" s="9" t="s">
        <v>3842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3843</v>
      </c>
      <c r="N3186" s="4"/>
      <c r="O3186" s="5"/>
      <c r="P3186" s="10"/>
      <c r="Q3186" s="21" t="str">
        <f>VLOOKUP(tblProductos[[#This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3984</v>
      </c>
      <c r="D3187" s="9" t="s">
        <v>4143</v>
      </c>
      <c r="E3187" s="9"/>
      <c r="F3187" s="9">
        <v>80</v>
      </c>
      <c r="G3187" s="9" t="s">
        <v>3842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3843</v>
      </c>
      <c r="N3187" s="4"/>
      <c r="O3187" s="5"/>
      <c r="P3187" s="10"/>
      <c r="Q3187" s="21" t="str">
        <f>VLOOKUP(tblProductos[[#This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3984</v>
      </c>
      <c r="D3188" s="9" t="s">
        <v>4031</v>
      </c>
      <c r="E3188" s="9"/>
      <c r="F3188" s="9">
        <v>80</v>
      </c>
      <c r="G3188" s="9" t="s">
        <v>3842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3843</v>
      </c>
      <c r="N3188" s="4"/>
      <c r="O3188" s="5"/>
      <c r="P3188" s="10"/>
      <c r="Q3188" s="21" t="str">
        <f>VLOOKUP(tblProductos[[#This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3984</v>
      </c>
      <c r="D3189" s="9" t="s">
        <v>4011</v>
      </c>
      <c r="E3189" s="9"/>
      <c r="F3189" s="9">
        <v>80</v>
      </c>
      <c r="G3189" s="9" t="s">
        <v>3842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3843</v>
      </c>
      <c r="N3189" s="4"/>
      <c r="O3189" s="5"/>
      <c r="P3189" s="10"/>
      <c r="Q3189" s="21" t="str">
        <f>VLOOKUP(tblProductos[[#This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3984</v>
      </c>
      <c r="D3190" s="9" t="s">
        <v>4030</v>
      </c>
      <c r="E3190" s="9"/>
      <c r="F3190" s="9">
        <v>80</v>
      </c>
      <c r="G3190" s="9" t="s">
        <v>3842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3843</v>
      </c>
      <c r="N3190" s="4"/>
      <c r="O3190" s="5"/>
      <c r="P3190" s="10"/>
      <c r="Q3190" s="21" t="str">
        <f>VLOOKUP(tblProductos[[#This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3984</v>
      </c>
      <c r="D3191" s="9" t="s">
        <v>4018</v>
      </c>
      <c r="E3191" s="9"/>
      <c r="F3191" s="9">
        <v>80</v>
      </c>
      <c r="G3191" s="9" t="s">
        <v>3842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3843</v>
      </c>
      <c r="N3191" s="4"/>
      <c r="O3191" s="5"/>
      <c r="P3191" s="10"/>
      <c r="Q3191" s="21" t="str">
        <f>VLOOKUP(tblProductos[[#This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3984</v>
      </c>
      <c r="D3192" s="9" t="s">
        <v>4009</v>
      </c>
      <c r="E3192" s="9"/>
      <c r="F3192" s="9">
        <v>80</v>
      </c>
      <c r="G3192" s="9" t="s">
        <v>3842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3843</v>
      </c>
      <c r="N3192" s="4"/>
      <c r="O3192" s="5"/>
      <c r="P3192" s="10"/>
      <c r="Q3192" s="21" t="str">
        <f>VLOOKUP(tblProductos[[#This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3984</v>
      </c>
      <c r="D3193" s="9" t="s">
        <v>4012</v>
      </c>
      <c r="E3193" s="9"/>
      <c r="F3193" s="9">
        <v>80</v>
      </c>
      <c r="G3193" s="9" t="s">
        <v>3842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3843</v>
      </c>
      <c r="N3193" s="4"/>
      <c r="O3193" s="5"/>
      <c r="P3193" s="10"/>
      <c r="Q3193" s="21" t="str">
        <f>VLOOKUP(tblProductos[[#This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3984</v>
      </c>
      <c r="D3194" s="9" t="s">
        <v>4013</v>
      </c>
      <c r="E3194" s="9"/>
      <c r="F3194" s="9">
        <v>80</v>
      </c>
      <c r="G3194" s="9" t="s">
        <v>3842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3843</v>
      </c>
      <c r="N3194" s="4"/>
      <c r="O3194" s="5"/>
      <c r="P3194" s="10"/>
      <c r="Q3194" s="21" t="str">
        <f>VLOOKUP(tblProductos[[#This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3984</v>
      </c>
      <c r="D3195" s="9" t="s">
        <v>3923</v>
      </c>
      <c r="E3195" s="9"/>
      <c r="F3195" s="9">
        <v>80</v>
      </c>
      <c r="G3195" s="9" t="s">
        <v>3842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3843</v>
      </c>
      <c r="N3195" s="4"/>
      <c r="O3195" s="5"/>
      <c r="P3195" s="10"/>
      <c r="Q3195" s="21" t="str">
        <f>VLOOKUP(tblProductos[[#This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3984</v>
      </c>
      <c r="D3196" s="9" t="s">
        <v>4019</v>
      </c>
      <c r="E3196" s="9"/>
      <c r="F3196" s="9">
        <v>80</v>
      </c>
      <c r="G3196" s="9" t="s">
        <v>3842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3843</v>
      </c>
      <c r="N3196" s="4"/>
      <c r="O3196" s="5"/>
      <c r="P3196" s="10"/>
      <c r="Q3196" s="21" t="str">
        <f>VLOOKUP(tblProductos[[#This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3984</v>
      </c>
      <c r="D3197" s="9" t="s">
        <v>4032</v>
      </c>
      <c r="E3197" s="9"/>
      <c r="F3197" s="9">
        <v>80</v>
      </c>
      <c r="G3197" s="9" t="s">
        <v>3842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3843</v>
      </c>
      <c r="N3197" s="4"/>
      <c r="O3197" s="5"/>
      <c r="P3197" s="10"/>
      <c r="Q3197" s="21" t="str">
        <f>VLOOKUP(tblProductos[[#This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3984</v>
      </c>
      <c r="D3198" s="9" t="s">
        <v>4007</v>
      </c>
      <c r="E3198" s="9"/>
      <c r="F3198" s="9">
        <v>80</v>
      </c>
      <c r="G3198" s="9" t="s">
        <v>3842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3843</v>
      </c>
      <c r="N3198" s="4"/>
      <c r="O3198" s="5"/>
      <c r="P3198" s="10"/>
      <c r="Q3198" s="21" t="str">
        <f>VLOOKUP(tblProductos[[#This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3984</v>
      </c>
      <c r="D3199" s="9" t="s">
        <v>4033</v>
      </c>
      <c r="E3199" s="9"/>
      <c r="F3199" s="9">
        <v>80</v>
      </c>
      <c r="G3199" s="9" t="s">
        <v>3842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3843</v>
      </c>
      <c r="N3199" s="4"/>
      <c r="O3199" s="5"/>
      <c r="P3199" s="10"/>
      <c r="Q3199" s="21" t="str">
        <f>VLOOKUP(tblProductos[[#This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3984</v>
      </c>
      <c r="D3200" s="9" t="s">
        <v>4144</v>
      </c>
      <c r="E3200" s="9"/>
      <c r="F3200" s="9">
        <v>80</v>
      </c>
      <c r="G3200" s="9" t="s">
        <v>3842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3843</v>
      </c>
      <c r="N3200" s="4"/>
      <c r="O3200" s="5"/>
      <c r="P3200" s="10"/>
      <c r="Q3200" s="21" t="str">
        <f>VLOOKUP(tblProductos[[#This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3984</v>
      </c>
      <c r="D3201" s="9" t="s">
        <v>4014</v>
      </c>
      <c r="E3201" s="9"/>
      <c r="F3201" s="9">
        <v>80</v>
      </c>
      <c r="G3201" s="9" t="s">
        <v>3842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3843</v>
      </c>
      <c r="N3201" s="4"/>
      <c r="O3201" s="5"/>
      <c r="P3201" s="10"/>
      <c r="Q3201" s="21" t="str">
        <f>VLOOKUP(tblProductos[[#This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3984</v>
      </c>
      <c r="D3202" s="9" t="s">
        <v>4008</v>
      </c>
      <c r="E3202" s="9"/>
      <c r="F3202" s="9">
        <v>80</v>
      </c>
      <c r="G3202" s="9" t="s">
        <v>3842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3843</v>
      </c>
      <c r="N3202" s="4"/>
      <c r="O3202" s="5"/>
      <c r="P3202" s="10"/>
      <c r="Q3202" s="21" t="str">
        <f>VLOOKUP(tblProductos[[#This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3984</v>
      </c>
      <c r="D3203" s="9" t="s">
        <v>4020</v>
      </c>
      <c r="E3203" s="9"/>
      <c r="F3203" s="9">
        <v>80</v>
      </c>
      <c r="G3203" s="9" t="s">
        <v>3842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3843</v>
      </c>
      <c r="N3203" s="4"/>
      <c r="O3203" s="5"/>
      <c r="P3203" s="10"/>
      <c r="Q3203" s="21" t="str">
        <f>VLOOKUP(tblProductos[[#This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3984</v>
      </c>
      <c r="D3204" s="9" t="s">
        <v>4016</v>
      </c>
      <c r="E3204" s="9"/>
      <c r="F3204" s="9">
        <v>80</v>
      </c>
      <c r="G3204" s="9" t="s">
        <v>3842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3843</v>
      </c>
      <c r="N3204" s="4"/>
      <c r="O3204" s="5"/>
      <c r="P3204" s="10"/>
      <c r="Q3204" s="21" t="str">
        <f>VLOOKUP(tblProductos[[#This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3984</v>
      </c>
      <c r="D3205" s="9" t="s">
        <v>4145</v>
      </c>
      <c r="E3205" s="9"/>
      <c r="F3205" s="9">
        <v>80</v>
      </c>
      <c r="G3205" s="9" t="s">
        <v>3842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3843</v>
      </c>
      <c r="N3205" s="4"/>
      <c r="O3205" s="5"/>
      <c r="P3205" s="10"/>
      <c r="Q3205" s="21" t="str">
        <f>VLOOKUP(tblProductos[[#This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3984</v>
      </c>
      <c r="D3206" s="9" t="s">
        <v>3841</v>
      </c>
      <c r="E3206" s="9"/>
      <c r="F3206" s="9">
        <v>80</v>
      </c>
      <c r="G3206" s="9" t="s">
        <v>3842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3843</v>
      </c>
      <c r="N3206" s="4"/>
      <c r="O3206" s="5"/>
      <c r="P3206" s="10"/>
      <c r="Q3206" s="21" t="str">
        <f>VLOOKUP(tblProductos[[#This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3984</v>
      </c>
      <c r="D3207" s="9" t="s">
        <v>4021</v>
      </c>
      <c r="E3207" s="9"/>
      <c r="F3207" s="9">
        <v>80</v>
      </c>
      <c r="G3207" s="9" t="s">
        <v>3842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3843</v>
      </c>
      <c r="N3207" s="4"/>
      <c r="O3207" s="5"/>
      <c r="P3207" s="10"/>
      <c r="Q3207" s="21" t="str">
        <f>VLOOKUP(tblProductos[[#This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3984</v>
      </c>
      <c r="D3208" s="9" t="s">
        <v>4015</v>
      </c>
      <c r="E3208" s="9"/>
      <c r="F3208" s="9">
        <v>80</v>
      </c>
      <c r="G3208" s="9" t="s">
        <v>3842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3843</v>
      </c>
      <c r="N3208" s="4"/>
      <c r="O3208" s="5"/>
      <c r="P3208" s="10"/>
      <c r="Q3208" s="21" t="str">
        <f>VLOOKUP(tblProductos[[#This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3984</v>
      </c>
      <c r="D3209" s="9" t="s">
        <v>4054</v>
      </c>
      <c r="E3209" s="9"/>
      <c r="F3209" s="9">
        <v>80</v>
      </c>
      <c r="G3209" s="9" t="s">
        <v>3842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3843</v>
      </c>
      <c r="N3209" s="4"/>
      <c r="O3209" s="5"/>
      <c r="P3209" s="10"/>
      <c r="Q3209" s="21" t="str">
        <f>VLOOKUP(tblProductos[[#This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3984</v>
      </c>
      <c r="D3210" s="9" t="s">
        <v>4118</v>
      </c>
      <c r="E3210" s="9"/>
      <c r="F3210" s="9">
        <v>80</v>
      </c>
      <c r="G3210" s="9" t="s">
        <v>3842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3843</v>
      </c>
      <c r="N3210" s="4"/>
      <c r="O3210" s="5"/>
      <c r="P3210" s="10"/>
      <c r="Q3210" s="21" t="str">
        <f>VLOOKUP(tblProductos[[#This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3984</v>
      </c>
      <c r="D3211" s="9" t="s">
        <v>4022</v>
      </c>
      <c r="E3211" s="9"/>
      <c r="F3211" s="9">
        <v>80</v>
      </c>
      <c r="G3211" s="9" t="s">
        <v>3842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3843</v>
      </c>
      <c r="N3211" s="4"/>
      <c r="O3211" s="5"/>
      <c r="P3211" s="10"/>
      <c r="Q3211" s="21" t="str">
        <f>VLOOKUP(tblProductos[[#This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3984</v>
      </c>
      <c r="D3212" s="9" t="s">
        <v>3919</v>
      </c>
      <c r="E3212" s="9"/>
      <c r="F3212" s="9">
        <v>80</v>
      </c>
      <c r="G3212" s="9" t="s">
        <v>3842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3843</v>
      </c>
      <c r="N3212" s="4"/>
      <c r="O3212" s="5"/>
      <c r="P3212" s="10"/>
      <c r="Q3212" s="21" t="str">
        <f>VLOOKUP(tblProductos[[#This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3984</v>
      </c>
      <c r="D3213" s="9" t="s">
        <v>4023</v>
      </c>
      <c r="E3213" s="9"/>
      <c r="F3213" s="9">
        <v>80</v>
      </c>
      <c r="G3213" s="9" t="s">
        <v>3842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3843</v>
      </c>
      <c r="N3213" s="4"/>
      <c r="O3213" s="5"/>
      <c r="P3213" s="10"/>
      <c r="Q3213" s="21" t="str">
        <f>VLOOKUP(tblProductos[[#This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3984</v>
      </c>
      <c r="D3214" s="9" t="s">
        <v>4029</v>
      </c>
      <c r="E3214" s="9"/>
      <c r="F3214" s="9">
        <v>80</v>
      </c>
      <c r="G3214" s="9" t="s">
        <v>3842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3843</v>
      </c>
      <c r="N3214" s="4"/>
      <c r="O3214" s="5"/>
      <c r="P3214" s="10"/>
      <c r="Q3214" s="21" t="str">
        <f>VLOOKUP(tblProductos[[#This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3984</v>
      </c>
      <c r="D3215" s="9" t="s">
        <v>4024</v>
      </c>
      <c r="E3215" s="9"/>
      <c r="F3215" s="9">
        <v>80</v>
      </c>
      <c r="G3215" s="9" t="s">
        <v>3842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3843</v>
      </c>
      <c r="N3215" s="4"/>
      <c r="O3215" s="5"/>
      <c r="P3215" s="10"/>
      <c r="Q3215" s="21" t="str">
        <f>VLOOKUP(tblProductos[[#This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3984</v>
      </c>
      <c r="D3216" s="9" t="s">
        <v>4034</v>
      </c>
      <c r="E3216" s="9"/>
      <c r="F3216" s="9">
        <v>80</v>
      </c>
      <c r="G3216" s="9" t="s">
        <v>3842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3843</v>
      </c>
      <c r="N3216" s="4"/>
      <c r="O3216" s="5"/>
      <c r="P3216" s="10"/>
      <c r="Q3216" s="21" t="str">
        <f>VLOOKUP(tblProductos[[#This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3984</v>
      </c>
      <c r="D3217" s="9" t="s">
        <v>4035</v>
      </c>
      <c r="E3217" s="9"/>
      <c r="F3217" s="9">
        <v>80</v>
      </c>
      <c r="G3217" s="9" t="s">
        <v>3842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3843</v>
      </c>
      <c r="N3217" s="4"/>
      <c r="O3217" s="5"/>
      <c r="P3217" s="10"/>
      <c r="Q3217" s="21" t="str">
        <f>VLOOKUP(tblProductos[[#This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4146</v>
      </c>
      <c r="D3218" s="9" t="s">
        <v>3841</v>
      </c>
      <c r="E3218" s="9"/>
      <c r="F3218" s="9">
        <v>50</v>
      </c>
      <c r="G3218" s="9" t="s">
        <v>3842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3843</v>
      </c>
      <c r="N3218" s="4"/>
      <c r="O3218" s="5">
        <v>5</v>
      </c>
      <c r="P3218" s="10"/>
      <c r="Q3218" s="21" t="str">
        <f>VLOOKUP(tblProductos[[#This Row],[id_proveedor]],tblProveedores[[#All],[id]:[nombre]],2,0)</f>
        <v>SHILOHTEX</v>
      </c>
    </row>
    <row r="3219" spans="1:17" x14ac:dyDescent="0.25">
      <c r="A3219" s="8">
        <v>3879</v>
      </c>
      <c r="B3219" s="8">
        <v>58</v>
      </c>
      <c r="C3219" s="9" t="s">
        <v>4147</v>
      </c>
      <c r="D3219" s="9" t="s">
        <v>3992</v>
      </c>
      <c r="E3219" s="9" t="s">
        <v>4004</v>
      </c>
      <c r="F3219" s="9">
        <v>1800</v>
      </c>
      <c r="G3219" s="9" t="s">
        <v>3886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3913</v>
      </c>
      <c r="N3219" s="4"/>
      <c r="O3219" s="5"/>
      <c r="P3219" s="10"/>
      <c r="Q3219" s="21" t="str">
        <f>VLOOKUP(tblProductos[[#This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4148</v>
      </c>
      <c r="D3220" s="9" t="s">
        <v>3841</v>
      </c>
      <c r="E3220" s="9" t="s">
        <v>3879</v>
      </c>
      <c r="F3220" s="9">
        <v>120</v>
      </c>
      <c r="G3220" s="9" t="s">
        <v>3873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3868</v>
      </c>
      <c r="N3220" s="4"/>
      <c r="O3220" s="5"/>
      <c r="P3220" s="10"/>
      <c r="Q3220" s="21" t="str">
        <f>VLOOKUP(tblProductos[[#This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4149</v>
      </c>
      <c r="D3221" s="9" t="s">
        <v>3841</v>
      </c>
      <c r="E3221" s="9">
        <v>2.5</v>
      </c>
      <c r="F3221" s="9">
        <v>1</v>
      </c>
      <c r="G3221" s="9" t="s">
        <v>3842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4037</v>
      </c>
      <c r="N3221" s="4"/>
      <c r="O3221" s="5"/>
      <c r="P3221" s="4"/>
      <c r="Q3221" s="21" t="str">
        <f>VLOOKUP(tblProductos[[#This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4150</v>
      </c>
      <c r="D3222" s="9" t="s">
        <v>3841</v>
      </c>
      <c r="E3222" s="9" t="s">
        <v>4151</v>
      </c>
      <c r="F3222" s="9">
        <v>1</v>
      </c>
      <c r="G3222" s="9" t="s">
        <v>3842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4037</v>
      </c>
      <c r="N3222" s="4"/>
      <c r="O3222" s="5"/>
      <c r="P3222" s="4"/>
      <c r="Q3222" s="21" t="str">
        <f>VLOOKUP(tblProductos[[#This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3114</v>
      </c>
      <c r="D3223" s="2" t="s">
        <v>3888</v>
      </c>
      <c r="E3223" s="9"/>
      <c r="F3223" s="2">
        <v>100</v>
      </c>
      <c r="G3223" s="2" t="s">
        <v>3842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3843</v>
      </c>
      <c r="N3223" s="4"/>
      <c r="O3223" s="5"/>
      <c r="P3223" s="10"/>
      <c r="Q3223" s="21" t="str">
        <f>VLOOKUP(tblProductos[[#This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3114</v>
      </c>
      <c r="D3224" s="9" t="s">
        <v>3841</v>
      </c>
      <c r="E3224" s="9"/>
      <c r="F3224" s="9">
        <v>100</v>
      </c>
      <c r="G3224" s="9" t="s">
        <v>3842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3843</v>
      </c>
      <c r="N3224" s="4"/>
      <c r="O3224" s="5"/>
      <c r="P3224" s="10"/>
      <c r="Q3224" s="21" t="str">
        <f>VLOOKUP(tblProductos[[#This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4152</v>
      </c>
      <c r="D3225" s="9" t="s">
        <v>3841</v>
      </c>
      <c r="E3225" s="9"/>
      <c r="F3225" s="9">
        <v>50</v>
      </c>
      <c r="G3225" s="9" t="s">
        <v>3842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3843</v>
      </c>
      <c r="N3225" s="4"/>
      <c r="O3225" s="5"/>
      <c r="P3225" s="10"/>
      <c r="Q3225" s="21" t="str">
        <f>VLOOKUP(tblProductos[[#This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4152</v>
      </c>
      <c r="D3226" s="9" t="s">
        <v>3888</v>
      </c>
      <c r="E3226" s="9"/>
      <c r="F3226" s="9">
        <v>50</v>
      </c>
      <c r="G3226" s="9" t="s">
        <v>3842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3843</v>
      </c>
      <c r="N3226" s="4"/>
      <c r="O3226" s="5"/>
      <c r="P3226" s="10"/>
      <c r="Q3226" s="21" t="str">
        <f>VLOOKUP(tblProductos[[#This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4152</v>
      </c>
      <c r="D3227" s="9" t="s">
        <v>4011</v>
      </c>
      <c r="E3227" s="9"/>
      <c r="F3227" s="9">
        <v>50</v>
      </c>
      <c r="G3227" s="9" t="s">
        <v>3842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3843</v>
      </c>
      <c r="N3227" s="4"/>
      <c r="O3227" s="5"/>
      <c r="P3227" s="10"/>
      <c r="Q3227" s="21" t="str">
        <f>VLOOKUP(tblProductos[[#This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4152</v>
      </c>
      <c r="D3228" s="9" t="s">
        <v>4009</v>
      </c>
      <c r="E3228" s="9"/>
      <c r="F3228" s="9">
        <v>50</v>
      </c>
      <c r="G3228" s="9" t="s">
        <v>3842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3843</v>
      </c>
      <c r="N3228" s="4"/>
      <c r="O3228" s="5"/>
      <c r="P3228" s="10"/>
      <c r="Q3228" s="21" t="str">
        <f>VLOOKUP(tblProductos[[#This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4152</v>
      </c>
      <c r="D3229" s="9" t="s">
        <v>3919</v>
      </c>
      <c r="E3229" s="9"/>
      <c r="F3229" s="9">
        <v>50</v>
      </c>
      <c r="G3229" s="9" t="s">
        <v>3842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3843</v>
      </c>
      <c r="N3229" s="4"/>
      <c r="O3229" s="5"/>
      <c r="P3229" s="10"/>
      <c r="Q3229" s="21" t="str">
        <f>VLOOKUP(tblProductos[[#This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4152</v>
      </c>
      <c r="D3230" s="9" t="s">
        <v>4015</v>
      </c>
      <c r="E3230" s="9"/>
      <c r="F3230" s="9">
        <v>50</v>
      </c>
      <c r="G3230" s="9" t="s">
        <v>3842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3843</v>
      </c>
      <c r="N3230" s="4"/>
      <c r="O3230" s="5"/>
      <c r="P3230" s="10"/>
      <c r="Q3230" s="21" t="str">
        <f>VLOOKUP(tblProductos[[#This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4152</v>
      </c>
      <c r="D3231" s="9" t="s">
        <v>4013</v>
      </c>
      <c r="E3231" s="9"/>
      <c r="F3231" s="9">
        <v>50</v>
      </c>
      <c r="G3231" s="9" t="s">
        <v>3842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3843</v>
      </c>
      <c r="N3231" s="4"/>
      <c r="O3231" s="5"/>
      <c r="P3231" s="10"/>
      <c r="Q3231" s="21" t="str">
        <f>VLOOKUP(tblProductos[[#This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4152</v>
      </c>
      <c r="D3232" s="9" t="s">
        <v>4007</v>
      </c>
      <c r="E3232" s="9"/>
      <c r="F3232" s="9">
        <v>50</v>
      </c>
      <c r="G3232" s="9" t="s">
        <v>3842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3843</v>
      </c>
      <c r="N3232" s="4"/>
      <c r="O3232" s="5"/>
      <c r="P3232" s="10"/>
      <c r="Q3232" s="21" t="str">
        <f>VLOOKUP(tblProductos[[#This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4153</v>
      </c>
      <c r="D3233" s="9" t="s">
        <v>3976</v>
      </c>
      <c r="E3233" s="9" t="s">
        <v>3901</v>
      </c>
      <c r="F3233" s="9">
        <v>3000</v>
      </c>
      <c r="G3233" s="9" t="s">
        <v>3867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3895</v>
      </c>
      <c r="N3233" s="4"/>
      <c r="O3233" s="5"/>
      <c r="P3233" s="10"/>
      <c r="Q3233" s="21" t="str">
        <f>VLOOKUP(tblProductos[[#This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4154</v>
      </c>
      <c r="D3234" s="9" t="s">
        <v>3976</v>
      </c>
      <c r="E3234" s="9" t="s">
        <v>3897</v>
      </c>
      <c r="F3234" s="9">
        <v>10000</v>
      </c>
      <c r="G3234" s="9" t="s">
        <v>3867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3895</v>
      </c>
      <c r="N3234" s="4"/>
      <c r="O3234" s="5"/>
      <c r="P3234" s="10"/>
      <c r="Q3234" s="21" t="str">
        <f>VLOOKUP(tblProductos[[#This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4155</v>
      </c>
      <c r="D3235" s="9" t="s">
        <v>3888</v>
      </c>
      <c r="E3235" s="9" t="s">
        <v>4156</v>
      </c>
      <c r="F3235" s="9">
        <v>200</v>
      </c>
      <c r="G3235" s="9" t="s">
        <v>3842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3843</v>
      </c>
      <c r="N3235" s="4"/>
      <c r="O3235" s="5"/>
      <c r="P3235" s="10"/>
      <c r="Q3235" s="21" t="str">
        <f>VLOOKUP(tblProductos[[#This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4155</v>
      </c>
      <c r="D3236" s="9" t="s">
        <v>3923</v>
      </c>
      <c r="E3236" s="9" t="s">
        <v>4156</v>
      </c>
      <c r="F3236" s="9">
        <v>200</v>
      </c>
      <c r="G3236" s="9" t="s">
        <v>3842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3843</v>
      </c>
      <c r="N3236" s="4"/>
      <c r="O3236" s="5"/>
      <c r="P3236" s="10"/>
      <c r="Q3236" s="21" t="str">
        <f>VLOOKUP(tblProductos[[#This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4155</v>
      </c>
      <c r="D3237" s="9" t="s">
        <v>4012</v>
      </c>
      <c r="E3237" s="9" t="s">
        <v>4156</v>
      </c>
      <c r="F3237" s="9">
        <v>200</v>
      </c>
      <c r="G3237" s="9" t="s">
        <v>3842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3843</v>
      </c>
      <c r="N3237" s="4"/>
      <c r="O3237" s="5"/>
      <c r="P3237" s="10"/>
      <c r="Q3237" s="21" t="str">
        <f>VLOOKUP(tblProductos[[#This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4157</v>
      </c>
      <c r="D3238" s="9" t="s">
        <v>3841</v>
      </c>
      <c r="E3238" s="9"/>
      <c r="F3238" s="9">
        <v>50</v>
      </c>
      <c r="G3238" s="9" t="s">
        <v>3842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3843</v>
      </c>
      <c r="N3238" s="4"/>
      <c r="O3238" s="5"/>
      <c r="P3238" s="10"/>
      <c r="Q3238" s="21" t="str">
        <f>VLOOKUP(tblProductos[[#This Row],[id_proveedor]],tblProveedores[[#All],[id]:[nombre]],2,0)</f>
        <v>MARCOS</v>
      </c>
    </row>
    <row r="3239" spans="1:17" x14ac:dyDescent="0.25">
      <c r="A3239" s="8">
        <v>3888</v>
      </c>
      <c r="B3239" s="8">
        <v>59</v>
      </c>
      <c r="C3239" s="9" t="s">
        <v>4158</v>
      </c>
      <c r="D3239" s="9" t="s">
        <v>3841</v>
      </c>
      <c r="E3239" s="9"/>
      <c r="F3239" s="9">
        <v>50</v>
      </c>
      <c r="G3239" s="9" t="s">
        <v>3842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3843</v>
      </c>
      <c r="N3239" s="4"/>
      <c r="O3239" s="5"/>
      <c r="P3239" s="10"/>
      <c r="Q3239" s="21" t="str">
        <f>VLOOKUP(tblProductos[[#This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59</v>
      </c>
      <c r="C3240" s="9" t="s">
        <v>4158</v>
      </c>
      <c r="D3240" s="9" t="s">
        <v>3888</v>
      </c>
      <c r="E3240" s="9"/>
      <c r="F3240" s="9">
        <v>50</v>
      </c>
      <c r="G3240" s="9" t="s">
        <v>3842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3843</v>
      </c>
      <c r="N3240" s="4"/>
      <c r="O3240" s="5"/>
      <c r="P3240" s="10"/>
      <c r="Q3240" s="21" t="str">
        <f>VLOOKUP(tblProductos[[#This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59</v>
      </c>
      <c r="C3241" s="9" t="s">
        <v>4158</v>
      </c>
      <c r="D3241" s="9" t="s">
        <v>4021</v>
      </c>
      <c r="E3241" s="9"/>
      <c r="F3241" s="9">
        <v>50</v>
      </c>
      <c r="G3241" s="9" t="s">
        <v>3842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3843</v>
      </c>
      <c r="N3241" s="4"/>
      <c r="O3241" s="5"/>
      <c r="P3241" s="10"/>
      <c r="Q3241" s="21" t="str">
        <f>VLOOKUP(tblProductos[[#This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59</v>
      </c>
      <c r="C3242" s="9" t="s">
        <v>4158</v>
      </c>
      <c r="D3242" s="9" t="s">
        <v>4035</v>
      </c>
      <c r="E3242" s="9"/>
      <c r="F3242" s="9">
        <v>50</v>
      </c>
      <c r="G3242" s="9" t="s">
        <v>3842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3843</v>
      </c>
      <c r="N3242" s="4"/>
      <c r="O3242" s="5"/>
      <c r="P3242" s="10"/>
      <c r="Q3242" s="21" t="str">
        <f>VLOOKUP(tblProductos[[#This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59</v>
      </c>
      <c r="C3243" s="9" t="s">
        <v>4158</v>
      </c>
      <c r="D3243" s="9" t="s">
        <v>4013</v>
      </c>
      <c r="E3243" s="9"/>
      <c r="F3243" s="9">
        <v>50</v>
      </c>
      <c r="G3243" s="9" t="s">
        <v>3842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3843</v>
      </c>
      <c r="N3243" s="4"/>
      <c r="O3243" s="5"/>
      <c r="P3243" s="10"/>
      <c r="Q3243" s="21" t="str">
        <f>VLOOKUP(tblProductos[[#This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F2" sqref="F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4173</v>
      </c>
      <c r="B1" t="s">
        <v>4247</v>
      </c>
      <c r="C1" t="s">
        <v>4248</v>
      </c>
      <c r="D1" t="s">
        <v>4169</v>
      </c>
      <c r="E1" t="s">
        <v>4249</v>
      </c>
      <c r="F1" t="s">
        <v>4341</v>
      </c>
      <c r="G1" t="s">
        <v>4250</v>
      </c>
      <c r="H1" t="s">
        <v>4251</v>
      </c>
      <c r="I1" t="s">
        <v>4252</v>
      </c>
      <c r="J1" t="s">
        <v>4253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4173</v>
      </c>
      <c r="B1" t="s">
        <v>4254</v>
      </c>
      <c r="C1" t="s">
        <v>4248</v>
      </c>
      <c r="D1" t="s">
        <v>4169</v>
      </c>
      <c r="E1" t="s">
        <v>4255</v>
      </c>
      <c r="F1" t="s">
        <v>4256</v>
      </c>
      <c r="G1" t="s">
        <v>4257</v>
      </c>
      <c r="H1" t="s">
        <v>4258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1"/>
  <sheetViews>
    <sheetView showGridLines="0" zoomScale="75" zoomScaleNormal="75" workbookViewId="0">
      <pane ySplit="1" topLeftCell="A2" activePane="bottomLeft" state="frozen"/>
      <selection pane="bottomLeft" activeCell="B1" sqref="B1:D1"/>
    </sheetView>
  </sheetViews>
  <sheetFormatPr baseColWidth="10" defaultRowHeight="15" x14ac:dyDescent="0.25"/>
  <cols>
    <col min="1" max="3" width="11.5703125" customWidth="1"/>
    <col min="4" max="4" width="19.85546875" customWidth="1"/>
  </cols>
  <sheetData>
    <row r="1" spans="1:4" x14ac:dyDescent="0.25">
      <c r="A1" t="s">
        <v>4173</v>
      </c>
      <c r="B1" t="s">
        <v>4159</v>
      </c>
      <c r="C1" t="s">
        <v>4259</v>
      </c>
      <c r="D1" t="s">
        <v>4260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4261</v>
      </c>
      <c r="B1" t="s">
        <v>4262</v>
      </c>
    </row>
    <row r="2" spans="1:2" x14ac:dyDescent="0.25">
      <c r="A2">
        <v>0</v>
      </c>
      <c r="B2" t="s">
        <v>4298</v>
      </c>
    </row>
    <row r="3" spans="1:2" x14ac:dyDescent="0.25">
      <c r="A3">
        <v>1</v>
      </c>
      <c r="B3" t="s">
        <v>4299</v>
      </c>
    </row>
    <row r="4" spans="1:2" x14ac:dyDescent="0.25">
      <c r="A4">
        <v>2</v>
      </c>
      <c r="B4" t="s">
        <v>4300</v>
      </c>
    </row>
    <row r="5" spans="1:2" x14ac:dyDescent="0.25">
      <c r="A5">
        <v>3</v>
      </c>
      <c r="B5" t="s">
        <v>4301</v>
      </c>
    </row>
    <row r="6" spans="1:2" x14ac:dyDescent="0.25">
      <c r="A6">
        <v>4</v>
      </c>
      <c r="B6" t="s">
        <v>4302</v>
      </c>
    </row>
    <row r="7" spans="1:2" x14ac:dyDescent="0.25">
      <c r="A7">
        <v>5</v>
      </c>
      <c r="B7" t="s">
        <v>4303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4173</v>
      </c>
      <c r="B1" t="s">
        <v>4263</v>
      </c>
    </row>
    <row r="2" spans="1:2" x14ac:dyDescent="0.25">
      <c r="A2">
        <v>0</v>
      </c>
      <c r="B2" t="s">
        <v>4304</v>
      </c>
    </row>
    <row r="3" spans="1:2" x14ac:dyDescent="0.25">
      <c r="A3">
        <v>1</v>
      </c>
      <c r="B3" t="s">
        <v>4305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4261</v>
      </c>
      <c r="B1" t="s">
        <v>4264</v>
      </c>
    </row>
    <row r="2" spans="1:2" x14ac:dyDescent="0.25">
      <c r="A2">
        <v>0</v>
      </c>
      <c r="B2" t="s">
        <v>4319</v>
      </c>
    </row>
    <row r="3" spans="1:2" x14ac:dyDescent="0.25">
      <c r="A3">
        <v>1</v>
      </c>
      <c r="B3" t="s">
        <v>4318</v>
      </c>
    </row>
    <row r="4" spans="1:2" x14ac:dyDescent="0.25">
      <c r="A4">
        <v>2</v>
      </c>
      <c r="B4" t="s">
        <v>4301</v>
      </c>
    </row>
    <row r="5" spans="1:2" x14ac:dyDescent="0.25">
      <c r="A5">
        <v>3</v>
      </c>
      <c r="B5" t="s">
        <v>4317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4261</v>
      </c>
      <c r="B1" t="s">
        <v>4265</v>
      </c>
    </row>
    <row r="2" spans="1:2" x14ac:dyDescent="0.25">
      <c r="A2">
        <v>0</v>
      </c>
      <c r="B2" t="s">
        <v>4306</v>
      </c>
    </row>
    <row r="3" spans="1:2" x14ac:dyDescent="0.25">
      <c r="A3">
        <v>1</v>
      </c>
      <c r="B3" t="s">
        <v>4301</v>
      </c>
    </row>
    <row r="4" spans="1:2" x14ac:dyDescent="0.25">
      <c r="A4">
        <v>2</v>
      </c>
      <c r="B4" t="s">
        <v>4308</v>
      </c>
    </row>
    <row r="5" spans="1:2" x14ac:dyDescent="0.25">
      <c r="A5">
        <v>3</v>
      </c>
      <c r="B5" t="s">
        <v>4307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4173</v>
      </c>
      <c r="B1" t="s">
        <v>4247</v>
      </c>
      <c r="C1" t="s">
        <v>4170</v>
      </c>
      <c r="D1" t="s">
        <v>4266</v>
      </c>
      <c r="E1" t="s">
        <v>4344</v>
      </c>
      <c r="F1" t="s">
        <v>4345</v>
      </c>
      <c r="G1" t="s">
        <v>4164</v>
      </c>
      <c r="H1" t="s">
        <v>4320</v>
      </c>
      <c r="I1" t="s">
        <v>4346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4268</v>
      </c>
      <c r="B1" t="s">
        <v>4269</v>
      </c>
      <c r="C1" t="s">
        <v>4270</v>
      </c>
      <c r="D1" t="s">
        <v>4271</v>
      </c>
      <c r="E1" t="s">
        <v>4261</v>
      </c>
      <c r="F1" t="s">
        <v>4272</v>
      </c>
      <c r="G1" t="s">
        <v>4273</v>
      </c>
      <c r="H1" t="s">
        <v>4274</v>
      </c>
      <c r="I1" t="s">
        <v>4275</v>
      </c>
      <c r="J1" t="s">
        <v>4276</v>
      </c>
      <c r="K1" t="s">
        <v>4343</v>
      </c>
      <c r="L1" t="s">
        <v>4277</v>
      </c>
      <c r="M1" t="s">
        <v>4278</v>
      </c>
      <c r="N1" t="s">
        <v>4165</v>
      </c>
      <c r="O1" t="s">
        <v>4171</v>
      </c>
      <c r="P1" t="s">
        <v>4279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4173</v>
      </c>
      <c r="B1" t="s">
        <v>4183</v>
      </c>
      <c r="C1" t="s">
        <v>4280</v>
      </c>
      <c r="D1" t="s">
        <v>4273</v>
      </c>
      <c r="E1" t="s">
        <v>4281</v>
      </c>
      <c r="F1" t="s">
        <v>4250</v>
      </c>
      <c r="G1" t="s">
        <v>4282</v>
      </c>
      <c r="H1" t="s">
        <v>4283</v>
      </c>
      <c r="I1" t="s">
        <v>4267</v>
      </c>
      <c r="J1" t="s">
        <v>4278</v>
      </c>
      <c r="K1" t="s">
        <v>4284</v>
      </c>
      <c r="L1" t="s">
        <v>4285</v>
      </c>
      <c r="M1" t="s">
        <v>4171</v>
      </c>
      <c r="N1" t="s">
        <v>4286</v>
      </c>
      <c r="O1" t="s">
        <v>4287</v>
      </c>
      <c r="P1" t="s">
        <v>4288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4173</v>
      </c>
      <c r="B1" t="s">
        <v>4289</v>
      </c>
    </row>
    <row r="2" spans="1:2" x14ac:dyDescent="0.25">
      <c r="A2">
        <v>1</v>
      </c>
      <c r="B2" t="s">
        <v>4309</v>
      </c>
    </row>
    <row r="3" spans="1:2" x14ac:dyDescent="0.25">
      <c r="A3">
        <v>2</v>
      </c>
      <c r="B3" t="s">
        <v>4310</v>
      </c>
    </row>
    <row r="4" spans="1:2" x14ac:dyDescent="0.25">
      <c r="A4">
        <v>3</v>
      </c>
      <c r="B4" t="s">
        <v>4316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O24" sqref="O24"/>
    </sheetView>
  </sheetViews>
  <sheetFormatPr baseColWidth="10" defaultRowHeight="15" x14ac:dyDescent="0.25"/>
  <sheetData>
    <row r="1" spans="1:2" x14ac:dyDescent="0.25">
      <c r="A1" t="s">
        <v>4173</v>
      </c>
      <c r="B1" t="s">
        <v>4340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4321</v>
      </c>
      <c r="B1" t="s">
        <v>4248</v>
      </c>
      <c r="C1" t="s">
        <v>4252</v>
      </c>
      <c r="D1" t="s">
        <v>4290</v>
      </c>
      <c r="E1" t="s">
        <v>4291</v>
      </c>
      <c r="F1" t="s">
        <v>4292</v>
      </c>
      <c r="G1" t="s">
        <v>4293</v>
      </c>
      <c r="H1" t="s">
        <v>4169</v>
      </c>
      <c r="I1" t="s">
        <v>4294</v>
      </c>
      <c r="J1" t="s">
        <v>4322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2"/>
  <sheetViews>
    <sheetView showGridLines="0" zoomScale="75" zoomScaleNormal="75" workbookViewId="0">
      <pane ySplit="1" topLeftCell="A2" activePane="bottomLeft" state="frozen"/>
      <selection pane="bottomLeft" activeCell="Q45" sqref="Q45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4173</v>
      </c>
      <c r="B1" t="s">
        <v>4295</v>
      </c>
      <c r="C1" t="s">
        <v>4296</v>
      </c>
      <c r="D1" t="s">
        <v>4259</v>
      </c>
      <c r="E1" t="s">
        <v>4176</v>
      </c>
      <c r="F1" t="s">
        <v>4175</v>
      </c>
      <c r="G1" t="s">
        <v>4297</v>
      </c>
      <c r="H1" t="s">
        <v>4160</v>
      </c>
    </row>
    <row r="2" spans="1:8" x14ac:dyDescent="0.25">
      <c r="A2">
        <v>1</v>
      </c>
      <c r="B2" t="s">
        <v>4333</v>
      </c>
      <c r="C2" t="s">
        <v>4334</v>
      </c>
      <c r="D2" t="s">
        <v>4335</v>
      </c>
      <c r="E2" t="s">
        <v>4336</v>
      </c>
      <c r="F2" t="s">
        <v>4337</v>
      </c>
      <c r="G2" t="s">
        <v>4338</v>
      </c>
      <c r="H2" t="s">
        <v>4339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impresion_factura</vt:lpstr>
      <vt:lpstr>clientes</vt:lpstr>
      <vt:lpstr>contacto_cliente</vt:lpstr>
      <vt:lpstr>proveedores</vt:lpstr>
      <vt:lpstr>contacto_proveedor</vt:lpstr>
      <vt:lpstr>productos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2018-12-19T23:06:14Z</cp:lastPrinted>
  <dcterms:created xsi:type="dcterms:W3CDTF">2018-11-30T18:03:51Z</dcterms:created>
  <dcterms:modified xsi:type="dcterms:W3CDTF">2018-12-22T18:54:14Z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